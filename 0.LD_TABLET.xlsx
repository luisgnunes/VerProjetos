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167" documentId="13_ncr:1_{BA809FF7-E0FD-43D6-9A31-E5B5A896614F}" xr6:coauthVersionLast="47" xr6:coauthVersionMax="47" xr10:uidLastSave="{18418FEC-4E3D-4571-9C13-C2F080E8BBD4}"/>
  <bookViews>
    <workbookView xWindow="-108" yWindow="-108" windowWidth="23256" windowHeight="12456" xr2:uid="{C85A3C45-1878-4C35-AF4C-658036A9657D}"/>
  </bookViews>
  <sheets>
    <sheet name="LD_PROJETOS" sheetId="2" r:id="rId1"/>
    <sheet name="Planilha2" sheetId="8" state="hidden" r:id="rId2"/>
    <sheet name="ARQUIVOS_RECEBIDOS" sheetId="1" r:id="rId3"/>
    <sheet name="CLASSES DE PROJETOS" sheetId="6" r:id="rId4"/>
  </sheets>
  <definedNames>
    <definedName name="_xlnm._FilterDatabase" localSheetId="2" hidden="1">ARQUIVOS_RECEBIDOS!$A$1:$V$2787</definedName>
    <definedName name="_xlnm._FilterDatabase" localSheetId="0">LD_PROJETOS!$A$3:$J$1438</definedName>
    <definedName name="_xlnm.Print_Area" localSheetId="0">LD_PROJETOS!$A$1:$I$1285</definedName>
    <definedName name="_xlnm.Print_Titles" localSheetId="0">LD_PROJETOS!$1:$3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51" i="1" l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B1287" i="2"/>
  <c r="B1288" i="2"/>
  <c r="B1289" i="2"/>
  <c r="B1290" i="2"/>
  <c r="B1291" i="2"/>
  <c r="I1291" i="2" s="1" a="1"/>
  <c r="I1291" i="2" s="1"/>
  <c r="B1292" i="2"/>
  <c r="B1293" i="2"/>
  <c r="B1294" i="2"/>
  <c r="I1294" i="2" s="1" a="1"/>
  <c r="I1294" i="2" s="1"/>
  <c r="B1295" i="2"/>
  <c r="I1295" i="2" s="1" a="1"/>
  <c r="I1295" i="2" s="1"/>
  <c r="B1296" i="2"/>
  <c r="B1297" i="2"/>
  <c r="B1298" i="2"/>
  <c r="B1299" i="2"/>
  <c r="B1300" i="2"/>
  <c r="B1301" i="2"/>
  <c r="I1301" i="2" s="1" a="1"/>
  <c r="I1301" i="2" s="1"/>
  <c r="B1302" i="2"/>
  <c r="I1302" i="2" s="1" a="1"/>
  <c r="I1302" i="2" s="1"/>
  <c r="B1303" i="2"/>
  <c r="B1304" i="2"/>
  <c r="B1305" i="2"/>
  <c r="B1306" i="2"/>
  <c r="B1307" i="2"/>
  <c r="I1307" i="2" s="1" a="1"/>
  <c r="I1307" i="2" s="1"/>
  <c r="B1308" i="2"/>
  <c r="B1309" i="2"/>
  <c r="B1310" i="2"/>
  <c r="I1310" i="2" s="1" a="1"/>
  <c r="I1310" i="2" s="1"/>
  <c r="B1311" i="2"/>
  <c r="I1311" i="2" s="1" a="1"/>
  <c r="I1311" i="2" s="1"/>
  <c r="B1312" i="2"/>
  <c r="B1313" i="2"/>
  <c r="B1314" i="2"/>
  <c r="B1315" i="2"/>
  <c r="B1316" i="2"/>
  <c r="B1317" i="2"/>
  <c r="I1317" i="2" s="1" a="1"/>
  <c r="I1317" i="2" s="1"/>
  <c r="B1318" i="2"/>
  <c r="B1319" i="2"/>
  <c r="B1320" i="2"/>
  <c r="B1321" i="2"/>
  <c r="B1322" i="2"/>
  <c r="B1323" i="2"/>
  <c r="I1323" i="2" s="1" a="1"/>
  <c r="I1323" i="2" s="1"/>
  <c r="B1324" i="2"/>
  <c r="B1325" i="2"/>
  <c r="I1325" i="2" s="1" a="1"/>
  <c r="I1325" i="2" s="1"/>
  <c r="B1326" i="2"/>
  <c r="H3500" i="1" s="1"/>
  <c r="M3500" i="1" s="1"/>
  <c r="B1327" i="2"/>
  <c r="I1327" i="2" s="1" a="1"/>
  <c r="I1327" i="2" s="1"/>
  <c r="B1328" i="2"/>
  <c r="B1329" i="2"/>
  <c r="B1330" i="2"/>
  <c r="B1331" i="2"/>
  <c r="B1332" i="2"/>
  <c r="B1333" i="2"/>
  <c r="B1334" i="2"/>
  <c r="I1334" i="2" s="1" a="1"/>
  <c r="I1334" i="2" s="1"/>
  <c r="B1335" i="2"/>
  <c r="B1336" i="2"/>
  <c r="B1337" i="2"/>
  <c r="B1338" i="2"/>
  <c r="I1338" i="2" s="1" a="1"/>
  <c r="I1338" i="2" s="1"/>
  <c r="B1339" i="2"/>
  <c r="K1339" i="2" s="1" a="1"/>
  <c r="K1339" i="2" s="1"/>
  <c r="B1340" i="2"/>
  <c r="B1341" i="2"/>
  <c r="I1341" i="2" s="1" a="1"/>
  <c r="I1341" i="2" s="1"/>
  <c r="B1342" i="2"/>
  <c r="I1342" i="2" s="1" a="1"/>
  <c r="I1342" i="2" s="1"/>
  <c r="B1343" i="2"/>
  <c r="K1343" i="2" s="1" a="1"/>
  <c r="K1343" i="2" s="1"/>
  <c r="B1344" i="2"/>
  <c r="I1344" i="2" s="1" a="1"/>
  <c r="I1344" i="2" s="1"/>
  <c r="B1345" i="2"/>
  <c r="I1345" i="2" s="1" a="1"/>
  <c r="I1345" i="2" s="1"/>
  <c r="B1346" i="2"/>
  <c r="B1347" i="2"/>
  <c r="B1348" i="2"/>
  <c r="B1349" i="2"/>
  <c r="I1349" i="2" s="1" a="1"/>
  <c r="I1349" i="2" s="1"/>
  <c r="B1350" i="2"/>
  <c r="B1351" i="2"/>
  <c r="B1352" i="2"/>
  <c r="B1353" i="2"/>
  <c r="B1354" i="2"/>
  <c r="I1354" i="2" s="1" a="1"/>
  <c r="I1354" i="2" s="1"/>
  <c r="B1355" i="2"/>
  <c r="I1355" i="2" s="1" a="1"/>
  <c r="I1355" i="2" s="1"/>
  <c r="B1356" i="2"/>
  <c r="B1357" i="2"/>
  <c r="I1357" i="2" s="1" a="1"/>
  <c r="I1357" i="2" s="1"/>
  <c r="B1358" i="2"/>
  <c r="I1358" i="2" s="1" a="1"/>
  <c r="I1358" i="2" s="1"/>
  <c r="B1359" i="2"/>
  <c r="H3458" i="1" s="1"/>
  <c r="M3458" i="1" s="1"/>
  <c r="B1360" i="2"/>
  <c r="I1360" i="2" s="1" a="1"/>
  <c r="I1360" i="2" s="1"/>
  <c r="B1361" i="2"/>
  <c r="B1362" i="2"/>
  <c r="B1363" i="2"/>
  <c r="B1364" i="2"/>
  <c r="B1365" i="2"/>
  <c r="I1365" i="2" s="1" a="1"/>
  <c r="I1365" i="2" s="1"/>
  <c r="B1366" i="2"/>
  <c r="H3474" i="1" s="1"/>
  <c r="M3474" i="1" s="1"/>
  <c r="B1367" i="2"/>
  <c r="B1368" i="2"/>
  <c r="B1369" i="2"/>
  <c r="I1369" i="2" s="1" a="1"/>
  <c r="I1369" i="2" s="1"/>
  <c r="B1370" i="2"/>
  <c r="I1370" i="2" s="1" a="1"/>
  <c r="I1370" i="2" s="1"/>
  <c r="B1371" i="2"/>
  <c r="K1371" i="2" s="1" a="1"/>
  <c r="K1371" i="2" s="1"/>
  <c r="B1372" i="2"/>
  <c r="B1373" i="2"/>
  <c r="I1373" i="2" s="1" a="1"/>
  <c r="I1373" i="2" s="1"/>
  <c r="B1374" i="2"/>
  <c r="I1374" i="2" s="1" a="1"/>
  <c r="I1374" i="2" s="1"/>
  <c r="B1375" i="2"/>
  <c r="H3301" i="1" s="1"/>
  <c r="M3301" i="1" s="1"/>
  <c r="B1376" i="2"/>
  <c r="I1376" i="2" s="1" a="1"/>
  <c r="I1376" i="2" s="1"/>
  <c r="B1377" i="2"/>
  <c r="I1377" i="2" s="1" a="1"/>
  <c r="I1377" i="2" s="1"/>
  <c r="B1378" i="2"/>
  <c r="I1378" i="2" s="1" a="1"/>
  <c r="I1378" i="2" s="1"/>
  <c r="B1379" i="2"/>
  <c r="B1380" i="2"/>
  <c r="B1381" i="2"/>
  <c r="I1381" i="2" s="1" a="1"/>
  <c r="I1381" i="2" s="1"/>
  <c r="B1382" i="2"/>
  <c r="I1382" i="2" s="1" a="1"/>
  <c r="I1382" i="2" s="1"/>
  <c r="B1383" i="2"/>
  <c r="B1384" i="2"/>
  <c r="I1384" i="2" s="1" a="1"/>
  <c r="I1384" i="2" s="1"/>
  <c r="B1385" i="2"/>
  <c r="I1385" i="2" s="1" a="1"/>
  <c r="I1385" i="2" s="1"/>
  <c r="B1386" i="2"/>
  <c r="I1386" i="2" s="1" a="1"/>
  <c r="I1386" i="2" s="1"/>
  <c r="B1387" i="2"/>
  <c r="K1387" i="2" s="1" a="1"/>
  <c r="K1387" i="2" s="1"/>
  <c r="B1388" i="2"/>
  <c r="B1389" i="2"/>
  <c r="H3329" i="1" s="1"/>
  <c r="M3329" i="1" s="1"/>
  <c r="B1390" i="2"/>
  <c r="I1390" i="2" s="1" a="1"/>
  <c r="I1390" i="2" s="1"/>
  <c r="B1391" i="2"/>
  <c r="I1391" i="2" s="1" a="1"/>
  <c r="I1391" i="2" s="1"/>
  <c r="B1392" i="2"/>
  <c r="I1392" i="2" s="1" a="1"/>
  <c r="I1392" i="2" s="1"/>
  <c r="B1393" i="2"/>
  <c r="I1393" i="2" s="1" a="1"/>
  <c r="I1393" i="2" s="1"/>
  <c r="B1394" i="2"/>
  <c r="B1395" i="2"/>
  <c r="B1396" i="2"/>
  <c r="B1397" i="2"/>
  <c r="I1397" i="2" s="1" a="1"/>
  <c r="I1397" i="2" s="1"/>
  <c r="B1398" i="2"/>
  <c r="H3422" i="1" s="1"/>
  <c r="M3422" i="1" s="1"/>
  <c r="B1399" i="2"/>
  <c r="B1400" i="2"/>
  <c r="I1400" i="2" s="1" a="1"/>
  <c r="I1400" i="2" s="1"/>
  <c r="B1401" i="2"/>
  <c r="I1401" i="2" s="1" a="1"/>
  <c r="I1401" i="2" s="1"/>
  <c r="B1402" i="2"/>
  <c r="I1402" i="2" s="1" a="1"/>
  <c r="I1402" i="2" s="1"/>
  <c r="B1403" i="2"/>
  <c r="I1403" i="2" s="1" a="1"/>
  <c r="I1403" i="2" s="1"/>
  <c r="B1404" i="2"/>
  <c r="B1405" i="2"/>
  <c r="K1405" i="2" s="1" a="1"/>
  <c r="K1405" i="2" s="1"/>
  <c r="B1406" i="2"/>
  <c r="H3547" i="1" s="1"/>
  <c r="M3547" i="1" s="1"/>
  <c r="B1407" i="2"/>
  <c r="K1407" i="2" s="1" a="1"/>
  <c r="K1407" i="2" s="1"/>
  <c r="B1408" i="2"/>
  <c r="I1408" i="2" s="1" a="1"/>
  <c r="I1408" i="2" s="1"/>
  <c r="B1409" i="2"/>
  <c r="I1409" i="2" s="1" a="1"/>
  <c r="I1409" i="2" s="1"/>
  <c r="B1410" i="2"/>
  <c r="I1410" i="2" s="1" a="1"/>
  <c r="I1410" i="2" s="1"/>
  <c r="B1411" i="2"/>
  <c r="B1412" i="2"/>
  <c r="B1413" i="2"/>
  <c r="K1413" i="2" s="1" a="1"/>
  <c r="K1413" i="2" s="1"/>
  <c r="B1414" i="2"/>
  <c r="B1415" i="2"/>
  <c r="I1415" i="2" s="1" a="1"/>
  <c r="I1415" i="2" s="1"/>
  <c r="B1416" i="2"/>
  <c r="I1416" i="2" s="1" a="1"/>
  <c r="I1416" i="2" s="1"/>
  <c r="B1417" i="2"/>
  <c r="K1417" i="2" s="1" a="1"/>
  <c r="K1417" i="2" s="1"/>
  <c r="B1418" i="2"/>
  <c r="I1418" i="2" s="1" a="1"/>
  <c r="I1418" i="2" s="1"/>
  <c r="B1419" i="2"/>
  <c r="K1419" i="2" s="1" a="1"/>
  <c r="K1419" i="2" s="1"/>
  <c r="B1420" i="2"/>
  <c r="B1421" i="2"/>
  <c r="H3532" i="1" s="1"/>
  <c r="M3532" i="1" s="1"/>
  <c r="B1422" i="2"/>
  <c r="K1422" i="2" s="1" a="1"/>
  <c r="K1422" i="2" s="1"/>
  <c r="B1423" i="2"/>
  <c r="H3461" i="1" s="1"/>
  <c r="M3461" i="1" s="1"/>
  <c r="B1424" i="2"/>
  <c r="I1424" i="2" s="1" a="1"/>
  <c r="I1424" i="2" s="1"/>
  <c r="B1425" i="2"/>
  <c r="I1425" i="2" s="1" a="1"/>
  <c r="I1425" i="2" s="1"/>
  <c r="B1426" i="2"/>
  <c r="H3416" i="1" s="1"/>
  <c r="M3416" i="1" s="1"/>
  <c r="B1427" i="2"/>
  <c r="I1427" i="2" s="1" a="1"/>
  <c r="I1427" i="2" s="1"/>
  <c r="B1428" i="2"/>
  <c r="B1429" i="2"/>
  <c r="I1429" i="2" s="1" a="1"/>
  <c r="I1429" i="2" s="1"/>
  <c r="B1430" i="2"/>
  <c r="K1430" i="2" s="1" a="1"/>
  <c r="K1430" i="2" s="1"/>
  <c r="B1431" i="2"/>
  <c r="H3543" i="1" s="1"/>
  <c r="M3543" i="1" s="1"/>
  <c r="B1432" i="2"/>
  <c r="I1432" i="2" s="1" a="1"/>
  <c r="I1432" i="2" s="1"/>
  <c r="B1433" i="2"/>
  <c r="K1433" i="2" s="1" a="1"/>
  <c r="K1433" i="2" s="1"/>
  <c r="B1434" i="2"/>
  <c r="I1434" i="2" s="1" a="1"/>
  <c r="I1434" i="2" s="1"/>
  <c r="B1435" i="2"/>
  <c r="H3433" i="1" s="1"/>
  <c r="M3433" i="1" s="1"/>
  <c r="B1436" i="2"/>
  <c r="I1436" i="2" s="1" a="1"/>
  <c r="I1436" i="2" s="1"/>
  <c r="B1437" i="2"/>
  <c r="I1437" i="2" s="1" a="1"/>
  <c r="I1437" i="2" s="1"/>
  <c r="B1438" i="2"/>
  <c r="K1438" i="2" s="1" a="1"/>
  <c r="K1438" i="2" s="1"/>
  <c r="G1342" i="2"/>
  <c r="H1342" i="2" s="1"/>
  <c r="G1343" i="2"/>
  <c r="H1343" i="2" s="1"/>
  <c r="G1344" i="2"/>
  <c r="H1344" i="2" s="1"/>
  <c r="G1345" i="2"/>
  <c r="L3254" i="1" s="1"/>
  <c r="G1346" i="2"/>
  <c r="H1346" i="2" s="1"/>
  <c r="G1347" i="2"/>
  <c r="H1347" i="2" s="1"/>
  <c r="G1348" i="2"/>
  <c r="H1348" i="2" s="1"/>
  <c r="G1349" i="2"/>
  <c r="H1349" i="2" s="1"/>
  <c r="G1405" i="2"/>
  <c r="H1405" i="2" s="1"/>
  <c r="G1406" i="2"/>
  <c r="H1406" i="2" s="1"/>
  <c r="G1407" i="2"/>
  <c r="H1407" i="2" s="1"/>
  <c r="G1408" i="2"/>
  <c r="H1408" i="2" s="1"/>
  <c r="G1409" i="2"/>
  <c r="H1409" i="2" s="1"/>
  <c r="G1410" i="2"/>
  <c r="H1410" i="2" s="1"/>
  <c r="G1411" i="2"/>
  <c r="L3283" i="1" s="1"/>
  <c r="G1412" i="2"/>
  <c r="H1412" i="2" s="1"/>
  <c r="G1413" i="2"/>
  <c r="H1413" i="2" s="1"/>
  <c r="G1414" i="2"/>
  <c r="H1414" i="2" s="1"/>
  <c r="G1415" i="2"/>
  <c r="H1415" i="2" s="1"/>
  <c r="G1416" i="2"/>
  <c r="H1416" i="2" s="1"/>
  <c r="G1417" i="2"/>
  <c r="H1417" i="2" s="1"/>
  <c r="G1418" i="2"/>
  <c r="H1418" i="2" s="1"/>
  <c r="G1419" i="2"/>
  <c r="H1419" i="2" s="1"/>
  <c r="G1420" i="2"/>
  <c r="H1420" i="2" s="1"/>
  <c r="G1422" i="2"/>
  <c r="H1422" i="2" s="1"/>
  <c r="G1428" i="2"/>
  <c r="H1428" i="2" s="1"/>
  <c r="G1436" i="2"/>
  <c r="H1436" i="2" s="1"/>
  <c r="G1437" i="2"/>
  <c r="H1437" i="2" s="1"/>
  <c r="G1438" i="2"/>
  <c r="H1438" i="2" s="1"/>
  <c r="L3273" i="1" s="1"/>
  <c r="I1287" i="2" a="1"/>
  <c r="I1287" i="2" s="1"/>
  <c r="I1288" i="2" a="1"/>
  <c r="I1288" i="2" s="1"/>
  <c r="I1289" i="2" a="1"/>
  <c r="I1289" i="2" s="1"/>
  <c r="I1290" i="2" a="1"/>
  <c r="I1290" i="2" s="1"/>
  <c r="I1292" i="2" a="1"/>
  <c r="I1292" i="2" s="1"/>
  <c r="I1293" i="2" a="1"/>
  <c r="I1293" i="2" s="1"/>
  <c r="I1296" i="2" a="1"/>
  <c r="I1296" i="2" s="1"/>
  <c r="I1297" i="2" a="1"/>
  <c r="I1297" i="2" s="1"/>
  <c r="I1298" i="2" a="1"/>
  <c r="I1298" i="2" s="1"/>
  <c r="I1299" i="2" a="1"/>
  <c r="I1299" i="2" s="1"/>
  <c r="I1300" i="2" a="1"/>
  <c r="I1300" i="2" s="1"/>
  <c r="I1303" i="2" a="1"/>
  <c r="I1303" i="2" s="1"/>
  <c r="I1304" i="2" a="1"/>
  <c r="I1304" i="2" s="1"/>
  <c r="I1305" i="2" a="1"/>
  <c r="I1305" i="2" s="1"/>
  <c r="I1306" i="2" a="1"/>
  <c r="I1306" i="2" s="1"/>
  <c r="I1308" i="2" a="1"/>
  <c r="I1308" i="2" s="1"/>
  <c r="I1309" i="2" a="1"/>
  <c r="I1309" i="2" s="1"/>
  <c r="I1312" i="2" a="1"/>
  <c r="I1312" i="2" s="1"/>
  <c r="I1313" i="2" a="1"/>
  <c r="I1313" i="2" s="1"/>
  <c r="I1314" i="2" a="1"/>
  <c r="I1314" i="2" s="1"/>
  <c r="I1315" i="2" a="1"/>
  <c r="I1315" i="2" s="1"/>
  <c r="I1316" i="2" a="1"/>
  <c r="I1316" i="2" s="1"/>
  <c r="I1318" i="2" a="1"/>
  <c r="I1318" i="2" s="1"/>
  <c r="I1319" i="2" a="1"/>
  <c r="I1319" i="2" s="1"/>
  <c r="I1320" i="2" a="1"/>
  <c r="I1320" i="2" s="1"/>
  <c r="I1321" i="2" a="1"/>
  <c r="I1321" i="2" s="1"/>
  <c r="I1322" i="2" a="1"/>
  <c r="I1322" i="2" s="1"/>
  <c r="I1324" i="2" a="1"/>
  <c r="I1324" i="2" s="1"/>
  <c r="I1328" i="2" a="1"/>
  <c r="I1328" i="2" s="1"/>
  <c r="I1329" i="2" a="1"/>
  <c r="I1329" i="2" s="1"/>
  <c r="I1330" i="2" a="1"/>
  <c r="I1330" i="2" s="1"/>
  <c r="I1331" i="2" a="1"/>
  <c r="I1331" i="2" s="1"/>
  <c r="I1332" i="2" a="1"/>
  <c r="I1332" i="2" s="1"/>
  <c r="I1333" i="2" a="1"/>
  <c r="I1333" i="2" s="1"/>
  <c r="I1335" i="2" a="1"/>
  <c r="I1335" i="2" s="1"/>
  <c r="I1336" i="2" a="1"/>
  <c r="I1336" i="2" s="1"/>
  <c r="I1337" i="2" a="1"/>
  <c r="I1337" i="2" s="1"/>
  <c r="I1340" i="2" a="1"/>
  <c r="I1340" i="2" s="1"/>
  <c r="I1346" i="2" a="1"/>
  <c r="I1346" i="2" s="1"/>
  <c r="I1347" i="2" a="1"/>
  <c r="I1347" i="2" s="1"/>
  <c r="I1348" i="2" a="1"/>
  <c r="I1348" i="2" s="1"/>
  <c r="I1350" i="2" a="1"/>
  <c r="I1350" i="2" s="1"/>
  <c r="I1351" i="2" a="1"/>
  <c r="I1351" i="2" s="1"/>
  <c r="I1352" i="2" a="1"/>
  <c r="I1352" i="2" s="1"/>
  <c r="I1353" i="2" a="1"/>
  <c r="I1353" i="2" s="1"/>
  <c r="I1356" i="2" a="1"/>
  <c r="I1356" i="2" s="1"/>
  <c r="I1361" i="2" a="1"/>
  <c r="I1361" i="2" s="1"/>
  <c r="I1362" i="2" a="1"/>
  <c r="I1362" i="2" s="1"/>
  <c r="I1363" i="2" a="1"/>
  <c r="I1363" i="2" s="1"/>
  <c r="I1364" i="2" a="1"/>
  <c r="I1364" i="2" s="1"/>
  <c r="I1367" i="2" a="1"/>
  <c r="I1367" i="2" s="1"/>
  <c r="I1368" i="2" a="1"/>
  <c r="I1368" i="2" s="1"/>
  <c r="I1372" i="2" a="1"/>
  <c r="I1372" i="2" s="1"/>
  <c r="I1379" i="2" a="1"/>
  <c r="I1379" i="2" s="1"/>
  <c r="I1380" i="2" a="1"/>
  <c r="I1380" i="2" s="1"/>
  <c r="I1383" i="2" a="1"/>
  <c r="I1383" i="2" s="1"/>
  <c r="I1388" i="2" a="1"/>
  <c r="I1388" i="2" s="1"/>
  <c r="I1394" i="2" a="1"/>
  <c r="I1394" i="2" s="1"/>
  <c r="I1395" i="2" a="1"/>
  <c r="I1395" i="2" s="1"/>
  <c r="I1396" i="2" a="1"/>
  <c r="I1396" i="2" s="1"/>
  <c r="I1399" i="2" a="1"/>
  <c r="I1399" i="2" s="1"/>
  <c r="I1404" i="2" a="1"/>
  <c r="I1404" i="2" s="1"/>
  <c r="I1411" i="2" a="1"/>
  <c r="I1411" i="2" s="1"/>
  <c r="I1412" i="2" a="1"/>
  <c r="I1412" i="2" s="1"/>
  <c r="I1420" i="2" a="1"/>
  <c r="I1420" i="2" s="1"/>
  <c r="I1428" i="2" a="1"/>
  <c r="I1428" i="2" s="1"/>
  <c r="J1287" i="2" a="1"/>
  <c r="J1287" i="2" s="1"/>
  <c r="J1288" i="2" a="1"/>
  <c r="J1288" i="2" s="1"/>
  <c r="J1289" i="2" a="1"/>
  <c r="J1289" i="2" s="1"/>
  <c r="J1290" i="2" a="1"/>
  <c r="J1290" i="2" s="1"/>
  <c r="J1291" i="2" a="1"/>
  <c r="J1291" i="2" s="1"/>
  <c r="J1292" i="2" a="1"/>
  <c r="J1292" i="2" s="1"/>
  <c r="J1293" i="2" a="1"/>
  <c r="J1293" i="2" s="1"/>
  <c r="J1294" i="2" a="1"/>
  <c r="J1294" i="2" s="1"/>
  <c r="J1295" i="2" a="1"/>
  <c r="J1295" i="2" s="1"/>
  <c r="J1296" i="2" a="1"/>
  <c r="J1296" i="2" s="1"/>
  <c r="J1297" i="2" a="1"/>
  <c r="J1297" i="2" s="1"/>
  <c r="J1298" i="2" a="1"/>
  <c r="J1298" i="2" s="1"/>
  <c r="J1299" i="2" a="1"/>
  <c r="J1299" i="2" s="1"/>
  <c r="J1300" i="2" a="1"/>
  <c r="J1300" i="2" s="1"/>
  <c r="J1301" i="2" a="1"/>
  <c r="J1301" i="2" s="1"/>
  <c r="J1302" i="2" a="1"/>
  <c r="J1302" i="2" s="1"/>
  <c r="J1303" i="2" a="1"/>
  <c r="J1303" i="2" s="1"/>
  <c r="J1304" i="2" a="1"/>
  <c r="J1304" i="2" s="1"/>
  <c r="J1305" i="2" a="1"/>
  <c r="J1305" i="2" s="1"/>
  <c r="J1306" i="2" a="1"/>
  <c r="J1306" i="2" s="1"/>
  <c r="J1307" i="2" a="1"/>
  <c r="J1307" i="2" s="1"/>
  <c r="J1308" i="2" a="1"/>
  <c r="J1308" i="2" s="1"/>
  <c r="J1309" i="2" a="1"/>
  <c r="J1309" i="2" s="1"/>
  <c r="J1310" i="2" a="1"/>
  <c r="J1310" i="2" s="1"/>
  <c r="J1311" i="2" a="1"/>
  <c r="J1311" i="2" s="1"/>
  <c r="J1312" i="2" a="1"/>
  <c r="J1312" i="2" s="1"/>
  <c r="J1313" i="2" a="1"/>
  <c r="J1313" i="2" s="1"/>
  <c r="J1314" i="2" a="1"/>
  <c r="J1314" i="2" s="1"/>
  <c r="J1315" i="2" a="1"/>
  <c r="J1315" i="2" s="1"/>
  <c r="J1316" i="2" a="1"/>
  <c r="J1316" i="2" s="1"/>
  <c r="J1317" i="2" a="1"/>
  <c r="J1317" i="2" s="1"/>
  <c r="J1318" i="2" a="1"/>
  <c r="J1318" i="2" s="1"/>
  <c r="J1319" i="2" a="1"/>
  <c r="J1319" i="2" s="1"/>
  <c r="J1320" i="2" a="1"/>
  <c r="J1320" i="2" s="1"/>
  <c r="J1321" i="2" a="1"/>
  <c r="J1321" i="2" s="1"/>
  <c r="J1322" i="2" a="1"/>
  <c r="J1322" i="2" s="1"/>
  <c r="J1323" i="2" a="1"/>
  <c r="J1323" i="2" s="1"/>
  <c r="J1324" i="2" a="1"/>
  <c r="J1324" i="2" s="1"/>
  <c r="J1325" i="2" a="1"/>
  <c r="J1325" i="2" s="1"/>
  <c r="J1326" i="2" a="1"/>
  <c r="J1326" i="2" s="1"/>
  <c r="J1327" i="2" a="1"/>
  <c r="J1327" i="2" s="1"/>
  <c r="J1328" i="2" a="1"/>
  <c r="J1328" i="2" s="1"/>
  <c r="J1329" i="2" a="1"/>
  <c r="J1329" i="2" s="1"/>
  <c r="J1330" i="2" a="1"/>
  <c r="J1330" i="2" s="1"/>
  <c r="J1331" i="2" a="1"/>
  <c r="J1331" i="2" s="1"/>
  <c r="J1332" i="2" a="1"/>
  <c r="J1332" i="2" s="1"/>
  <c r="J1333" i="2" a="1"/>
  <c r="J1333" i="2" s="1"/>
  <c r="J1334" i="2" a="1"/>
  <c r="J1334" i="2" s="1"/>
  <c r="J1335" i="2" a="1"/>
  <c r="J1335" i="2" s="1"/>
  <c r="J1336" i="2" a="1"/>
  <c r="J1336" i="2" s="1"/>
  <c r="J1337" i="2" a="1"/>
  <c r="J1337" i="2" s="1"/>
  <c r="J1338" i="2" a="1"/>
  <c r="J1338" i="2" s="1"/>
  <c r="J1339" i="2" a="1"/>
  <c r="J1339" i="2" s="1"/>
  <c r="J1340" i="2" a="1"/>
  <c r="J1340" i="2" s="1"/>
  <c r="J1341" i="2" a="1"/>
  <c r="J1341" i="2" s="1"/>
  <c r="J1342" i="2" a="1"/>
  <c r="J1342" i="2" s="1"/>
  <c r="J1343" i="2" a="1"/>
  <c r="J1343" i="2" s="1"/>
  <c r="J1344" i="2" a="1"/>
  <c r="J1344" i="2" s="1"/>
  <c r="J1345" i="2" a="1"/>
  <c r="J1345" i="2" s="1"/>
  <c r="J1346" i="2" a="1"/>
  <c r="J1346" i="2" s="1"/>
  <c r="J1347" i="2" a="1"/>
  <c r="J1347" i="2" s="1"/>
  <c r="J1348" i="2" a="1"/>
  <c r="J1348" i="2" s="1"/>
  <c r="J1349" i="2" a="1"/>
  <c r="J1349" i="2" s="1"/>
  <c r="J1350" i="2" a="1"/>
  <c r="J1350" i="2" s="1"/>
  <c r="J1351" i="2" a="1"/>
  <c r="J1351" i="2" s="1"/>
  <c r="J1352" i="2" a="1"/>
  <c r="J1352" i="2" s="1"/>
  <c r="J1353" i="2" a="1"/>
  <c r="J1353" i="2" s="1"/>
  <c r="J1354" i="2" a="1"/>
  <c r="J1354" i="2" s="1"/>
  <c r="J1355" i="2" a="1"/>
  <c r="J1355" i="2" s="1"/>
  <c r="J1356" i="2" a="1"/>
  <c r="J1356" i="2" s="1"/>
  <c r="J1357" i="2" a="1"/>
  <c r="J1357" i="2" s="1"/>
  <c r="J1358" i="2" a="1"/>
  <c r="J1358" i="2" s="1"/>
  <c r="J1359" i="2" a="1"/>
  <c r="J1359" i="2" s="1"/>
  <c r="J1360" i="2" a="1"/>
  <c r="J1360" i="2" s="1"/>
  <c r="J1361" i="2" a="1"/>
  <c r="J1361" i="2" s="1"/>
  <c r="J1362" i="2" a="1"/>
  <c r="J1362" i="2" s="1"/>
  <c r="J1363" i="2" a="1"/>
  <c r="J1363" i="2" s="1"/>
  <c r="J1364" i="2" a="1"/>
  <c r="J1364" i="2" s="1"/>
  <c r="J1365" i="2" a="1"/>
  <c r="J1365" i="2" s="1"/>
  <c r="J1366" i="2" a="1"/>
  <c r="J1366" i="2" s="1"/>
  <c r="J1367" i="2" a="1"/>
  <c r="J1367" i="2" s="1"/>
  <c r="J1368" i="2" a="1"/>
  <c r="J1368" i="2" s="1"/>
  <c r="J1369" i="2" a="1"/>
  <c r="J1369" i="2" s="1"/>
  <c r="J1370" i="2" a="1"/>
  <c r="J1370" i="2" s="1"/>
  <c r="J1371" i="2" a="1"/>
  <c r="J1371" i="2" s="1"/>
  <c r="J1372" i="2" a="1"/>
  <c r="J1372" i="2" s="1"/>
  <c r="J1373" i="2" a="1"/>
  <c r="J1373" i="2" s="1"/>
  <c r="J1374" i="2" a="1"/>
  <c r="J1374" i="2" s="1"/>
  <c r="J1375" i="2" a="1"/>
  <c r="J1375" i="2" s="1"/>
  <c r="J1376" i="2" a="1"/>
  <c r="J1376" i="2" s="1"/>
  <c r="J1377" i="2" a="1"/>
  <c r="J1377" i="2" s="1"/>
  <c r="J1378" i="2" a="1"/>
  <c r="J1378" i="2" s="1"/>
  <c r="J1379" i="2" a="1"/>
  <c r="J1379" i="2" s="1"/>
  <c r="J1380" i="2" a="1"/>
  <c r="J1380" i="2" s="1"/>
  <c r="J1381" i="2" a="1"/>
  <c r="J1381" i="2" s="1"/>
  <c r="J1382" i="2" a="1"/>
  <c r="J1382" i="2" s="1"/>
  <c r="J1383" i="2" a="1"/>
  <c r="J1383" i="2" s="1"/>
  <c r="J1384" i="2" a="1"/>
  <c r="J1384" i="2" s="1"/>
  <c r="J1385" i="2" a="1"/>
  <c r="J1385" i="2" s="1"/>
  <c r="J1386" i="2" a="1"/>
  <c r="J1386" i="2" s="1"/>
  <c r="J1387" i="2" a="1"/>
  <c r="J1387" i="2" s="1"/>
  <c r="J1388" i="2" a="1"/>
  <c r="J1388" i="2" s="1"/>
  <c r="J1389" i="2" a="1"/>
  <c r="J1389" i="2" s="1"/>
  <c r="J1390" i="2" a="1"/>
  <c r="J1390" i="2" s="1"/>
  <c r="J1391" i="2" a="1"/>
  <c r="J1391" i="2" s="1"/>
  <c r="J1392" i="2" a="1"/>
  <c r="J1392" i="2" s="1"/>
  <c r="J1393" i="2" a="1"/>
  <c r="J1393" i="2" s="1"/>
  <c r="J1394" i="2" a="1"/>
  <c r="J1394" i="2" s="1"/>
  <c r="J1395" i="2" a="1"/>
  <c r="J1395" i="2" s="1"/>
  <c r="J1396" i="2" a="1"/>
  <c r="J1396" i="2" s="1"/>
  <c r="J1397" i="2" a="1"/>
  <c r="J1397" i="2" s="1"/>
  <c r="J1398" i="2" a="1"/>
  <c r="J1398" i="2" s="1"/>
  <c r="J1399" i="2" a="1"/>
  <c r="J1399" i="2" s="1"/>
  <c r="J1400" i="2" a="1"/>
  <c r="J1400" i="2" s="1"/>
  <c r="J1401" i="2" a="1"/>
  <c r="J1401" i="2" s="1"/>
  <c r="J1402" i="2" a="1"/>
  <c r="J1402" i="2" s="1"/>
  <c r="J1403" i="2" a="1"/>
  <c r="J1403" i="2" s="1"/>
  <c r="J1404" i="2" a="1"/>
  <c r="J1404" i="2" s="1"/>
  <c r="J1405" i="2" a="1"/>
  <c r="J1405" i="2" s="1"/>
  <c r="J1406" i="2" a="1"/>
  <c r="J1406" i="2" s="1"/>
  <c r="J1407" i="2" a="1"/>
  <c r="J1407" i="2" s="1"/>
  <c r="J1408" i="2" a="1"/>
  <c r="J1408" i="2" s="1"/>
  <c r="J1409" i="2" a="1"/>
  <c r="J1409" i="2" s="1"/>
  <c r="J1410" i="2" a="1"/>
  <c r="J1410" i="2" s="1"/>
  <c r="J1411" i="2" a="1"/>
  <c r="J1411" i="2" s="1"/>
  <c r="J1412" i="2" a="1"/>
  <c r="J1412" i="2" s="1"/>
  <c r="J1413" i="2" a="1"/>
  <c r="J1413" i="2" s="1"/>
  <c r="J1414" i="2" a="1"/>
  <c r="J1414" i="2" s="1"/>
  <c r="J1415" i="2" a="1"/>
  <c r="J1415" i="2" s="1"/>
  <c r="J1416" i="2" a="1"/>
  <c r="J1416" i="2" s="1"/>
  <c r="J1417" i="2" a="1"/>
  <c r="J1417" i="2" s="1"/>
  <c r="J1418" i="2" a="1"/>
  <c r="J1418" i="2" s="1"/>
  <c r="J1419" i="2" a="1"/>
  <c r="J1419" i="2" s="1"/>
  <c r="J1420" i="2" a="1"/>
  <c r="J1420" i="2" s="1"/>
  <c r="J1421" i="2" a="1"/>
  <c r="J1421" i="2" s="1"/>
  <c r="J1422" i="2" a="1"/>
  <c r="J1422" i="2" s="1"/>
  <c r="J1423" i="2" a="1"/>
  <c r="J1423" i="2" s="1"/>
  <c r="J1424" i="2" a="1"/>
  <c r="J1424" i="2" s="1"/>
  <c r="J1425" i="2" a="1"/>
  <c r="J1425" i="2" s="1"/>
  <c r="J1426" i="2" a="1"/>
  <c r="J1426" i="2" s="1"/>
  <c r="J1427" i="2" a="1"/>
  <c r="J1427" i="2" s="1"/>
  <c r="J1428" i="2" a="1"/>
  <c r="J1428" i="2" s="1"/>
  <c r="J1429" i="2" a="1"/>
  <c r="J1429" i="2" s="1"/>
  <c r="J1430" i="2" a="1"/>
  <c r="J1430" i="2" s="1"/>
  <c r="J1431" i="2" a="1"/>
  <c r="J1431" i="2" s="1"/>
  <c r="J1432" i="2" a="1"/>
  <c r="J1432" i="2" s="1"/>
  <c r="J1433" i="2" a="1"/>
  <c r="J1433" i="2" s="1"/>
  <c r="J1434" i="2" a="1"/>
  <c r="J1434" i="2" s="1"/>
  <c r="J1435" i="2" a="1"/>
  <c r="J1435" i="2" s="1"/>
  <c r="J1436" i="2" a="1"/>
  <c r="J1436" i="2" s="1"/>
  <c r="J1437" i="2" a="1"/>
  <c r="J1437" i="2" s="1"/>
  <c r="J1438" i="2" a="1"/>
  <c r="J1438" i="2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4" i="2" a="1"/>
  <c r="K1324" i="2" s="1"/>
  <c r="K1325" i="2" a="1"/>
  <c r="K1325" i="2" s="1"/>
  <c r="K1326" i="2" a="1"/>
  <c r="K1326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40" i="2" a="1"/>
  <c r="K1340" i="2" s="1"/>
  <c r="K1341" i="2" a="1"/>
  <c r="K1341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6" i="2" a="1"/>
  <c r="K1356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7" i="2" a="1"/>
  <c r="K1367" i="2" s="1"/>
  <c r="K1368" i="2" a="1"/>
  <c r="K1368" i="2" s="1"/>
  <c r="K1369" i="2" a="1"/>
  <c r="K1369" i="2" s="1"/>
  <c r="K1370" i="2" a="1"/>
  <c r="K1370" i="2" s="1"/>
  <c r="K1372" i="2" a="1"/>
  <c r="K1372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3" i="2" a="1"/>
  <c r="K1383" i="2" s="1"/>
  <c r="K1384" i="2" a="1"/>
  <c r="K1384" i="2" s="1"/>
  <c r="K1385" i="2" a="1"/>
  <c r="K1385" i="2" s="1"/>
  <c r="K1386" i="2" a="1"/>
  <c r="K1386" i="2" s="1"/>
  <c r="K1388" i="2" a="1"/>
  <c r="K1388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4" i="2" a="1"/>
  <c r="K1404" i="2" s="1"/>
  <c r="K1410" i="2" a="1"/>
  <c r="K1410" i="2" s="1"/>
  <c r="K1411" i="2" a="1"/>
  <c r="K1411" i="2" s="1"/>
  <c r="K1412" i="2" a="1"/>
  <c r="K1412" i="2" s="1"/>
  <c r="K1415" i="2" a="1"/>
  <c r="K1415" i="2" s="1"/>
  <c r="K1416" i="2" a="1"/>
  <c r="K1416" i="2" s="1"/>
  <c r="K1420" i="2" a="1"/>
  <c r="K1420" i="2" s="1"/>
  <c r="K1424" i="2" a="1"/>
  <c r="K1424" i="2" s="1"/>
  <c r="K1426" i="2" a="1"/>
  <c r="K1426" i="2" s="1"/>
  <c r="K1427" i="2" a="1"/>
  <c r="K1427" i="2" s="1"/>
  <c r="K1428" i="2" a="1"/>
  <c r="K1428" i="2" s="1"/>
  <c r="K1429" i="2" a="1"/>
  <c r="K1429" i="2" s="1"/>
  <c r="K1436" i="2" a="1"/>
  <c r="K1436" i="2" s="1"/>
  <c r="K3545" i="1"/>
  <c r="K3546" i="1"/>
  <c r="K3547" i="1"/>
  <c r="K3548" i="1"/>
  <c r="K3549" i="1"/>
  <c r="K3550" i="1"/>
  <c r="L3545" i="1"/>
  <c r="L3546" i="1"/>
  <c r="K3543" i="1"/>
  <c r="K3544" i="1"/>
  <c r="H3533" i="1"/>
  <c r="M3533" i="1" s="1"/>
  <c r="H3534" i="1"/>
  <c r="M3534" i="1" s="1"/>
  <c r="H3535" i="1"/>
  <c r="M3535" i="1" s="1"/>
  <c r="H3536" i="1"/>
  <c r="M3536" i="1" s="1"/>
  <c r="H3537" i="1"/>
  <c r="M3537" i="1" s="1"/>
  <c r="H3538" i="1"/>
  <c r="M3538" i="1" s="1"/>
  <c r="H3539" i="1"/>
  <c r="M3539" i="1" s="1"/>
  <c r="H3540" i="1"/>
  <c r="M3540" i="1" s="1"/>
  <c r="K3533" i="1"/>
  <c r="K3534" i="1"/>
  <c r="K3535" i="1"/>
  <c r="K3536" i="1"/>
  <c r="K3537" i="1"/>
  <c r="K3538" i="1"/>
  <c r="K3539" i="1"/>
  <c r="K3540" i="1"/>
  <c r="K3541" i="1"/>
  <c r="K3542" i="1"/>
  <c r="H3491" i="1"/>
  <c r="M3491" i="1" s="1"/>
  <c r="H3492" i="1"/>
  <c r="M3492" i="1" s="1"/>
  <c r="H3493" i="1"/>
  <c r="M3493" i="1" s="1"/>
  <c r="H3494" i="1"/>
  <c r="M3494" i="1" s="1"/>
  <c r="H3495" i="1"/>
  <c r="M3495" i="1" s="1"/>
  <c r="H3496" i="1"/>
  <c r="M3496" i="1" s="1"/>
  <c r="H3497" i="1"/>
  <c r="M3497" i="1" s="1"/>
  <c r="H3498" i="1"/>
  <c r="M3498" i="1" s="1"/>
  <c r="H3501" i="1"/>
  <c r="M3501" i="1" s="1"/>
  <c r="H3502" i="1"/>
  <c r="M3502" i="1" s="1"/>
  <c r="H3503" i="1"/>
  <c r="M3503" i="1" s="1"/>
  <c r="H3504" i="1"/>
  <c r="M3504" i="1" s="1"/>
  <c r="H3505" i="1"/>
  <c r="M3505" i="1" s="1"/>
  <c r="H3506" i="1"/>
  <c r="M3506" i="1" s="1"/>
  <c r="H3507" i="1"/>
  <c r="M3507" i="1" s="1"/>
  <c r="H3508" i="1"/>
  <c r="M3508" i="1" s="1"/>
  <c r="H3509" i="1"/>
  <c r="M3509" i="1" s="1"/>
  <c r="H3510" i="1"/>
  <c r="M3510" i="1" s="1"/>
  <c r="H3511" i="1"/>
  <c r="M3511" i="1" s="1"/>
  <c r="H3512" i="1"/>
  <c r="M3512" i="1" s="1"/>
  <c r="H3513" i="1"/>
  <c r="M3513" i="1" s="1"/>
  <c r="H3514" i="1"/>
  <c r="M3514" i="1" s="1"/>
  <c r="H3515" i="1"/>
  <c r="M3515" i="1" s="1"/>
  <c r="H3516" i="1"/>
  <c r="M3516" i="1" s="1"/>
  <c r="H3517" i="1"/>
  <c r="M3517" i="1" s="1"/>
  <c r="H3518" i="1"/>
  <c r="M3518" i="1" s="1"/>
  <c r="H3519" i="1"/>
  <c r="M3519" i="1" s="1"/>
  <c r="H3520" i="1"/>
  <c r="M3520" i="1" s="1"/>
  <c r="H3521" i="1"/>
  <c r="M3521" i="1" s="1"/>
  <c r="H3522" i="1"/>
  <c r="M3522" i="1" s="1"/>
  <c r="H3523" i="1"/>
  <c r="M3523" i="1" s="1"/>
  <c r="H3524" i="1"/>
  <c r="M3524" i="1" s="1"/>
  <c r="H3527" i="1"/>
  <c r="M3527" i="1" s="1"/>
  <c r="H3528" i="1"/>
  <c r="M3528" i="1" s="1"/>
  <c r="H3529" i="1"/>
  <c r="M3529" i="1" s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H3463" i="1"/>
  <c r="M3463" i="1" s="1"/>
  <c r="H3464" i="1"/>
  <c r="M3464" i="1" s="1"/>
  <c r="H3465" i="1"/>
  <c r="M3465" i="1" s="1"/>
  <c r="H3466" i="1"/>
  <c r="M3466" i="1" s="1"/>
  <c r="H3467" i="1"/>
  <c r="M3467" i="1" s="1"/>
  <c r="H3468" i="1"/>
  <c r="M3468" i="1" s="1"/>
  <c r="H3469" i="1"/>
  <c r="M3469" i="1" s="1"/>
  <c r="H3470" i="1"/>
  <c r="M3470" i="1" s="1"/>
  <c r="H3471" i="1"/>
  <c r="M3471" i="1" s="1"/>
  <c r="H3472" i="1"/>
  <c r="M3472" i="1" s="1"/>
  <c r="H3473" i="1"/>
  <c r="M3473" i="1" s="1"/>
  <c r="H3475" i="1"/>
  <c r="M3475" i="1" s="1"/>
  <c r="H3476" i="1"/>
  <c r="M3476" i="1" s="1"/>
  <c r="H3477" i="1"/>
  <c r="M3477" i="1" s="1"/>
  <c r="H3478" i="1"/>
  <c r="M3478" i="1" s="1"/>
  <c r="H3479" i="1"/>
  <c r="M3479" i="1" s="1"/>
  <c r="H3480" i="1"/>
  <c r="M3480" i="1" s="1"/>
  <c r="H3481" i="1"/>
  <c r="M3481" i="1" s="1"/>
  <c r="H3482" i="1"/>
  <c r="M3482" i="1" s="1"/>
  <c r="H3485" i="1"/>
  <c r="M3485" i="1" s="1"/>
  <c r="H3486" i="1"/>
  <c r="M3486" i="1" s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H3439" i="1"/>
  <c r="M3439" i="1" s="1"/>
  <c r="H3440" i="1"/>
  <c r="M3440" i="1" s="1"/>
  <c r="H3441" i="1"/>
  <c r="M3441" i="1" s="1"/>
  <c r="H3442" i="1"/>
  <c r="M3442" i="1" s="1"/>
  <c r="H3443" i="1"/>
  <c r="M3443" i="1" s="1"/>
  <c r="H3444" i="1"/>
  <c r="M3444" i="1" s="1"/>
  <c r="H3445" i="1"/>
  <c r="M3445" i="1" s="1"/>
  <c r="H3446" i="1"/>
  <c r="M3446" i="1" s="1"/>
  <c r="H3447" i="1"/>
  <c r="M3447" i="1" s="1"/>
  <c r="H3448" i="1"/>
  <c r="M3448" i="1" s="1"/>
  <c r="H3451" i="1"/>
  <c r="M3451" i="1" s="1"/>
  <c r="H3452" i="1"/>
  <c r="M3452" i="1" s="1"/>
  <c r="H3454" i="1"/>
  <c r="M3454" i="1" s="1"/>
  <c r="H3457" i="1"/>
  <c r="M3457" i="1" s="1"/>
  <c r="H3459" i="1"/>
  <c r="M3459" i="1" s="1"/>
  <c r="H3460" i="1"/>
  <c r="M3460" i="1" s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H3427" i="1"/>
  <c r="M3427" i="1" s="1"/>
  <c r="H3429" i="1"/>
  <c r="M3429" i="1" s="1"/>
  <c r="H3430" i="1"/>
  <c r="M3430" i="1" s="1"/>
  <c r="H3437" i="1"/>
  <c r="M3437" i="1" s="1"/>
  <c r="H3438" i="1"/>
  <c r="M3438" i="1" s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H3421" i="1"/>
  <c r="M3421" i="1" s="1"/>
  <c r="H3423" i="1"/>
  <c r="M3423" i="1" s="1"/>
  <c r="H3424" i="1"/>
  <c r="M3424" i="1" s="1"/>
  <c r="K3419" i="1"/>
  <c r="K3420" i="1"/>
  <c r="K3421" i="1"/>
  <c r="K3422" i="1"/>
  <c r="K3423" i="1"/>
  <c r="K3424" i="1"/>
  <c r="K3425" i="1"/>
  <c r="K3426" i="1"/>
  <c r="H3369" i="1"/>
  <c r="M3369" i="1" s="1"/>
  <c r="H3370" i="1"/>
  <c r="M3370" i="1" s="1"/>
  <c r="H3371" i="1"/>
  <c r="M3371" i="1" s="1"/>
  <c r="H3372" i="1"/>
  <c r="M3372" i="1" s="1"/>
  <c r="H3373" i="1"/>
  <c r="M3373" i="1" s="1"/>
  <c r="H3374" i="1"/>
  <c r="M3374" i="1" s="1"/>
  <c r="H3375" i="1"/>
  <c r="M3375" i="1" s="1"/>
  <c r="H3376" i="1"/>
  <c r="M3376" i="1" s="1"/>
  <c r="H3377" i="1"/>
  <c r="M3377" i="1" s="1"/>
  <c r="H3378" i="1"/>
  <c r="M3378" i="1" s="1"/>
  <c r="H3379" i="1"/>
  <c r="M3379" i="1" s="1"/>
  <c r="H3380" i="1"/>
  <c r="M3380" i="1" s="1"/>
  <c r="H3381" i="1"/>
  <c r="M3381" i="1" s="1"/>
  <c r="H3382" i="1"/>
  <c r="M3382" i="1" s="1"/>
  <c r="H3383" i="1"/>
  <c r="M3383" i="1" s="1"/>
  <c r="H3384" i="1"/>
  <c r="M3384" i="1" s="1"/>
  <c r="H3385" i="1"/>
  <c r="M3385" i="1" s="1"/>
  <c r="H3386" i="1"/>
  <c r="M3386" i="1" s="1"/>
  <c r="H3387" i="1"/>
  <c r="M3387" i="1" s="1"/>
  <c r="H3388" i="1"/>
  <c r="M3388" i="1" s="1"/>
  <c r="H3389" i="1"/>
  <c r="M3389" i="1" s="1"/>
  <c r="H3390" i="1"/>
  <c r="M3390" i="1" s="1"/>
  <c r="H3391" i="1"/>
  <c r="M3391" i="1" s="1"/>
  <c r="H3392" i="1"/>
  <c r="M3392" i="1" s="1"/>
  <c r="H3393" i="1"/>
  <c r="M3393" i="1" s="1"/>
  <c r="H3394" i="1"/>
  <c r="M3394" i="1" s="1"/>
  <c r="H3395" i="1"/>
  <c r="M3395" i="1" s="1"/>
  <c r="H3396" i="1"/>
  <c r="M3396" i="1" s="1"/>
  <c r="H3397" i="1"/>
  <c r="M3397" i="1" s="1"/>
  <c r="H3398" i="1"/>
  <c r="M3398" i="1" s="1"/>
  <c r="H3399" i="1"/>
  <c r="M3399" i="1" s="1"/>
  <c r="H3400" i="1"/>
  <c r="M3400" i="1" s="1"/>
  <c r="H3401" i="1"/>
  <c r="M3401" i="1" s="1"/>
  <c r="H3402" i="1"/>
  <c r="M3402" i="1" s="1"/>
  <c r="H3403" i="1"/>
  <c r="M3403" i="1" s="1"/>
  <c r="H3404" i="1"/>
  <c r="M3404" i="1" s="1"/>
  <c r="H3405" i="1"/>
  <c r="M3405" i="1" s="1"/>
  <c r="H3406" i="1"/>
  <c r="M3406" i="1" s="1"/>
  <c r="H3407" i="1"/>
  <c r="M3407" i="1" s="1"/>
  <c r="H3408" i="1"/>
  <c r="M3408" i="1" s="1"/>
  <c r="H3409" i="1"/>
  <c r="M3409" i="1" s="1"/>
  <c r="H3410" i="1"/>
  <c r="M3410" i="1" s="1"/>
  <c r="H3411" i="1"/>
  <c r="M3411" i="1" s="1"/>
  <c r="H3412" i="1"/>
  <c r="M3412" i="1" s="1"/>
  <c r="H3415" i="1"/>
  <c r="M3415" i="1" s="1"/>
  <c r="H3417" i="1"/>
  <c r="M3417" i="1" s="1"/>
  <c r="H3418" i="1"/>
  <c r="M3418" i="1" s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H3303" i="1"/>
  <c r="M3303" i="1" s="1"/>
  <c r="H3304" i="1"/>
  <c r="M3304" i="1" s="1"/>
  <c r="H3305" i="1"/>
  <c r="M3305" i="1" s="1"/>
  <c r="H3306" i="1"/>
  <c r="M3306" i="1" s="1"/>
  <c r="H3307" i="1"/>
  <c r="M3307" i="1" s="1"/>
  <c r="H3309" i="1"/>
  <c r="M3309" i="1" s="1"/>
  <c r="H3310" i="1"/>
  <c r="M3310" i="1" s="1"/>
  <c r="H3311" i="1"/>
  <c r="M3311" i="1" s="1"/>
  <c r="H3312" i="1"/>
  <c r="M3312" i="1" s="1"/>
  <c r="H3316" i="1"/>
  <c r="M3316" i="1" s="1"/>
  <c r="H3317" i="1"/>
  <c r="M3317" i="1" s="1"/>
  <c r="H3318" i="1"/>
  <c r="M3318" i="1" s="1"/>
  <c r="H3319" i="1"/>
  <c r="M3319" i="1" s="1"/>
  <c r="H3320" i="1"/>
  <c r="M3320" i="1" s="1"/>
  <c r="H3321" i="1"/>
  <c r="M3321" i="1" s="1"/>
  <c r="H3322" i="1"/>
  <c r="M3322" i="1" s="1"/>
  <c r="H3323" i="1"/>
  <c r="M3323" i="1" s="1"/>
  <c r="H3324" i="1"/>
  <c r="M3324" i="1" s="1"/>
  <c r="H3327" i="1"/>
  <c r="M3327" i="1" s="1"/>
  <c r="H3328" i="1"/>
  <c r="M3328" i="1" s="1"/>
  <c r="H3335" i="1"/>
  <c r="M3335" i="1" s="1"/>
  <c r="H3336" i="1"/>
  <c r="M3336" i="1" s="1"/>
  <c r="H3337" i="1"/>
  <c r="M3337" i="1" s="1"/>
  <c r="H3338" i="1"/>
  <c r="M3338" i="1" s="1"/>
  <c r="H3339" i="1"/>
  <c r="M3339" i="1" s="1"/>
  <c r="H3340" i="1"/>
  <c r="M3340" i="1" s="1"/>
  <c r="H3341" i="1"/>
  <c r="M3341" i="1" s="1"/>
  <c r="H3342" i="1"/>
  <c r="M3342" i="1" s="1"/>
  <c r="H3343" i="1"/>
  <c r="M3343" i="1" s="1"/>
  <c r="H3344" i="1"/>
  <c r="M3344" i="1" s="1"/>
  <c r="H3347" i="1"/>
  <c r="M3347" i="1" s="1"/>
  <c r="H3348" i="1"/>
  <c r="M3348" i="1" s="1"/>
  <c r="H3349" i="1"/>
  <c r="M3349" i="1" s="1"/>
  <c r="H3350" i="1"/>
  <c r="M3350" i="1" s="1"/>
  <c r="H3351" i="1"/>
  <c r="M3351" i="1" s="1"/>
  <c r="H3352" i="1"/>
  <c r="M3352" i="1" s="1"/>
  <c r="H3353" i="1"/>
  <c r="M3353" i="1" s="1"/>
  <c r="H3354" i="1"/>
  <c r="M3354" i="1" s="1"/>
  <c r="H3355" i="1"/>
  <c r="M3355" i="1" s="1"/>
  <c r="H3356" i="1"/>
  <c r="M3356" i="1" s="1"/>
  <c r="H3357" i="1"/>
  <c r="M3357" i="1" s="1"/>
  <c r="H3358" i="1"/>
  <c r="M3358" i="1" s="1"/>
  <c r="H3359" i="1"/>
  <c r="M3359" i="1" s="1"/>
  <c r="H3360" i="1"/>
  <c r="M3360" i="1" s="1"/>
  <c r="H3361" i="1"/>
  <c r="M3361" i="1" s="1"/>
  <c r="H3362" i="1"/>
  <c r="M3362" i="1" s="1"/>
  <c r="H3363" i="1"/>
  <c r="M3363" i="1" s="1"/>
  <c r="H3364" i="1"/>
  <c r="M3364" i="1" s="1"/>
  <c r="H3365" i="1"/>
  <c r="M3365" i="1" s="1"/>
  <c r="H3366" i="1"/>
  <c r="M3366" i="1" s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H3277" i="1"/>
  <c r="M3277" i="1" s="1"/>
  <c r="H3278" i="1"/>
  <c r="M3278" i="1" s="1"/>
  <c r="H3281" i="1"/>
  <c r="M3281" i="1" s="1"/>
  <c r="H3282" i="1"/>
  <c r="M3282" i="1" s="1"/>
  <c r="H3283" i="1"/>
  <c r="M3283" i="1" s="1"/>
  <c r="H3284" i="1"/>
  <c r="M3284" i="1" s="1"/>
  <c r="H3285" i="1"/>
  <c r="M3285" i="1" s="1"/>
  <c r="H3286" i="1"/>
  <c r="M3286" i="1" s="1"/>
  <c r="H3291" i="1"/>
  <c r="M3291" i="1" s="1"/>
  <c r="H3292" i="1"/>
  <c r="M3292" i="1" s="1"/>
  <c r="H3295" i="1"/>
  <c r="M3295" i="1" s="1"/>
  <c r="H3296" i="1"/>
  <c r="M3296" i="1" s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L3281" i="1"/>
  <c r="L3282" i="1"/>
  <c r="L3291" i="1"/>
  <c r="L3292" i="1"/>
  <c r="L3293" i="1"/>
  <c r="L3294" i="1"/>
  <c r="L3295" i="1"/>
  <c r="L3296" i="1"/>
  <c r="L3297" i="1"/>
  <c r="H3271" i="1"/>
  <c r="M3271" i="1" s="1"/>
  <c r="H3272" i="1"/>
  <c r="M3272" i="1" s="1"/>
  <c r="K3267" i="1"/>
  <c r="K3268" i="1"/>
  <c r="K3269" i="1"/>
  <c r="K3270" i="1"/>
  <c r="K3271" i="1"/>
  <c r="K3272" i="1"/>
  <c r="K3273" i="1"/>
  <c r="K3274" i="1"/>
  <c r="L3267" i="1"/>
  <c r="L3268" i="1"/>
  <c r="L3271" i="1"/>
  <c r="L3272" i="1"/>
  <c r="H3249" i="1"/>
  <c r="M3249" i="1" s="1"/>
  <c r="H3250" i="1"/>
  <c r="M3250" i="1" s="1"/>
  <c r="H3251" i="1"/>
  <c r="M3251" i="1" s="1"/>
  <c r="H3252" i="1"/>
  <c r="M3252" i="1" s="1"/>
  <c r="H3253" i="1"/>
  <c r="M3253" i="1" s="1"/>
  <c r="H3254" i="1"/>
  <c r="M3254" i="1" s="1"/>
  <c r="H3255" i="1"/>
  <c r="M3255" i="1" s="1"/>
  <c r="H3256" i="1"/>
  <c r="M3256" i="1" s="1"/>
  <c r="H3257" i="1"/>
  <c r="M3257" i="1" s="1"/>
  <c r="H3258" i="1"/>
  <c r="M3258" i="1" s="1"/>
  <c r="H3259" i="1"/>
  <c r="M3259" i="1" s="1"/>
  <c r="H3260" i="1"/>
  <c r="M3260" i="1" s="1"/>
  <c r="H3261" i="1"/>
  <c r="M3261" i="1" s="1"/>
  <c r="H3262" i="1"/>
  <c r="M3262" i="1" s="1"/>
  <c r="H3265" i="1"/>
  <c r="M3265" i="1" s="1"/>
  <c r="H3266" i="1"/>
  <c r="M3266" i="1" s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L3251" i="1"/>
  <c r="L3253" i="1"/>
  <c r="L3255" i="1"/>
  <c r="L3256" i="1"/>
  <c r="L3260" i="1"/>
  <c r="L3264" i="1"/>
  <c r="K3239" i="1"/>
  <c r="K3240" i="1"/>
  <c r="K3241" i="1"/>
  <c r="K3242" i="1"/>
  <c r="K3243" i="1"/>
  <c r="K3244" i="1"/>
  <c r="K3245" i="1"/>
  <c r="K3246" i="1"/>
  <c r="H3368" i="1" l="1"/>
  <c r="M3368" i="1" s="1"/>
  <c r="H3428" i="1"/>
  <c r="M3428" i="1" s="1"/>
  <c r="H3367" i="1"/>
  <c r="M3367" i="1" s="1"/>
  <c r="H3293" i="1"/>
  <c r="M3293" i="1" s="1"/>
  <c r="L3265" i="1"/>
  <c r="K1432" i="2" a="1"/>
  <c r="K1432" i="2" s="1"/>
  <c r="L1428" i="2"/>
  <c r="H3294" i="1"/>
  <c r="M3294" i="1" s="1"/>
  <c r="L1418" i="2"/>
  <c r="L1416" i="2"/>
  <c r="K1381" i="2" a="1"/>
  <c r="K1381" i="2" s="1"/>
  <c r="L1346" i="2"/>
  <c r="H3314" i="1"/>
  <c r="M3314" i="1" s="1"/>
  <c r="L3270" i="1"/>
  <c r="L3269" i="1"/>
  <c r="H3313" i="1"/>
  <c r="M3313" i="1" s="1"/>
  <c r="H3287" i="1"/>
  <c r="M3287" i="1" s="1"/>
  <c r="K1365" i="2" a="1"/>
  <c r="K1365" i="2" s="1"/>
  <c r="I1413" i="2" a="1"/>
  <c r="I1413" i="2" s="1"/>
  <c r="L1413" i="2" s="1"/>
  <c r="H3288" i="1"/>
  <c r="M3288" i="1" s="1"/>
  <c r="H3420" i="1"/>
  <c r="M3420" i="1" s="1"/>
  <c r="L3259" i="1"/>
  <c r="H3419" i="1"/>
  <c r="M3419" i="1" s="1"/>
  <c r="K1349" i="2" a="1"/>
  <c r="K1349" i="2" s="1"/>
  <c r="L1348" i="2"/>
  <c r="L1412" i="2"/>
  <c r="L1410" i="2"/>
  <c r="L1409" i="2"/>
  <c r="L1408" i="2"/>
  <c r="L1344" i="2"/>
  <c r="I1398" i="2" a="1"/>
  <c r="I1398" i="2" s="1"/>
  <c r="L1342" i="2"/>
  <c r="L1437" i="2"/>
  <c r="L1436" i="2"/>
  <c r="L1349" i="2"/>
  <c r="L1415" i="2"/>
  <c r="L1420" i="2"/>
  <c r="K1425" i="2" a="1"/>
  <c r="K1425" i="2" s="1"/>
  <c r="I1431" i="2" a="1"/>
  <c r="I1431" i="2" s="1"/>
  <c r="H3413" i="1"/>
  <c r="M3413" i="1" s="1"/>
  <c r="H3279" i="1"/>
  <c r="M3279" i="1" s="1"/>
  <c r="H3544" i="1"/>
  <c r="M3544" i="1" s="1"/>
  <c r="K1409" i="2" a="1"/>
  <c r="K1409" i="2" s="1"/>
  <c r="H3280" i="1"/>
  <c r="M3280" i="1" s="1"/>
  <c r="N3280" i="1" s="1"/>
  <c r="H3414" i="1"/>
  <c r="M3414" i="1" s="1"/>
  <c r="M1347" i="2"/>
  <c r="L1347" i="2"/>
  <c r="H3345" i="1"/>
  <c r="M3345" i="1" s="1"/>
  <c r="L3290" i="1"/>
  <c r="L3289" i="1"/>
  <c r="L3250" i="1"/>
  <c r="L3249" i="1"/>
  <c r="L3280" i="1"/>
  <c r="L3279" i="1"/>
  <c r="N3279" i="1" s="1"/>
  <c r="L3278" i="1"/>
  <c r="L3277" i="1"/>
  <c r="N3277" i="1" s="1"/>
  <c r="K1431" i="2" a="1"/>
  <c r="K1431" i="2" s="1"/>
  <c r="H3346" i="1"/>
  <c r="M3346" i="1" s="1"/>
  <c r="H3267" i="1"/>
  <c r="M3267" i="1" s="1"/>
  <c r="H3268" i="1"/>
  <c r="M3268" i="1" s="1"/>
  <c r="N3268" i="1" s="1"/>
  <c r="H3432" i="1"/>
  <c r="M3432" i="1" s="1"/>
  <c r="K1402" i="2" a="1"/>
  <c r="K1402" i="2" s="1"/>
  <c r="H3431" i="1"/>
  <c r="M3431" i="1" s="1"/>
  <c r="K1418" i="2" a="1"/>
  <c r="K1418" i="2" s="1"/>
  <c r="H3499" i="1"/>
  <c r="M3499" i="1" s="1"/>
  <c r="H3300" i="1"/>
  <c r="M3300" i="1" s="1"/>
  <c r="I1326" i="2" a="1"/>
  <c r="I1326" i="2" s="1"/>
  <c r="H3248" i="1"/>
  <c r="M3248" i="1" s="1"/>
  <c r="K1358" i="2" a="1"/>
  <c r="K1358" i="2" s="1"/>
  <c r="H3247" i="1"/>
  <c r="M3247" i="1" s="1"/>
  <c r="K1310" i="2" a="1"/>
  <c r="K1310" i="2" s="1"/>
  <c r="K1342" i="2" a="1"/>
  <c r="K1342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K1357" i="2" a="1"/>
  <c r="K1357" i="2" s="1"/>
  <c r="K1323" i="2" a="1"/>
  <c r="K1323" i="2" s="1"/>
  <c r="I1339" i="2" a="1"/>
  <c r="I1339" i="2" s="1"/>
  <c r="H3488" i="1"/>
  <c r="M3488" i="1" s="1"/>
  <c r="K1355" i="2" a="1"/>
  <c r="K1355" i="2" s="1"/>
  <c r="I1426" i="2" a="1"/>
  <c r="I1426" i="2" s="1"/>
  <c r="K1373" i="2" a="1"/>
  <c r="K1373" i="2" s="1"/>
  <c r="H3530" i="1"/>
  <c r="M3530" i="1" s="1"/>
  <c r="H3484" i="1"/>
  <c r="M3484" i="1" s="1"/>
  <c r="H3453" i="1"/>
  <c r="M3453" i="1" s="1"/>
  <c r="I1389" i="2" a="1"/>
  <c r="I1389" i="2" s="1"/>
  <c r="H3545" i="1"/>
  <c r="M3545" i="1" s="1"/>
  <c r="N3545" i="1" s="1"/>
  <c r="H3330" i="1"/>
  <c r="M3330" i="1" s="1"/>
  <c r="K1389" i="2" a="1"/>
  <c r="K1389" i="2" s="1"/>
  <c r="K1437" i="2" a="1"/>
  <c r="K1437" i="2" s="1"/>
  <c r="I1405" i="2" a="1"/>
  <c r="I1405" i="2" s="1"/>
  <c r="H3531" i="1"/>
  <c r="M3531" i="1" s="1"/>
  <c r="I1343" i="2" a="1"/>
  <c r="I1343" i="2" s="1"/>
  <c r="L1343" i="2" s="1"/>
  <c r="K1423" i="2" a="1"/>
  <c r="K1423" i="2" s="1"/>
  <c r="K1359" i="2" a="1"/>
  <c r="K1359" i="2" s="1"/>
  <c r="K1327" i="2" a="1"/>
  <c r="K1327" i="2" s="1"/>
  <c r="I1407" i="2" a="1"/>
  <c r="I1407" i="2" s="1"/>
  <c r="L1407" i="2" s="1"/>
  <c r="I1359" i="2" a="1"/>
  <c r="I1359" i="2" s="1"/>
  <c r="H3333" i="1"/>
  <c r="M3333" i="1" s="1"/>
  <c r="K1375" i="2" a="1"/>
  <c r="K1375" i="2" s="1"/>
  <c r="K1391" i="2" a="1"/>
  <c r="K1391" i="2" s="1"/>
  <c r="I1375" i="2" a="1"/>
  <c r="I1375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I1423" i="2" a="1"/>
  <c r="I1423" i="2" s="1"/>
  <c r="I1417" i="2" a="1"/>
  <c r="I1417" i="2" s="1"/>
  <c r="L1417" i="2" s="1"/>
  <c r="L3276" i="1"/>
  <c r="L3275" i="1"/>
  <c r="H3490" i="1"/>
  <c r="M3490" i="1" s="1"/>
  <c r="H3489" i="1"/>
  <c r="M3489" i="1" s="1"/>
  <c r="K1434" i="2" a="1"/>
  <c r="K1434" i="2" s="1"/>
  <c r="L3550" i="1"/>
  <c r="I1433" i="2" a="1"/>
  <c r="I1433" i="2" s="1"/>
  <c r="L3549" i="1"/>
  <c r="N3272" i="1"/>
  <c r="H1345" i="2"/>
  <c r="L1345" i="2" s="1"/>
  <c r="I1406" i="2" a="1"/>
  <c r="I1406" i="2" s="1"/>
  <c r="L1406" i="2" s="1"/>
  <c r="K1374" i="2" a="1"/>
  <c r="K1374" i="2" s="1"/>
  <c r="H3274" i="1"/>
  <c r="M3274" i="1" s="1"/>
  <c r="K1390" i="2" a="1"/>
  <c r="K1390" i="2" s="1"/>
  <c r="I1422" i="2" a="1"/>
  <c r="I1422" i="2" s="1"/>
  <c r="L1422" i="2" s="1"/>
  <c r="H3548" i="1"/>
  <c r="M3548" i="1" s="1"/>
  <c r="K1406" i="2" a="1"/>
  <c r="K1406" i="2" s="1"/>
  <c r="I1421" i="2" a="1"/>
  <c r="I1421" i="2" s="1"/>
  <c r="H3264" i="1"/>
  <c r="M3264" i="1" s="1"/>
  <c r="N3264" i="1" s="1"/>
  <c r="H3297" i="1"/>
  <c r="M3297" i="1" s="1"/>
  <c r="N3297" i="1" s="1"/>
  <c r="H3331" i="1"/>
  <c r="M3331" i="1" s="1"/>
  <c r="H3263" i="1"/>
  <c r="M3263" i="1" s="1"/>
  <c r="H3273" i="1"/>
  <c r="M3273" i="1" s="1"/>
  <c r="N3273" i="1" s="1"/>
  <c r="H3546" i="1"/>
  <c r="M3546" i="1" s="1"/>
  <c r="N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K1421" i="2" a="1"/>
  <c r="K1421" i="2" s="1"/>
  <c r="I1438" i="2" a="1"/>
  <c r="I1438" i="2" s="1"/>
  <c r="M1436" i="2"/>
  <c r="M1348" i="2"/>
  <c r="N3254" i="1"/>
  <c r="N3253" i="1"/>
  <c r="L3298" i="1"/>
  <c r="M1420" i="2"/>
  <c r="M1437" i="2"/>
  <c r="L3261" i="1"/>
  <c r="N3261" i="1" s="1"/>
  <c r="L3288" i="1"/>
  <c r="L3287" i="1"/>
  <c r="N3287" i="1" s="1"/>
  <c r="M1409" i="2"/>
  <c r="I1387" i="2" a="1"/>
  <c r="I1387" i="2" s="1"/>
  <c r="M1415" i="2"/>
  <c r="I1435" i="2" a="1"/>
  <c r="I1435" i="2" s="1"/>
  <c r="I1371" i="2" a="1"/>
  <c r="I1371" i="2" s="1"/>
  <c r="H1411" i="2"/>
  <c r="L1411" i="2" s="1"/>
  <c r="K1403" i="2" a="1"/>
  <c r="K1403" i="2" s="1"/>
  <c r="K1435" i="2" a="1"/>
  <c r="K1435" i="2" s="1"/>
  <c r="I1419" i="2" a="1"/>
  <c r="I1419" i="2" s="1"/>
  <c r="H3436" i="1"/>
  <c r="M3436" i="1" s="1"/>
  <c r="H3326" i="1"/>
  <c r="M3326" i="1" s="1"/>
  <c r="H3325" i="1"/>
  <c r="M3325" i="1" s="1"/>
  <c r="L3258" i="1"/>
  <c r="N3258" i="1" s="1"/>
  <c r="H3270" i="1"/>
  <c r="M3270" i="1" s="1"/>
  <c r="N3270" i="1" s="1"/>
  <c r="L3284" i="1"/>
  <c r="N3284" i="1" s="1"/>
  <c r="H3435" i="1"/>
  <c r="M3435" i="1" s="1"/>
  <c r="H3269" i="1"/>
  <c r="M3269" i="1" s="1"/>
  <c r="N3269" i="1" s="1"/>
  <c r="H3434" i="1"/>
  <c r="M3434" i="1" s="1"/>
  <c r="M1418" i="2"/>
  <c r="M1408" i="2"/>
  <c r="M1410" i="2"/>
  <c r="L3286" i="1"/>
  <c r="N3286" i="1" s="1"/>
  <c r="M1412" i="2"/>
  <c r="L3285" i="1"/>
  <c r="N3285" i="1" s="1"/>
  <c r="K1414" i="2" a="1"/>
  <c r="K1414" i="2" s="1"/>
  <c r="I1414" i="2" a="1"/>
  <c r="I1414" i="2" s="1"/>
  <c r="H3542" i="1"/>
  <c r="M3542" i="1" s="1"/>
  <c r="H3290" i="1"/>
  <c r="M3290" i="1" s="1"/>
  <c r="N3290" i="1" s="1"/>
  <c r="L3274" i="1"/>
  <c r="H3289" i="1"/>
  <c r="M3289" i="1" s="1"/>
  <c r="N3289" i="1" s="1"/>
  <c r="L3263" i="1"/>
  <c r="H3541" i="1"/>
  <c r="M3541" i="1" s="1"/>
  <c r="I1430" i="2" a="1"/>
  <c r="I1430" i="2" s="1"/>
  <c r="L3252" i="1"/>
  <c r="N3252" i="1" s="1"/>
  <c r="M1416" i="2"/>
  <c r="L3262" i="1"/>
  <c r="N3262" i="1" s="1"/>
  <c r="M1349" i="2"/>
  <c r="M1428" i="2"/>
  <c r="L3266" i="1"/>
  <c r="N3266" i="1" s="1"/>
  <c r="L3257" i="1"/>
  <c r="N3257" i="1" s="1"/>
  <c r="L3547" i="1"/>
  <c r="N3547" i="1" s="1"/>
  <c r="L3548" i="1"/>
  <c r="M1342" i="2"/>
  <c r="L3247" i="1"/>
  <c r="M1344" i="2"/>
  <c r="M1346" i="2"/>
  <c r="N3278" i="1"/>
  <c r="L3248" i="1"/>
  <c r="K1366" i="2" a="1"/>
  <c r="K1366" i="2" s="1"/>
  <c r="H3315" i="1"/>
  <c r="M3315" i="1" s="1"/>
  <c r="K1408" i="2" a="1"/>
  <c r="K1408" i="2" s="1"/>
  <c r="K1382" i="2" a="1"/>
  <c r="K1382" i="2" s="1"/>
  <c r="H3550" i="1"/>
  <c r="M3550" i="1" s="1"/>
  <c r="H3549" i="1"/>
  <c r="M3549" i="1" s="1"/>
  <c r="I1366" i="2" a="1"/>
  <c r="I1366" i="2" s="1"/>
  <c r="N3255" i="1"/>
  <c r="N3265" i="1"/>
  <c r="N3249" i="1"/>
  <c r="N3267" i="1"/>
  <c r="N3283" i="1"/>
  <c r="N3281" i="1"/>
  <c r="N3295" i="1"/>
  <c r="N3282" i="1"/>
  <c r="N3294" i="1"/>
  <c r="N3293" i="1"/>
  <c r="N3292" i="1"/>
  <c r="N3291" i="1"/>
  <c r="N3251" i="1"/>
  <c r="N3250" i="1"/>
  <c r="N3259" i="1"/>
  <c r="N3256" i="1"/>
  <c r="N3260" i="1"/>
  <c r="N3271" i="1"/>
  <c r="N3296" i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37" i="2"/>
  <c r="H37" i="2" s="1"/>
  <c r="G38" i="2"/>
  <c r="H38" i="2" s="1"/>
  <c r="G39" i="2"/>
  <c r="H39" i="2" s="1"/>
  <c r="G40" i="2"/>
  <c r="H40" i="2" s="1"/>
  <c r="G41" i="2"/>
  <c r="H41" i="2" s="1"/>
  <c r="G43" i="2"/>
  <c r="H43" i="2" s="1"/>
  <c r="G44" i="2"/>
  <c r="H44" i="2" s="1"/>
  <c r="G48" i="2"/>
  <c r="H48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61" i="2"/>
  <c r="G162" i="2"/>
  <c r="H162" i="2" s="1"/>
  <c r="G163" i="2"/>
  <c r="H163" i="2" s="1"/>
  <c r="G164" i="2"/>
  <c r="H164" i="2" s="1"/>
  <c r="G165" i="2"/>
  <c r="H165" i="2" s="1"/>
  <c r="G185" i="2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5" i="2"/>
  <c r="H205" i="2" s="1"/>
  <c r="G206" i="2"/>
  <c r="H206" i="2" s="1"/>
  <c r="G207" i="2"/>
  <c r="H207" i="2" s="1"/>
  <c r="G209" i="2"/>
  <c r="H209" i="2" s="1"/>
  <c r="G214" i="2"/>
  <c r="H214" i="2" s="1"/>
  <c r="G216" i="2"/>
  <c r="H216" i="2" s="1"/>
  <c r="G217" i="2"/>
  <c r="H217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70" i="2"/>
  <c r="H270" i="2" s="1"/>
  <c r="G271" i="2"/>
  <c r="H271" i="2" s="1"/>
  <c r="G272" i="2"/>
  <c r="H272" i="2" s="1"/>
  <c r="G273" i="2"/>
  <c r="H273" i="2" s="1"/>
  <c r="G274" i="2"/>
  <c r="H274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6" i="2"/>
  <c r="H286" i="2" s="1"/>
  <c r="G287" i="2"/>
  <c r="H287" i="2" s="1"/>
  <c r="G288" i="2"/>
  <c r="H288" i="2" s="1"/>
  <c r="G289" i="2"/>
  <c r="H289" i="2" s="1"/>
  <c r="G292" i="2"/>
  <c r="H292" i="2" s="1"/>
  <c r="G294" i="2"/>
  <c r="H294" i="2" s="1"/>
  <c r="G309" i="2"/>
  <c r="H309" i="2" s="1"/>
  <c r="G310" i="2"/>
  <c r="H310" i="2" s="1"/>
  <c r="G311" i="2"/>
  <c r="H311" i="2" s="1"/>
  <c r="G320" i="2"/>
  <c r="H320" i="2" s="1"/>
  <c r="G321" i="2"/>
  <c r="H321" i="2" s="1"/>
  <c r="G323" i="2"/>
  <c r="H323" i="2" s="1"/>
  <c r="G324" i="2"/>
  <c r="H324" i="2" s="1"/>
  <c r="G328" i="2"/>
  <c r="H328" i="2" s="1"/>
  <c r="G350" i="2"/>
  <c r="H350" i="2" s="1"/>
  <c r="G351" i="2"/>
  <c r="H351" i="2" s="1"/>
  <c r="G352" i="2"/>
  <c r="H352" i="2" s="1"/>
  <c r="G353" i="2"/>
  <c r="H353" i="2" s="1"/>
  <c r="G370" i="2"/>
  <c r="H370" i="2" s="1"/>
  <c r="G371" i="2"/>
  <c r="H371" i="2" s="1"/>
  <c r="G372" i="2"/>
  <c r="H372" i="2" s="1"/>
  <c r="G373" i="2"/>
  <c r="H373" i="2" s="1"/>
  <c r="G376" i="2"/>
  <c r="H376" i="2" s="1"/>
  <c r="G377" i="2"/>
  <c r="H377" i="2" s="1"/>
  <c r="G378" i="2"/>
  <c r="H378" i="2" s="1"/>
  <c r="G379" i="2"/>
  <c r="H379" i="2" s="1"/>
  <c r="G386" i="2"/>
  <c r="H386" i="2" s="1"/>
  <c r="G387" i="2"/>
  <c r="H387" i="2" s="1"/>
  <c r="G408" i="2"/>
  <c r="H408" i="2" s="1"/>
  <c r="G409" i="2"/>
  <c r="H409" i="2" s="1"/>
  <c r="G410" i="2"/>
  <c r="H410" i="2" s="1"/>
  <c r="G420" i="2"/>
  <c r="H420" i="2" s="1"/>
  <c r="G421" i="2"/>
  <c r="H421" i="2" s="1"/>
  <c r="G423" i="2"/>
  <c r="H423" i="2" s="1"/>
  <c r="G424" i="2"/>
  <c r="H424" i="2" s="1"/>
  <c r="G428" i="2"/>
  <c r="H428" i="2" s="1"/>
  <c r="G439" i="2"/>
  <c r="H439" i="2" s="1"/>
  <c r="G440" i="2"/>
  <c r="H440" i="2" s="1"/>
  <c r="G446" i="2"/>
  <c r="H446" i="2" s="1"/>
  <c r="G447" i="2"/>
  <c r="H447" i="2" s="1"/>
  <c r="G448" i="2"/>
  <c r="H448" i="2" s="1"/>
  <c r="G449" i="2"/>
  <c r="H449" i="2" s="1"/>
  <c r="G453" i="2"/>
  <c r="H4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39" i="2"/>
  <c r="H639" i="2" s="1"/>
  <c r="G640" i="2"/>
  <c r="H640" i="2" s="1"/>
  <c r="G641" i="2"/>
  <c r="H641" i="2" s="1"/>
  <c r="G642" i="2"/>
  <c r="H642" i="2" s="1"/>
  <c r="G643" i="2"/>
  <c r="H643" i="2" s="1"/>
  <c r="G644" i="2"/>
  <c r="H644" i="2" s="1"/>
  <c r="G645" i="2"/>
  <c r="H645" i="2" s="1"/>
  <c r="G646" i="2"/>
  <c r="H646" i="2" s="1"/>
  <c r="G669" i="2"/>
  <c r="H669" i="2" s="1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H681" i="2" s="1"/>
  <c r="G682" i="2"/>
  <c r="H682" i="2" s="1"/>
  <c r="G683" i="2"/>
  <c r="H683" i="2" s="1"/>
  <c r="G684" i="2"/>
  <c r="H684" i="2" s="1"/>
  <c r="G685" i="2"/>
  <c r="H685" i="2" s="1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H693" i="2" s="1"/>
  <c r="G694" i="2"/>
  <c r="H694" i="2" s="1"/>
  <c r="G695" i="2"/>
  <c r="H695" i="2" s="1"/>
  <c r="G696" i="2"/>
  <c r="H696" i="2" s="1"/>
  <c r="G697" i="2"/>
  <c r="H697" i="2" s="1"/>
  <c r="G698" i="2"/>
  <c r="H698" i="2" s="1"/>
  <c r="G699" i="2"/>
  <c r="H699" i="2" s="1"/>
  <c r="G700" i="2"/>
  <c r="H700" i="2" s="1"/>
  <c r="G701" i="2"/>
  <c r="H701" i="2" s="1"/>
  <c r="G702" i="2"/>
  <c r="H702" i="2" s="1"/>
  <c r="G704" i="2"/>
  <c r="H704" i="2" s="1"/>
  <c r="G705" i="2"/>
  <c r="H705" i="2" s="1"/>
  <c r="G706" i="2"/>
  <c r="H706" i="2" s="1"/>
  <c r="G707" i="2"/>
  <c r="H707" i="2" s="1"/>
  <c r="G712" i="2"/>
  <c r="H712" i="2" s="1"/>
  <c r="G714" i="2"/>
  <c r="H714" i="2" s="1"/>
  <c r="G715" i="2"/>
  <c r="H715" i="2" s="1"/>
  <c r="G759" i="2"/>
  <c r="H759" i="2" s="1"/>
  <c r="G760" i="2"/>
  <c r="H760" i="2" s="1"/>
  <c r="G761" i="2"/>
  <c r="G762" i="2"/>
  <c r="H762" i="2" s="1"/>
  <c r="G763" i="2"/>
  <c r="H763" i="2" s="1"/>
  <c r="G764" i="2"/>
  <c r="H764" i="2" s="1"/>
  <c r="G765" i="2"/>
  <c r="H765" i="2" s="1"/>
  <c r="G766" i="2"/>
  <c r="H766" i="2" s="1"/>
  <c r="G781" i="2"/>
  <c r="H781" i="2" s="1"/>
  <c r="G782" i="2"/>
  <c r="H782" i="2" s="1"/>
  <c r="G783" i="2"/>
  <c r="H783" i="2" s="1"/>
  <c r="G784" i="2"/>
  <c r="H784" i="2" s="1"/>
  <c r="G785" i="2"/>
  <c r="H785" i="2" s="1"/>
  <c r="G792" i="2"/>
  <c r="H792" i="2" s="1"/>
  <c r="G793" i="2"/>
  <c r="H793" i="2" s="1"/>
  <c r="G794" i="2"/>
  <c r="H794" i="2" s="1"/>
  <c r="G795" i="2"/>
  <c r="H795" i="2" s="1"/>
  <c r="G796" i="2"/>
  <c r="H796" i="2" s="1"/>
  <c r="G797" i="2"/>
  <c r="H797" i="2" s="1"/>
  <c r="G798" i="2"/>
  <c r="H798" i="2" s="1"/>
  <c r="G800" i="2"/>
  <c r="H800" i="2" s="1"/>
  <c r="G801" i="2"/>
  <c r="H801" i="2" s="1"/>
  <c r="G802" i="2"/>
  <c r="H802" i="2" s="1"/>
  <c r="G803" i="2"/>
  <c r="H803" i="2" s="1"/>
  <c r="G806" i="2"/>
  <c r="H806" i="2" s="1"/>
  <c r="G808" i="2"/>
  <c r="H808" i="2" s="1"/>
  <c r="G841" i="2"/>
  <c r="H841" i="2" s="1"/>
  <c r="G842" i="2"/>
  <c r="H842" i="2" s="1"/>
  <c r="G843" i="2"/>
  <c r="H843" i="2" s="1"/>
  <c r="G844" i="2"/>
  <c r="H844" i="2" s="1"/>
  <c r="G845" i="2"/>
  <c r="H845" i="2" s="1"/>
  <c r="G846" i="2"/>
  <c r="H846" i="2" s="1"/>
  <c r="G847" i="2"/>
  <c r="H847" i="2" s="1"/>
  <c r="G848" i="2"/>
  <c r="H848" i="2" s="1"/>
  <c r="G849" i="2"/>
  <c r="H849" i="2" s="1"/>
  <c r="G868" i="2"/>
  <c r="H868" i="2" s="1"/>
  <c r="G869" i="2"/>
  <c r="H869" i="2" s="1"/>
  <c r="G876" i="2"/>
  <c r="H876" i="2" s="1"/>
  <c r="G877" i="2"/>
  <c r="H877" i="2" s="1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6" i="2"/>
  <c r="H886" i="2" s="1"/>
  <c r="G889" i="2"/>
  <c r="H889" i="2" s="1"/>
  <c r="G896" i="2"/>
  <c r="H896" i="2" s="1"/>
  <c r="G899" i="2"/>
  <c r="H899" i="2" s="1"/>
  <c r="G935" i="2"/>
  <c r="H935" i="2" s="1"/>
  <c r="G936" i="2"/>
  <c r="H936" i="2" s="1"/>
  <c r="G937" i="2"/>
  <c r="H937" i="2" s="1"/>
  <c r="G938" i="2"/>
  <c r="H938" i="2" s="1"/>
  <c r="G939" i="2"/>
  <c r="H939" i="2" s="1"/>
  <c r="G940" i="2"/>
  <c r="H940" i="2" s="1"/>
  <c r="G941" i="2"/>
  <c r="H941" i="2" s="1"/>
  <c r="G942" i="2"/>
  <c r="H942" i="2" s="1"/>
  <c r="G943" i="2"/>
  <c r="H943" i="2" s="1"/>
  <c r="G944" i="2"/>
  <c r="H944" i="2" s="1"/>
  <c r="G945" i="2"/>
  <c r="H945" i="2" s="1"/>
  <c r="G946" i="2"/>
  <c r="H946" i="2" s="1"/>
  <c r="G947" i="2"/>
  <c r="H947" i="2" s="1"/>
  <c r="G966" i="2"/>
  <c r="G967" i="2"/>
  <c r="H967" i="2" s="1"/>
  <c r="G968" i="2"/>
  <c r="G969" i="2"/>
  <c r="G970" i="2"/>
  <c r="H970" i="2" s="1"/>
  <c r="G971" i="2"/>
  <c r="G972" i="2"/>
  <c r="G973" i="2"/>
  <c r="G1008" i="2"/>
  <c r="H1008" i="2" s="1"/>
  <c r="G1009" i="2"/>
  <c r="H1009" i="2" s="1"/>
  <c r="G1010" i="2"/>
  <c r="H1010" i="2" s="1"/>
  <c r="G1011" i="2"/>
  <c r="H1011" i="2" s="1"/>
  <c r="G1012" i="2"/>
  <c r="H1012" i="2" s="1"/>
  <c r="G1013" i="2"/>
  <c r="H1013" i="2" s="1"/>
  <c r="G1014" i="2"/>
  <c r="H1014" i="2" s="1"/>
  <c r="G1015" i="2"/>
  <c r="H1015" i="2" s="1"/>
  <c r="G1016" i="2"/>
  <c r="H1016" i="2" s="1"/>
  <c r="G1017" i="2"/>
  <c r="H1017" i="2" s="1"/>
  <c r="G1018" i="2"/>
  <c r="H1018" i="2" s="1"/>
  <c r="G1019" i="2"/>
  <c r="H1019" i="2" s="1"/>
  <c r="G1020" i="2"/>
  <c r="H1020" i="2" s="1"/>
  <c r="G1021" i="2"/>
  <c r="H1021" i="2" s="1"/>
  <c r="G1022" i="2"/>
  <c r="H1022" i="2" s="1"/>
  <c r="G1023" i="2"/>
  <c r="H1023" i="2" s="1"/>
  <c r="G1024" i="2"/>
  <c r="H1024" i="2" s="1"/>
  <c r="G1025" i="2"/>
  <c r="H1025" i="2" s="1"/>
  <c r="G1026" i="2"/>
  <c r="H1026" i="2" s="1"/>
  <c r="G1027" i="2"/>
  <c r="H1027" i="2" s="1"/>
  <c r="G1028" i="2"/>
  <c r="H1028" i="2" s="1"/>
  <c r="G1029" i="2"/>
  <c r="H1029" i="2" s="1"/>
  <c r="G1030" i="2"/>
  <c r="H1030" i="2" s="1"/>
  <c r="G1031" i="2"/>
  <c r="H1031" i="2" s="1"/>
  <c r="G1032" i="2"/>
  <c r="H1032" i="2" s="1"/>
  <c r="G1033" i="2"/>
  <c r="H1033" i="2" s="1"/>
  <c r="G1034" i="2"/>
  <c r="H1034" i="2" s="1"/>
  <c r="G1035" i="2"/>
  <c r="H1035" i="2" s="1"/>
  <c r="G1036" i="2"/>
  <c r="H1036" i="2" s="1"/>
  <c r="G1037" i="2"/>
  <c r="H1037" i="2" s="1"/>
  <c r="G1038" i="2"/>
  <c r="H1038" i="2" s="1"/>
  <c r="G1039" i="2"/>
  <c r="H1039" i="2" s="1"/>
  <c r="G1040" i="2"/>
  <c r="H1040" i="2" s="1"/>
  <c r="G1041" i="2"/>
  <c r="H1041" i="2" s="1"/>
  <c r="G1042" i="2"/>
  <c r="H1042" i="2" s="1"/>
  <c r="G1043" i="2"/>
  <c r="H1043" i="2" s="1"/>
  <c r="G1044" i="2"/>
  <c r="H1044" i="2" s="1"/>
  <c r="G1045" i="2"/>
  <c r="H1045" i="2" s="1"/>
  <c r="G1046" i="2"/>
  <c r="H1046" i="2" s="1"/>
  <c r="G1047" i="2"/>
  <c r="H1047" i="2" s="1"/>
  <c r="G1048" i="2"/>
  <c r="H1048" i="2" s="1"/>
  <c r="G1049" i="2"/>
  <c r="H1049" i="2" s="1"/>
  <c r="G1050" i="2"/>
  <c r="H1050" i="2" s="1"/>
  <c r="G1051" i="2"/>
  <c r="H1051" i="2" s="1"/>
  <c r="G1052" i="2"/>
  <c r="H1052" i="2" s="1"/>
  <c r="G1053" i="2"/>
  <c r="H1053" i="2" s="1"/>
  <c r="G1054" i="2"/>
  <c r="H1054" i="2" s="1"/>
  <c r="G1055" i="2"/>
  <c r="H1055" i="2" s="1"/>
  <c r="G1056" i="2"/>
  <c r="H1056" i="2" s="1"/>
  <c r="G1057" i="2"/>
  <c r="H1057" i="2" s="1"/>
  <c r="G1058" i="2"/>
  <c r="H1058" i="2" s="1"/>
  <c r="G1059" i="2"/>
  <c r="H1059" i="2" s="1"/>
  <c r="G1060" i="2"/>
  <c r="H1060" i="2" s="1"/>
  <c r="G1061" i="2"/>
  <c r="H1061" i="2" s="1"/>
  <c r="G1062" i="2"/>
  <c r="H1062" i="2" s="1"/>
  <c r="G1063" i="2"/>
  <c r="H1063" i="2" s="1"/>
  <c r="G1064" i="2"/>
  <c r="H1064" i="2" s="1"/>
  <c r="G1065" i="2"/>
  <c r="H1065" i="2" s="1"/>
  <c r="G1066" i="2"/>
  <c r="H1066" i="2" s="1"/>
  <c r="G1067" i="2"/>
  <c r="H1067" i="2" s="1"/>
  <c r="G1068" i="2"/>
  <c r="H1068" i="2" s="1"/>
  <c r="G1069" i="2"/>
  <c r="H1069" i="2" s="1"/>
  <c r="G1070" i="2"/>
  <c r="H1070" i="2" s="1"/>
  <c r="G1071" i="2"/>
  <c r="H1071" i="2" s="1"/>
  <c r="G1072" i="2"/>
  <c r="H1072" i="2" s="1"/>
  <c r="G1073" i="2"/>
  <c r="H1073" i="2" s="1"/>
  <c r="G1074" i="2"/>
  <c r="H1074" i="2" s="1"/>
  <c r="G1075" i="2"/>
  <c r="H1075" i="2" s="1"/>
  <c r="L3230" i="1" s="1"/>
  <c r="G1098" i="2"/>
  <c r="G1099" i="2"/>
  <c r="G1100" i="2"/>
  <c r="H1100" i="2" s="1"/>
  <c r="G1101" i="2"/>
  <c r="H1101" i="2" s="1"/>
  <c r="G1102" i="2"/>
  <c r="H1102" i="2" s="1"/>
  <c r="G1103" i="2"/>
  <c r="H1103" i="2" s="1"/>
  <c r="G1108" i="2"/>
  <c r="H1108" i="2" s="1"/>
  <c r="G1109" i="2"/>
  <c r="H1109" i="2" s="1"/>
  <c r="G1111" i="2"/>
  <c r="H1111" i="2" s="1"/>
  <c r="G1114" i="2"/>
  <c r="H1114" i="2" s="1"/>
  <c r="G1119" i="2"/>
  <c r="H1119" i="2" s="1"/>
  <c r="G1123" i="2"/>
  <c r="H1123" i="2" s="1"/>
  <c r="G1124" i="2"/>
  <c r="G1125" i="2"/>
  <c r="H1125" i="2" s="1"/>
  <c r="G1126" i="2"/>
  <c r="H1126" i="2" s="1"/>
  <c r="G1127" i="2"/>
  <c r="H1127" i="2" s="1"/>
  <c r="G1128" i="2"/>
  <c r="H1128" i="2" s="1"/>
  <c r="G1129" i="2"/>
  <c r="H1129" i="2" s="1"/>
  <c r="G1130" i="2"/>
  <c r="H1130" i="2" s="1"/>
  <c r="G1131" i="2"/>
  <c r="H1131" i="2" s="1"/>
  <c r="G1132" i="2"/>
  <c r="H1132" i="2" s="1"/>
  <c r="G1133" i="2"/>
  <c r="H1133" i="2" s="1"/>
  <c r="G1134" i="2"/>
  <c r="H1134" i="2" s="1"/>
  <c r="G1135" i="2"/>
  <c r="H1135" i="2" s="1"/>
  <c r="G1136" i="2"/>
  <c r="H1136" i="2" s="1"/>
  <c r="G1145" i="2"/>
  <c r="H1145" i="2" s="1"/>
  <c r="G1148" i="2"/>
  <c r="H1148" i="2" s="1"/>
  <c r="G1149" i="2"/>
  <c r="H1149" i="2" s="1"/>
  <c r="G1150" i="2"/>
  <c r="H1150" i="2" s="1"/>
  <c r="G1151" i="2"/>
  <c r="H1151" i="2" s="1"/>
  <c r="G1152" i="2"/>
  <c r="H1152" i="2" s="1"/>
  <c r="G1153" i="2"/>
  <c r="H1153" i="2" s="1"/>
  <c r="G1154" i="2"/>
  <c r="H1154" i="2" s="1"/>
  <c r="G1155" i="2"/>
  <c r="H1155" i="2" s="1"/>
  <c r="G1156" i="2"/>
  <c r="H1156" i="2" s="1"/>
  <c r="G1157" i="2"/>
  <c r="H1157" i="2" s="1"/>
  <c r="G1169" i="2"/>
  <c r="H1169" i="2" s="1"/>
  <c r="G1170" i="2"/>
  <c r="H1170" i="2" s="1"/>
  <c r="G1171" i="2"/>
  <c r="H1171" i="2" s="1"/>
  <c r="G1172" i="2"/>
  <c r="H1172" i="2" s="1"/>
  <c r="G1173" i="2"/>
  <c r="H1173" i="2" s="1"/>
  <c r="G1174" i="2"/>
  <c r="H1174" i="2" s="1"/>
  <c r="G1175" i="2"/>
  <c r="H1175" i="2" s="1"/>
  <c r="G1176" i="2"/>
  <c r="H1176" i="2" s="1"/>
  <c r="G1187" i="2"/>
  <c r="H1187" i="2" s="1"/>
  <c r="G1188" i="2"/>
  <c r="H1188" i="2" s="1"/>
  <c r="G1189" i="2"/>
  <c r="H1189" i="2" s="1"/>
  <c r="G1191" i="2"/>
  <c r="H1191" i="2" s="1"/>
  <c r="G1192" i="2"/>
  <c r="H1192" i="2" s="1"/>
  <c r="G1196" i="2"/>
  <c r="H1196" i="2" s="1"/>
  <c r="G1211" i="2"/>
  <c r="H1211" i="2" s="1"/>
  <c r="G1221" i="2"/>
  <c r="H1221" i="2" s="1"/>
  <c r="G1226" i="2"/>
  <c r="H1226" i="2" s="1"/>
  <c r="G1227" i="2"/>
  <c r="H1227" i="2" s="1"/>
  <c r="G1228" i="2"/>
  <c r="H1228" i="2" s="1"/>
  <c r="G1229" i="2"/>
  <c r="H1229" i="2" s="1"/>
  <c r="G1230" i="2"/>
  <c r="H1230" i="2" s="1"/>
  <c r="G1231" i="2"/>
  <c r="H1231" i="2" s="1"/>
  <c r="G1232" i="2"/>
  <c r="H1232" i="2" s="1"/>
  <c r="G1233" i="2"/>
  <c r="H1233" i="2" s="1"/>
  <c r="G1234" i="2"/>
  <c r="H1234" i="2" s="1"/>
  <c r="G1235" i="2"/>
  <c r="H1235" i="2" s="1"/>
  <c r="G1236" i="2"/>
  <c r="H1236" i="2" s="1"/>
  <c r="G1237" i="2"/>
  <c r="H1237" i="2" s="1"/>
  <c r="G1238" i="2"/>
  <c r="H1238" i="2" s="1"/>
  <c r="G1245" i="2"/>
  <c r="H1245" i="2" s="1"/>
  <c r="G1251" i="2"/>
  <c r="H1251" i="2" s="1"/>
  <c r="G1252" i="2"/>
  <c r="H1252" i="2" s="1"/>
  <c r="G1253" i="2"/>
  <c r="H1253" i="2" s="1"/>
  <c r="G1254" i="2"/>
  <c r="H1254" i="2" s="1"/>
  <c r="G1255" i="2"/>
  <c r="H1255" i="2" s="1"/>
  <c r="G1256" i="2"/>
  <c r="H1256" i="2" s="1"/>
  <c r="G1257" i="2"/>
  <c r="H1257" i="2" s="1"/>
  <c r="G1258" i="2"/>
  <c r="H1258" i="2" s="1"/>
  <c r="G1259" i="2"/>
  <c r="H1259" i="2" s="1"/>
  <c r="G1262" i="2"/>
  <c r="H1262" i="2" s="1"/>
  <c r="G1264" i="2"/>
  <c r="H1264" i="2" s="1"/>
  <c r="G1265" i="2"/>
  <c r="H1265" i="2" s="1"/>
  <c r="G1266" i="2"/>
  <c r="H1266" i="2" s="1"/>
  <c r="G1267" i="2"/>
  <c r="H1267" i="2" s="1"/>
  <c r="G1268" i="2"/>
  <c r="H1268" i="2" s="1"/>
  <c r="G1269" i="2"/>
  <c r="H1269" i="2" s="1"/>
  <c r="G1271" i="2"/>
  <c r="H1271" i="2" s="1"/>
  <c r="G1272" i="2"/>
  <c r="H1272" i="2" s="1"/>
  <c r="G1273" i="2"/>
  <c r="H1273" i="2" s="1"/>
  <c r="G1274" i="2"/>
  <c r="H1274" i="2" s="1"/>
  <c r="G1277" i="2"/>
  <c r="H1277" i="2" s="1"/>
  <c r="G1279" i="2"/>
  <c r="H1279" i="2" s="1"/>
  <c r="G1281" i="2"/>
  <c r="H1281" i="2" s="1"/>
  <c r="K3233" i="1"/>
  <c r="K3234" i="1"/>
  <c r="K3235" i="1"/>
  <c r="K3236" i="1"/>
  <c r="K3237" i="1"/>
  <c r="K3238" i="1"/>
  <c r="B1286" i="2"/>
  <c r="I1286" i="2" s="1" a="1"/>
  <c r="I1286" i="2" s="1"/>
  <c r="J1286" i="2" a="1"/>
  <c r="J1286" i="2" s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H161" i="2"/>
  <c r="H185" i="2"/>
  <c r="H761" i="2"/>
  <c r="H1099" i="2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N3248" i="1" l="1"/>
  <c r="M1413" i="2"/>
  <c r="N3288" i="1"/>
  <c r="N3247" i="1"/>
  <c r="H973" i="2"/>
  <c r="L3561" i="1"/>
  <c r="L3562" i="1"/>
  <c r="H969" i="2"/>
  <c r="L3555" i="1"/>
  <c r="L3556" i="1"/>
  <c r="H966" i="2"/>
  <c r="L3551" i="1"/>
  <c r="L3552" i="1"/>
  <c r="H968" i="2"/>
  <c r="L3553" i="1"/>
  <c r="L3554" i="1"/>
  <c r="H1098" i="2"/>
  <c r="L3563" i="1"/>
  <c r="L3564" i="1"/>
  <c r="H1124" i="2"/>
  <c r="L3567" i="1"/>
  <c r="H972" i="2"/>
  <c r="L3559" i="1"/>
  <c r="L3560" i="1"/>
  <c r="L3566" i="1"/>
  <c r="L3565" i="1"/>
  <c r="H971" i="2"/>
  <c r="L3557" i="1"/>
  <c r="L3558" i="1"/>
  <c r="M1438" i="2"/>
  <c r="L1438" i="2"/>
  <c r="M1414" i="2"/>
  <c r="L1414" i="2"/>
  <c r="M1419" i="2"/>
  <c r="L1419" i="2"/>
  <c r="M1405" i="2"/>
  <c r="L1405" i="2"/>
  <c r="N3276" i="1"/>
  <c r="N3275" i="1"/>
  <c r="N3550" i="1"/>
  <c r="M1345" i="2"/>
  <c r="N3548" i="1"/>
  <c r="N3274" i="1"/>
  <c r="M1343" i="2"/>
  <c r="N3298" i="1"/>
  <c r="M1406" i="2"/>
  <c r="N3549" i="1"/>
  <c r="M1407" i="2"/>
  <c r="M1417" i="2"/>
  <c r="M1422" i="2"/>
  <c r="N3263" i="1"/>
  <c r="G1287" i="2"/>
  <c r="G1303" i="2"/>
  <c r="G1319" i="2"/>
  <c r="G1335" i="2"/>
  <c r="G1351" i="2"/>
  <c r="G1367" i="2"/>
  <c r="G1383" i="2"/>
  <c r="G1399" i="2"/>
  <c r="G1431" i="2"/>
  <c r="G1288" i="2"/>
  <c r="G1304" i="2"/>
  <c r="G1320" i="2"/>
  <c r="G1336" i="2"/>
  <c r="G1352" i="2"/>
  <c r="G1368" i="2"/>
  <c r="G1384" i="2"/>
  <c r="G1400" i="2"/>
  <c r="G1432" i="2"/>
  <c r="G1289" i="2"/>
  <c r="G1305" i="2"/>
  <c r="G1321" i="2"/>
  <c r="G1337" i="2"/>
  <c r="G1353" i="2"/>
  <c r="G1369" i="2"/>
  <c r="G1385" i="2"/>
  <c r="G1401" i="2"/>
  <c r="G1433" i="2"/>
  <c r="G1290" i="2"/>
  <c r="G1306" i="2"/>
  <c r="G1322" i="2"/>
  <c r="G1338" i="2"/>
  <c r="G1354" i="2"/>
  <c r="G1370" i="2"/>
  <c r="G1386" i="2"/>
  <c r="G1402" i="2"/>
  <c r="G1434" i="2"/>
  <c r="G1291" i="2"/>
  <c r="G1307" i="2"/>
  <c r="G1323" i="2"/>
  <c r="G1339" i="2"/>
  <c r="G1355" i="2"/>
  <c r="G1371" i="2"/>
  <c r="G1387" i="2"/>
  <c r="G1403" i="2"/>
  <c r="G1435" i="2"/>
  <c r="G1292" i="2"/>
  <c r="G1308" i="2"/>
  <c r="G1324" i="2"/>
  <c r="G1340" i="2"/>
  <c r="G1356" i="2"/>
  <c r="G1372" i="2"/>
  <c r="G1388" i="2"/>
  <c r="G1404" i="2"/>
  <c r="G1293" i="2"/>
  <c r="G1309" i="2"/>
  <c r="G1325" i="2"/>
  <c r="G1341" i="2"/>
  <c r="G1357" i="2"/>
  <c r="G1373" i="2"/>
  <c r="G1389" i="2"/>
  <c r="G1421" i="2"/>
  <c r="G1294" i="2"/>
  <c r="G1310" i="2"/>
  <c r="G1326" i="2"/>
  <c r="G1358" i="2"/>
  <c r="G1374" i="2"/>
  <c r="G1390" i="2"/>
  <c r="G1295" i="2"/>
  <c r="G1311" i="2"/>
  <c r="G1327" i="2"/>
  <c r="G1359" i="2"/>
  <c r="G1375" i="2"/>
  <c r="G1391" i="2"/>
  <c r="G1423" i="2"/>
  <c r="G1296" i="2"/>
  <c r="G1312" i="2"/>
  <c r="G1328" i="2"/>
  <c r="G1360" i="2"/>
  <c r="G1376" i="2"/>
  <c r="G1392" i="2"/>
  <c r="G1424" i="2"/>
  <c r="G1297" i="2"/>
  <c r="G1313" i="2"/>
  <c r="G1329" i="2"/>
  <c r="G1361" i="2"/>
  <c r="G1377" i="2"/>
  <c r="G1393" i="2"/>
  <c r="G1425" i="2"/>
  <c r="G1298" i="2"/>
  <c r="G1314" i="2"/>
  <c r="G1330" i="2"/>
  <c r="G1362" i="2"/>
  <c r="G1378" i="2"/>
  <c r="G1394" i="2"/>
  <c r="G1426" i="2"/>
  <c r="G1299" i="2"/>
  <c r="G1315" i="2"/>
  <c r="G1331" i="2"/>
  <c r="G1363" i="2"/>
  <c r="G1379" i="2"/>
  <c r="G1395" i="2"/>
  <c r="G1427" i="2"/>
  <c r="G1300" i="2"/>
  <c r="G1316" i="2"/>
  <c r="G1332" i="2"/>
  <c r="G1364" i="2"/>
  <c r="G1380" i="2"/>
  <c r="G1396" i="2"/>
  <c r="G1301" i="2"/>
  <c r="G1317" i="2"/>
  <c r="G1333" i="2"/>
  <c r="G1365" i="2"/>
  <c r="G1381" i="2"/>
  <c r="G1397" i="2"/>
  <c r="G1429" i="2"/>
  <c r="G1302" i="2"/>
  <c r="G1318" i="2"/>
  <c r="G1334" i="2"/>
  <c r="G1350" i="2"/>
  <c r="G1366" i="2"/>
  <c r="G1382" i="2"/>
  <c r="G1398" i="2"/>
  <c r="G1430" i="2"/>
  <c r="G7" i="2"/>
  <c r="H7" i="2" s="1"/>
  <c r="G23" i="2"/>
  <c r="H23" i="2" s="1"/>
  <c r="G55" i="2"/>
  <c r="H55" i="2" s="1"/>
  <c r="G71" i="2"/>
  <c r="H71" i="2" s="1"/>
  <c r="G87" i="2"/>
  <c r="H87" i="2" s="1"/>
  <c r="G103" i="2"/>
  <c r="H103" i="2" s="1"/>
  <c r="G135" i="2"/>
  <c r="H135" i="2" s="1"/>
  <c r="G151" i="2"/>
  <c r="H151" i="2" s="1"/>
  <c r="G167" i="2"/>
  <c r="H167" i="2" s="1"/>
  <c r="G183" i="2"/>
  <c r="H183" i="2" s="1"/>
  <c r="G215" i="2"/>
  <c r="H215" i="2" s="1"/>
  <c r="G231" i="2"/>
  <c r="H231" i="2" s="1"/>
  <c r="G247" i="2"/>
  <c r="H247" i="2" s="1"/>
  <c r="G263" i="2"/>
  <c r="H263" i="2" s="1"/>
  <c r="G295" i="2"/>
  <c r="H295" i="2" s="1"/>
  <c r="G327" i="2"/>
  <c r="H327" i="2" s="1"/>
  <c r="G343" i="2"/>
  <c r="H343" i="2" s="1"/>
  <c r="G359" i="2"/>
  <c r="H359" i="2" s="1"/>
  <c r="G375" i="2"/>
  <c r="H375" i="2" s="1"/>
  <c r="G391" i="2"/>
  <c r="H391" i="2" s="1"/>
  <c r="G407" i="2"/>
  <c r="H407" i="2" s="1"/>
  <c r="G455" i="2"/>
  <c r="H455" i="2" s="1"/>
  <c r="G471" i="2"/>
  <c r="H471" i="2" s="1"/>
  <c r="G487" i="2"/>
  <c r="H487" i="2" s="1"/>
  <c r="G503" i="2"/>
  <c r="H503" i="2" s="1"/>
  <c r="G519" i="2"/>
  <c r="H519" i="2" s="1"/>
  <c r="G535" i="2"/>
  <c r="H535" i="2" s="1"/>
  <c r="G551" i="2"/>
  <c r="H551" i="2" s="1"/>
  <c r="G615" i="2"/>
  <c r="H615" i="2" s="1"/>
  <c r="G631" i="2"/>
  <c r="H631" i="2" s="1"/>
  <c r="G647" i="2"/>
  <c r="H647" i="2" s="1"/>
  <c r="G663" i="2"/>
  <c r="H663" i="2" s="1"/>
  <c r="G711" i="2"/>
  <c r="H711" i="2" s="1"/>
  <c r="G727" i="2"/>
  <c r="H727" i="2" s="1"/>
  <c r="G743" i="2"/>
  <c r="H743" i="2" s="1"/>
  <c r="G775" i="2"/>
  <c r="H775" i="2" s="1"/>
  <c r="G791" i="2"/>
  <c r="H791" i="2" s="1"/>
  <c r="G807" i="2"/>
  <c r="H807" i="2" s="1"/>
  <c r="G823" i="2"/>
  <c r="H823" i="2" s="1"/>
  <c r="G839" i="2"/>
  <c r="H839" i="2" s="1"/>
  <c r="G855" i="2"/>
  <c r="H855" i="2" s="1"/>
  <c r="G871" i="2"/>
  <c r="H871" i="2" s="1"/>
  <c r="G887" i="2"/>
  <c r="H887" i="2" s="1"/>
  <c r="G903" i="2"/>
  <c r="H903" i="2" s="1"/>
  <c r="G919" i="2"/>
  <c r="H919" i="2" s="1"/>
  <c r="G951" i="2"/>
  <c r="H951" i="2" s="1"/>
  <c r="G9" i="2"/>
  <c r="H9" i="2" s="1"/>
  <c r="G25" i="2"/>
  <c r="H25" i="2" s="1"/>
  <c r="G57" i="2"/>
  <c r="H57" i="2" s="1"/>
  <c r="G73" i="2"/>
  <c r="H73" i="2" s="1"/>
  <c r="G89" i="2"/>
  <c r="H89" i="2" s="1"/>
  <c r="G105" i="2"/>
  <c r="H105" i="2" s="1"/>
  <c r="G137" i="2"/>
  <c r="H137" i="2" s="1"/>
  <c r="G153" i="2"/>
  <c r="H153" i="2" s="1"/>
  <c r="G169" i="2"/>
  <c r="H169" i="2" s="1"/>
  <c r="G233" i="2"/>
  <c r="H233" i="2" s="1"/>
  <c r="G249" i="2"/>
  <c r="H249" i="2" s="1"/>
  <c r="G265" i="2"/>
  <c r="H265" i="2" s="1"/>
  <c r="G297" i="2"/>
  <c r="H297" i="2" s="1"/>
  <c r="G313" i="2"/>
  <c r="H313" i="2" s="1"/>
  <c r="G329" i="2"/>
  <c r="H329" i="2" s="1"/>
  <c r="G345" i="2"/>
  <c r="H345" i="2" s="1"/>
  <c r="G361" i="2"/>
  <c r="H361" i="2" s="1"/>
  <c r="G393" i="2"/>
  <c r="H393" i="2" s="1"/>
  <c r="G425" i="2"/>
  <c r="H425" i="2" s="1"/>
  <c r="G441" i="2"/>
  <c r="H441" i="2" s="1"/>
  <c r="G457" i="2"/>
  <c r="H457" i="2" s="1"/>
  <c r="G473" i="2"/>
  <c r="H473" i="2" s="1"/>
  <c r="G489" i="2"/>
  <c r="H489" i="2" s="1"/>
  <c r="G505" i="2"/>
  <c r="H505" i="2" s="1"/>
  <c r="G521" i="2"/>
  <c r="H521" i="2" s="1"/>
  <c r="G537" i="2"/>
  <c r="H537" i="2" s="1"/>
  <c r="G553" i="2"/>
  <c r="H553" i="2" s="1"/>
  <c r="G601" i="2"/>
  <c r="H601" i="2" s="1"/>
  <c r="G617" i="2"/>
  <c r="H617" i="2" s="1"/>
  <c r="G633" i="2"/>
  <c r="H633" i="2" s="1"/>
  <c r="G649" i="2"/>
  <c r="H649" i="2" s="1"/>
  <c r="G665" i="2"/>
  <c r="H665" i="2" s="1"/>
  <c r="G713" i="2"/>
  <c r="H713" i="2" s="1"/>
  <c r="G729" i="2"/>
  <c r="H729" i="2" s="1"/>
  <c r="G745" i="2"/>
  <c r="H745" i="2" s="1"/>
  <c r="G777" i="2"/>
  <c r="H777" i="2" s="1"/>
  <c r="G809" i="2"/>
  <c r="H809" i="2" s="1"/>
  <c r="G825" i="2"/>
  <c r="H825" i="2" s="1"/>
  <c r="G857" i="2"/>
  <c r="H857" i="2" s="1"/>
  <c r="G873" i="2"/>
  <c r="H873" i="2" s="1"/>
  <c r="G905" i="2"/>
  <c r="H905" i="2" s="1"/>
  <c r="G921" i="2"/>
  <c r="H921" i="2" s="1"/>
  <c r="G953" i="2"/>
  <c r="H953" i="2" s="1"/>
  <c r="G985" i="2"/>
  <c r="H985" i="2" s="1"/>
  <c r="G1001" i="2"/>
  <c r="H1001" i="2" s="1"/>
  <c r="G1081" i="2"/>
  <c r="H1081" i="2" s="1"/>
  <c r="G1097" i="2"/>
  <c r="H1097" i="2" s="1"/>
  <c r="G1113" i="2"/>
  <c r="H1113" i="2" s="1"/>
  <c r="G1161" i="2"/>
  <c r="H1161" i="2" s="1"/>
  <c r="G1177" i="2"/>
  <c r="H1177" i="2" s="1"/>
  <c r="G1193" i="2"/>
  <c r="H1193" i="2" s="1"/>
  <c r="G1209" i="2"/>
  <c r="H1209" i="2" s="1"/>
  <c r="G1225" i="2"/>
  <c r="H1225" i="2" s="1"/>
  <c r="G1241" i="2"/>
  <c r="H1241" i="2" s="1"/>
  <c r="G35" i="2"/>
  <c r="H35" i="2" s="1"/>
  <c r="G51" i="2"/>
  <c r="H51" i="2" s="1"/>
  <c r="G67" i="2"/>
  <c r="H67" i="2" s="1"/>
  <c r="G83" i="2"/>
  <c r="H83" i="2" s="1"/>
  <c r="G54" i="2"/>
  <c r="H54" i="2" s="1"/>
  <c r="G75" i="2"/>
  <c r="H75" i="2" s="1"/>
  <c r="G94" i="2"/>
  <c r="H94" i="2" s="1"/>
  <c r="G112" i="2"/>
  <c r="H112" i="2" s="1"/>
  <c r="G146" i="2"/>
  <c r="H146" i="2" s="1"/>
  <c r="G182" i="2"/>
  <c r="H182" i="2" s="1"/>
  <c r="G234" i="2"/>
  <c r="H234" i="2" s="1"/>
  <c r="G304" i="2"/>
  <c r="H304" i="2" s="1"/>
  <c r="G339" i="2"/>
  <c r="H339" i="2" s="1"/>
  <c r="G357" i="2"/>
  <c r="H357" i="2" s="1"/>
  <c r="G394" i="2"/>
  <c r="H394" i="2" s="1"/>
  <c r="G411" i="2"/>
  <c r="H411" i="2" s="1"/>
  <c r="G445" i="2"/>
  <c r="H445" i="2" s="1"/>
  <c r="G463" i="2"/>
  <c r="H463" i="2" s="1"/>
  <c r="G481" i="2"/>
  <c r="H481" i="2" s="1"/>
  <c r="G499" i="2"/>
  <c r="H499" i="2" s="1"/>
  <c r="G517" i="2"/>
  <c r="H517" i="2" s="1"/>
  <c r="G536" i="2"/>
  <c r="H536" i="2" s="1"/>
  <c r="G604" i="2"/>
  <c r="H604" i="2" s="1"/>
  <c r="G622" i="2"/>
  <c r="H622" i="2" s="1"/>
  <c r="G658" i="2"/>
  <c r="H658" i="2" s="1"/>
  <c r="G708" i="2"/>
  <c r="H708" i="2" s="1"/>
  <c r="G726" i="2"/>
  <c r="H726" i="2" s="1"/>
  <c r="G746" i="2"/>
  <c r="H746" i="2" s="1"/>
  <c r="G8" i="2"/>
  <c r="H8" i="2" s="1"/>
  <c r="G27" i="2"/>
  <c r="H27" i="2" s="1"/>
  <c r="G63" i="2"/>
  <c r="H63" i="2" s="1"/>
  <c r="G82" i="2"/>
  <c r="H82" i="2" s="1"/>
  <c r="G101" i="2"/>
  <c r="H101" i="2" s="1"/>
  <c r="G136" i="2"/>
  <c r="H136" i="2" s="1"/>
  <c r="G155" i="2"/>
  <c r="H155" i="2" s="1"/>
  <c r="G173" i="2"/>
  <c r="H173" i="2" s="1"/>
  <c r="G223" i="2"/>
  <c r="H223" i="2" s="1"/>
  <c r="G241" i="2"/>
  <c r="H241" i="2" s="1"/>
  <c r="G277" i="2"/>
  <c r="H277" i="2" s="1"/>
  <c r="G293" i="2"/>
  <c r="H293" i="2" s="1"/>
  <c r="G330" i="2"/>
  <c r="H330" i="2" s="1"/>
  <c r="G348" i="2"/>
  <c r="H348" i="2" s="1"/>
  <c r="G366" i="2"/>
  <c r="H366" i="2" s="1"/>
  <c r="G383" i="2"/>
  <c r="H383" i="2" s="1"/>
  <c r="G401" i="2"/>
  <c r="H401" i="2" s="1"/>
  <c r="G418" i="2"/>
  <c r="H418" i="2" s="1"/>
  <c r="G435" i="2"/>
  <c r="H435" i="2" s="1"/>
  <c r="G452" i="2"/>
  <c r="H452" i="2" s="1"/>
  <c r="G470" i="2"/>
  <c r="H470" i="2" s="1"/>
  <c r="G490" i="2"/>
  <c r="H490" i="2" s="1"/>
  <c r="G508" i="2"/>
  <c r="H508" i="2" s="1"/>
  <c r="G526" i="2"/>
  <c r="H526" i="2" s="1"/>
  <c r="G544" i="2"/>
  <c r="H544" i="2" s="1"/>
  <c r="G611" i="2"/>
  <c r="H611" i="2" s="1"/>
  <c r="G629" i="2"/>
  <c r="H629" i="2" s="1"/>
  <c r="G648" i="2"/>
  <c r="H648" i="2" s="1"/>
  <c r="G667" i="2"/>
  <c r="H667" i="2" s="1"/>
  <c r="G717" i="2"/>
  <c r="H717" i="2" s="1"/>
  <c r="G735" i="2"/>
  <c r="H735" i="2" s="1"/>
  <c r="G753" i="2"/>
  <c r="H753" i="2" s="1"/>
  <c r="G769" i="2"/>
  <c r="H769" i="2" s="1"/>
  <c r="G787" i="2"/>
  <c r="H787" i="2" s="1"/>
  <c r="G804" i="2"/>
  <c r="H804" i="2" s="1"/>
  <c r="G822" i="2"/>
  <c r="H822" i="2" s="1"/>
  <c r="G859" i="2"/>
  <c r="H859" i="2" s="1"/>
  <c r="G894" i="2"/>
  <c r="H894" i="2" s="1"/>
  <c r="G912" i="2"/>
  <c r="H912" i="2" s="1"/>
  <c r="G930" i="2"/>
  <c r="H930" i="2" s="1"/>
  <c r="G964" i="2"/>
  <c r="H964" i="2" s="1"/>
  <c r="G980" i="2"/>
  <c r="H980" i="2" s="1"/>
  <c r="G997" i="2"/>
  <c r="H997" i="2" s="1"/>
  <c r="G1078" i="2"/>
  <c r="H1078" i="2" s="1"/>
  <c r="G1095" i="2"/>
  <c r="H1095" i="2" s="1"/>
  <c r="G1112" i="2"/>
  <c r="H1112" i="2" s="1"/>
  <c r="G1162" i="2"/>
  <c r="H1162" i="2" s="1"/>
  <c r="G1179" i="2"/>
  <c r="H1179" i="2" s="1"/>
  <c r="G1213" i="2"/>
  <c r="H1213" i="2" s="1"/>
  <c r="G1247" i="2"/>
  <c r="H1247" i="2" s="1"/>
  <c r="G1263" i="2"/>
  <c r="H1263" i="2" s="1"/>
  <c r="G14" i="2"/>
  <c r="H14" i="2" s="1"/>
  <c r="G32" i="2"/>
  <c r="H32" i="2" s="1"/>
  <c r="G49" i="2"/>
  <c r="H49" i="2" s="1"/>
  <c r="G69" i="2"/>
  <c r="H69" i="2" s="1"/>
  <c r="G90" i="2"/>
  <c r="H90" i="2" s="1"/>
  <c r="G108" i="2"/>
  <c r="H108" i="2" s="1"/>
  <c r="G142" i="2"/>
  <c r="H142" i="2" s="1"/>
  <c r="G160" i="2"/>
  <c r="H160" i="2" s="1"/>
  <c r="G178" i="2"/>
  <c r="H178" i="2" s="1"/>
  <c r="G211" i="2"/>
  <c r="H211" i="2" s="1"/>
  <c r="G228" i="2"/>
  <c r="H228" i="2" s="1"/>
  <c r="G246" i="2"/>
  <c r="H246" i="2" s="1"/>
  <c r="G266" i="2"/>
  <c r="H266" i="2" s="1"/>
  <c r="G300" i="2"/>
  <c r="H300" i="2" s="1"/>
  <c r="G317" i="2"/>
  <c r="H317" i="2" s="1"/>
  <c r="G335" i="2"/>
  <c r="H335" i="2" s="1"/>
  <c r="G388" i="2"/>
  <c r="H388" i="2" s="1"/>
  <c r="G406" i="2"/>
  <c r="H406" i="2" s="1"/>
  <c r="G459" i="2"/>
  <c r="H459" i="2" s="1"/>
  <c r="G477" i="2"/>
  <c r="H477" i="2" s="1"/>
  <c r="G495" i="2"/>
  <c r="H495" i="2" s="1"/>
  <c r="G513" i="2"/>
  <c r="H513" i="2" s="1"/>
  <c r="G531" i="2"/>
  <c r="H531" i="2" s="1"/>
  <c r="G549" i="2"/>
  <c r="H549" i="2" s="1"/>
  <c r="G618" i="2"/>
  <c r="H618" i="2" s="1"/>
  <c r="G636" i="2"/>
  <c r="H636" i="2" s="1"/>
  <c r="G654" i="2"/>
  <c r="H654" i="2" s="1"/>
  <c r="G722" i="2"/>
  <c r="H722" i="2" s="1"/>
  <c r="G740" i="2"/>
  <c r="H740" i="2" s="1"/>
  <c r="G758" i="2"/>
  <c r="H758" i="2" s="1"/>
  <c r="G774" i="2"/>
  <c r="H774" i="2" s="1"/>
  <c r="G811" i="2"/>
  <c r="H811" i="2" s="1"/>
  <c r="G829" i="2"/>
  <c r="H829" i="2" s="1"/>
  <c r="G864" i="2"/>
  <c r="H864" i="2" s="1"/>
  <c r="G917" i="2"/>
  <c r="H917" i="2" s="1"/>
  <c r="G952" i="2"/>
  <c r="H952" i="2" s="1"/>
  <c r="G986" i="2"/>
  <c r="H986" i="2" s="1"/>
  <c r="G1003" i="2"/>
  <c r="H1003" i="2" s="1"/>
  <c r="G1084" i="2"/>
  <c r="H1084" i="2" s="1"/>
  <c r="G1118" i="2"/>
  <c r="H1118" i="2" s="1"/>
  <c r="G1167" i="2"/>
  <c r="H1167" i="2" s="1"/>
  <c r="G10" i="2"/>
  <c r="H10" i="2" s="1"/>
  <c r="G30" i="2"/>
  <c r="H30" i="2" s="1"/>
  <c r="G74" i="2"/>
  <c r="H74" i="2" s="1"/>
  <c r="G97" i="2"/>
  <c r="H97" i="2" s="1"/>
  <c r="G134" i="2"/>
  <c r="H134" i="2" s="1"/>
  <c r="G158" i="2"/>
  <c r="H158" i="2" s="1"/>
  <c r="G179" i="2"/>
  <c r="H179" i="2" s="1"/>
  <c r="G236" i="2"/>
  <c r="H236" i="2" s="1"/>
  <c r="G275" i="2"/>
  <c r="H275" i="2" s="1"/>
  <c r="G314" i="2"/>
  <c r="H314" i="2" s="1"/>
  <c r="G334" i="2"/>
  <c r="H334" i="2" s="1"/>
  <c r="G355" i="2"/>
  <c r="H355" i="2" s="1"/>
  <c r="G397" i="2"/>
  <c r="H397" i="2" s="1"/>
  <c r="G417" i="2"/>
  <c r="H417" i="2" s="1"/>
  <c r="G436" i="2"/>
  <c r="H436" i="2" s="1"/>
  <c r="G456" i="2"/>
  <c r="H456" i="2" s="1"/>
  <c r="G479" i="2"/>
  <c r="H479" i="2" s="1"/>
  <c r="G501" i="2"/>
  <c r="H501" i="2" s="1"/>
  <c r="G524" i="2"/>
  <c r="H524" i="2" s="1"/>
  <c r="G546" i="2"/>
  <c r="H546" i="2" s="1"/>
  <c r="G619" i="2"/>
  <c r="H619" i="2" s="1"/>
  <c r="G661" i="2"/>
  <c r="H661" i="2" s="1"/>
  <c r="G737" i="2"/>
  <c r="H737" i="2" s="1"/>
  <c r="G779" i="2"/>
  <c r="H779" i="2" s="1"/>
  <c r="G817" i="2"/>
  <c r="H817" i="2" s="1"/>
  <c r="G837" i="2"/>
  <c r="H837" i="2" s="1"/>
  <c r="G854" i="2"/>
  <c r="H854" i="2" s="1"/>
  <c r="G893" i="2"/>
  <c r="H893" i="2" s="1"/>
  <c r="G913" i="2"/>
  <c r="H913" i="2" s="1"/>
  <c r="G933" i="2"/>
  <c r="H933" i="2" s="1"/>
  <c r="G949" i="2"/>
  <c r="H949" i="2" s="1"/>
  <c r="G988" i="2"/>
  <c r="H988" i="2" s="1"/>
  <c r="G1007" i="2"/>
  <c r="H1007" i="2" s="1"/>
  <c r="G11" i="2"/>
  <c r="H11" i="2" s="1"/>
  <c r="G31" i="2"/>
  <c r="H31" i="2" s="1"/>
  <c r="G50" i="2"/>
  <c r="H50" i="2" s="1"/>
  <c r="G76" i="2"/>
  <c r="H76" i="2" s="1"/>
  <c r="G98" i="2"/>
  <c r="H98" i="2" s="1"/>
  <c r="G138" i="2"/>
  <c r="H138" i="2" s="1"/>
  <c r="G159" i="2"/>
  <c r="H159" i="2" s="1"/>
  <c r="G180" i="2"/>
  <c r="H180" i="2" s="1"/>
  <c r="G237" i="2"/>
  <c r="H237" i="2" s="1"/>
  <c r="G276" i="2"/>
  <c r="H276" i="2" s="1"/>
  <c r="G315" i="2"/>
  <c r="H315" i="2" s="1"/>
  <c r="G336" i="2"/>
  <c r="H336" i="2" s="1"/>
  <c r="G356" i="2"/>
  <c r="H356" i="2" s="1"/>
  <c r="G398" i="2"/>
  <c r="H398" i="2" s="1"/>
  <c r="G419" i="2"/>
  <c r="H419" i="2" s="1"/>
  <c r="G437" i="2"/>
  <c r="H437" i="2" s="1"/>
  <c r="G458" i="2"/>
  <c r="H458" i="2" s="1"/>
  <c r="G480" i="2"/>
  <c r="H480" i="2" s="1"/>
  <c r="G502" i="2"/>
  <c r="H502" i="2" s="1"/>
  <c r="G525" i="2"/>
  <c r="H525" i="2" s="1"/>
  <c r="G547" i="2"/>
  <c r="H547" i="2" s="1"/>
  <c r="G620" i="2"/>
  <c r="H620" i="2" s="1"/>
  <c r="G662" i="2"/>
  <c r="H662" i="2" s="1"/>
  <c r="G716" i="2"/>
  <c r="H716" i="2" s="1"/>
  <c r="G738" i="2"/>
  <c r="H738" i="2" s="1"/>
  <c r="G780" i="2"/>
  <c r="H780" i="2" s="1"/>
  <c r="G818" i="2"/>
  <c r="H818" i="2" s="1"/>
  <c r="G838" i="2"/>
  <c r="H838" i="2" s="1"/>
  <c r="G856" i="2"/>
  <c r="H856" i="2" s="1"/>
  <c r="G895" i="2"/>
  <c r="H895" i="2" s="1"/>
  <c r="G914" i="2"/>
  <c r="H914" i="2" s="1"/>
  <c r="G934" i="2"/>
  <c r="H934" i="2" s="1"/>
  <c r="G950" i="2"/>
  <c r="H950" i="2" s="1"/>
  <c r="G989" i="2"/>
  <c r="H989" i="2" s="1"/>
  <c r="G1091" i="2"/>
  <c r="H1091" i="2" s="1"/>
  <c r="L3233" i="1" s="1"/>
  <c r="G1144" i="2"/>
  <c r="H1144" i="2" s="1"/>
  <c r="G1160" i="2"/>
  <c r="H1160" i="2" s="1"/>
  <c r="G1181" i="2"/>
  <c r="H1181" i="2" s="1"/>
  <c r="G1198" i="2"/>
  <c r="H1198" i="2" s="1"/>
  <c r="G1216" i="2"/>
  <c r="H1216" i="2" s="1"/>
  <c r="G1284" i="2"/>
  <c r="H1284" i="2" s="1"/>
  <c r="G16" i="2"/>
  <c r="H16" i="2" s="1"/>
  <c r="G58" i="2"/>
  <c r="H58" i="2" s="1"/>
  <c r="G80" i="2"/>
  <c r="H80" i="2" s="1"/>
  <c r="G104" i="2"/>
  <c r="H104" i="2" s="1"/>
  <c r="G143" i="2"/>
  <c r="H143" i="2" s="1"/>
  <c r="G220" i="2"/>
  <c r="H220" i="2" s="1"/>
  <c r="G242" i="2"/>
  <c r="H242" i="2" s="1"/>
  <c r="G261" i="2"/>
  <c r="H261" i="2" s="1"/>
  <c r="G301" i="2"/>
  <c r="H301" i="2" s="1"/>
  <c r="G341" i="2"/>
  <c r="H341" i="2" s="1"/>
  <c r="G363" i="2"/>
  <c r="H363" i="2" s="1"/>
  <c r="G381" i="2"/>
  <c r="H381" i="2" s="1"/>
  <c r="G403" i="2"/>
  <c r="H403" i="2" s="1"/>
  <c r="G442" i="2"/>
  <c r="H442" i="2" s="1"/>
  <c r="G464" i="2"/>
  <c r="H464" i="2" s="1"/>
  <c r="G485" i="2"/>
  <c r="H485" i="2" s="1"/>
  <c r="G509" i="2"/>
  <c r="H509" i="2" s="1"/>
  <c r="G530" i="2"/>
  <c r="H530" i="2" s="1"/>
  <c r="G603" i="2"/>
  <c r="H603" i="2" s="1"/>
  <c r="G625" i="2"/>
  <c r="H625" i="2" s="1"/>
  <c r="G721" i="2"/>
  <c r="H721" i="2" s="1"/>
  <c r="G744" i="2"/>
  <c r="H744" i="2" s="1"/>
  <c r="G824" i="2"/>
  <c r="H824" i="2" s="1"/>
  <c r="G862" i="2"/>
  <c r="H862" i="2" s="1"/>
  <c r="G920" i="2"/>
  <c r="H920" i="2" s="1"/>
  <c r="G957" i="2"/>
  <c r="H957" i="2" s="1"/>
  <c r="G974" i="2"/>
  <c r="H974" i="2" s="1"/>
  <c r="G993" i="2"/>
  <c r="H993" i="2" s="1"/>
  <c r="G59" i="2"/>
  <c r="H59" i="2" s="1"/>
  <c r="G81" i="2"/>
  <c r="H81" i="2" s="1"/>
  <c r="G106" i="2"/>
  <c r="H106" i="2" s="1"/>
  <c r="G144" i="2"/>
  <c r="H144" i="2" s="1"/>
  <c r="G221" i="2"/>
  <c r="H221" i="2" s="1"/>
  <c r="G243" i="2"/>
  <c r="H243" i="2" s="1"/>
  <c r="G262" i="2"/>
  <c r="H262" i="2" s="1"/>
  <c r="G302" i="2"/>
  <c r="H302" i="2" s="1"/>
  <c r="G342" i="2"/>
  <c r="H342" i="2" s="1"/>
  <c r="G364" i="2"/>
  <c r="H364" i="2" s="1"/>
  <c r="G382" i="2"/>
  <c r="H382" i="2" s="1"/>
  <c r="G404" i="2"/>
  <c r="H404" i="2" s="1"/>
  <c r="G443" i="2"/>
  <c r="H443" i="2" s="1"/>
  <c r="G465" i="2"/>
  <c r="H465" i="2" s="1"/>
  <c r="G486" i="2"/>
  <c r="H486" i="2" s="1"/>
  <c r="G510" i="2"/>
  <c r="H510" i="2" s="1"/>
  <c r="G532" i="2"/>
  <c r="H532" i="2" s="1"/>
  <c r="G605" i="2"/>
  <c r="H605" i="2" s="1"/>
  <c r="G626" i="2"/>
  <c r="H626" i="2" s="1"/>
  <c r="G723" i="2"/>
  <c r="H723" i="2" s="1"/>
  <c r="G747" i="2"/>
  <c r="H747" i="2" s="1"/>
  <c r="G826" i="2"/>
  <c r="H826" i="2" s="1"/>
  <c r="G863" i="2"/>
  <c r="H863" i="2" s="1"/>
  <c r="G900" i="2"/>
  <c r="H900" i="2" s="1"/>
  <c r="G922" i="2"/>
  <c r="H922" i="2" s="1"/>
  <c r="G958" i="2"/>
  <c r="H958" i="2" s="1"/>
  <c r="G60" i="2"/>
  <c r="H60" i="2" s="1"/>
  <c r="G84" i="2"/>
  <c r="H84" i="2" s="1"/>
  <c r="G107" i="2"/>
  <c r="H107" i="2" s="1"/>
  <c r="G145" i="2"/>
  <c r="H145" i="2" s="1"/>
  <c r="G166" i="2"/>
  <c r="H166" i="2" s="1"/>
  <c r="G204" i="2"/>
  <c r="H204" i="2" s="1"/>
  <c r="G222" i="2"/>
  <c r="H222" i="2" s="1"/>
  <c r="G244" i="2"/>
  <c r="H244" i="2" s="1"/>
  <c r="G264" i="2"/>
  <c r="H264" i="2" s="1"/>
  <c r="G303" i="2"/>
  <c r="H303" i="2" s="1"/>
  <c r="G322" i="2"/>
  <c r="H322" i="2" s="1"/>
  <c r="G344" i="2"/>
  <c r="H344" i="2" s="1"/>
  <c r="G365" i="2"/>
  <c r="H365" i="2" s="1"/>
  <c r="G384" i="2"/>
  <c r="H384" i="2" s="1"/>
  <c r="G405" i="2"/>
  <c r="H405" i="2" s="1"/>
  <c r="G426" i="2"/>
  <c r="H426" i="2" s="1"/>
  <c r="G444" i="2"/>
  <c r="H444" i="2" s="1"/>
  <c r="G466" i="2"/>
  <c r="H466" i="2" s="1"/>
  <c r="G488" i="2"/>
  <c r="H488" i="2" s="1"/>
  <c r="G511" i="2"/>
  <c r="H511" i="2" s="1"/>
  <c r="G533" i="2"/>
  <c r="H533" i="2" s="1"/>
  <c r="G606" i="2"/>
  <c r="H606" i="2" s="1"/>
  <c r="G627" i="2"/>
  <c r="H627" i="2" s="1"/>
  <c r="G650" i="2"/>
  <c r="H650" i="2" s="1"/>
  <c r="G703" i="2"/>
  <c r="H703" i="2" s="1"/>
  <c r="G724" i="2"/>
  <c r="H724" i="2" s="1"/>
  <c r="G748" i="2"/>
  <c r="H748" i="2" s="1"/>
  <c r="G786" i="2"/>
  <c r="H786" i="2" s="1"/>
  <c r="G805" i="2"/>
  <c r="H805" i="2" s="1"/>
  <c r="G827" i="2"/>
  <c r="H827" i="2" s="1"/>
  <c r="G865" i="2"/>
  <c r="H865" i="2" s="1"/>
  <c r="G901" i="2"/>
  <c r="H901" i="2" s="1"/>
  <c r="G923" i="2"/>
  <c r="H923" i="2" s="1"/>
  <c r="G959" i="2"/>
  <c r="H959" i="2" s="1"/>
  <c r="G976" i="2"/>
  <c r="H976" i="2" s="1"/>
  <c r="G995" i="2"/>
  <c r="H995" i="2" s="1"/>
  <c r="G1079" i="2"/>
  <c r="H1079" i="2" s="1"/>
  <c r="G1117" i="2"/>
  <c r="H1117" i="2" s="1"/>
  <c r="G1204" i="2"/>
  <c r="H1204" i="2" s="1"/>
  <c r="G1222" i="2"/>
  <c r="H1222" i="2" s="1"/>
  <c r="G1239" i="2"/>
  <c r="H1239" i="2" s="1"/>
  <c r="G1205" i="2"/>
  <c r="H1205" i="2" s="1"/>
  <c r="G1240" i="2"/>
  <c r="H1240" i="2" s="1"/>
  <c r="G1275" i="2"/>
  <c r="H1275" i="2" s="1"/>
  <c r="G61" i="2"/>
  <c r="H61" i="2" s="1"/>
  <c r="G85" i="2"/>
  <c r="H85" i="2" s="1"/>
  <c r="G109" i="2"/>
  <c r="H109" i="2" s="1"/>
  <c r="G147" i="2"/>
  <c r="H147" i="2" s="1"/>
  <c r="G168" i="2"/>
  <c r="H168" i="2" s="1"/>
  <c r="G224" i="2"/>
  <c r="H224" i="2" s="1"/>
  <c r="G245" i="2"/>
  <c r="H245" i="2" s="1"/>
  <c r="G267" i="2"/>
  <c r="H267" i="2" s="1"/>
  <c r="G305" i="2"/>
  <c r="H305" i="2" s="1"/>
  <c r="G346" i="2"/>
  <c r="H346" i="2" s="1"/>
  <c r="G367" i="2"/>
  <c r="H367" i="2" s="1"/>
  <c r="G385" i="2"/>
  <c r="H385" i="2" s="1"/>
  <c r="G427" i="2"/>
  <c r="H427" i="2" s="1"/>
  <c r="G467" i="2"/>
  <c r="H467" i="2" s="1"/>
  <c r="G491" i="2"/>
  <c r="H491" i="2" s="1"/>
  <c r="G512" i="2"/>
  <c r="H512" i="2" s="1"/>
  <c r="G534" i="2"/>
  <c r="H534" i="2" s="1"/>
  <c r="G607" i="2"/>
  <c r="H607" i="2" s="1"/>
  <c r="G628" i="2"/>
  <c r="H628" i="2" s="1"/>
  <c r="G651" i="2"/>
  <c r="H651" i="2" s="1"/>
  <c r="G725" i="2"/>
  <c r="H725" i="2" s="1"/>
  <c r="G749" i="2"/>
  <c r="H749" i="2" s="1"/>
  <c r="G767" i="2"/>
  <c r="H767" i="2" s="1"/>
  <c r="G788" i="2"/>
  <c r="H788" i="2" s="1"/>
  <c r="G828" i="2"/>
  <c r="H828" i="2" s="1"/>
  <c r="G866" i="2"/>
  <c r="H866" i="2" s="1"/>
  <c r="G902" i="2"/>
  <c r="H902" i="2" s="1"/>
  <c r="G924" i="2"/>
  <c r="H924" i="2" s="1"/>
  <c r="G960" i="2"/>
  <c r="H960" i="2" s="1"/>
  <c r="G977" i="2"/>
  <c r="H977" i="2" s="1"/>
  <c r="G996" i="2"/>
  <c r="H996" i="2" s="1"/>
  <c r="G1080" i="2"/>
  <c r="H1080" i="2" s="1"/>
  <c r="G1223" i="2"/>
  <c r="H1223" i="2" s="1"/>
  <c r="G62" i="2"/>
  <c r="H62" i="2" s="1"/>
  <c r="G86" i="2"/>
  <c r="H86" i="2" s="1"/>
  <c r="G110" i="2"/>
  <c r="H110" i="2" s="1"/>
  <c r="G148" i="2"/>
  <c r="H148" i="2" s="1"/>
  <c r="G170" i="2"/>
  <c r="H170" i="2" s="1"/>
  <c r="G225" i="2"/>
  <c r="H225" i="2" s="1"/>
  <c r="G248" i="2"/>
  <c r="H248" i="2" s="1"/>
  <c r="G268" i="2"/>
  <c r="H268" i="2" s="1"/>
  <c r="G285" i="2"/>
  <c r="H285" i="2" s="1"/>
  <c r="G306" i="2"/>
  <c r="H306" i="2" s="1"/>
  <c r="G347" i="2"/>
  <c r="H347" i="2" s="1"/>
  <c r="G368" i="2"/>
  <c r="H368" i="2" s="1"/>
  <c r="G468" i="2"/>
  <c r="H468" i="2" s="1"/>
  <c r="G492" i="2"/>
  <c r="H492" i="2" s="1"/>
  <c r="G514" i="2"/>
  <c r="H514" i="2" s="1"/>
  <c r="G538" i="2"/>
  <c r="H538" i="2" s="1"/>
  <c r="G608" i="2"/>
  <c r="H608" i="2" s="1"/>
  <c r="G630" i="2"/>
  <c r="H630" i="2" s="1"/>
  <c r="G652" i="2"/>
  <c r="H652" i="2" s="1"/>
  <c r="G728" i="2"/>
  <c r="H728" i="2" s="1"/>
  <c r="G750" i="2"/>
  <c r="H750" i="2" s="1"/>
  <c r="G768" i="2"/>
  <c r="H768" i="2" s="1"/>
  <c r="G789" i="2"/>
  <c r="H789" i="2" s="1"/>
  <c r="G830" i="2"/>
  <c r="H830" i="2" s="1"/>
  <c r="G867" i="2"/>
  <c r="H867" i="2" s="1"/>
  <c r="G885" i="2"/>
  <c r="H885" i="2" s="1"/>
  <c r="G904" i="2"/>
  <c r="H904" i="2" s="1"/>
  <c r="G925" i="2"/>
  <c r="H925" i="2" s="1"/>
  <c r="G961" i="2"/>
  <c r="H961" i="2" s="1"/>
  <c r="G978" i="2"/>
  <c r="H978" i="2" s="1"/>
  <c r="G998" i="2"/>
  <c r="H998" i="2" s="1"/>
  <c r="G1082" i="2"/>
  <c r="H1082" i="2" s="1"/>
  <c r="G1120" i="2"/>
  <c r="H1120" i="2" s="1"/>
  <c r="G1206" i="2"/>
  <c r="H1206" i="2" s="1"/>
  <c r="G1224" i="2"/>
  <c r="H1224" i="2" s="1"/>
  <c r="G1242" i="2"/>
  <c r="H1242" i="2" s="1"/>
  <c r="G1276" i="2"/>
  <c r="H1276" i="2" s="1"/>
  <c r="G4" i="2"/>
  <c r="H4" i="2" s="1"/>
  <c r="G26" i="2"/>
  <c r="H26" i="2" s="1"/>
  <c r="G45" i="2"/>
  <c r="H45" i="2" s="1"/>
  <c r="G68" i="2"/>
  <c r="H68" i="2" s="1"/>
  <c r="G93" i="2"/>
  <c r="H93" i="2" s="1"/>
  <c r="G154" i="2"/>
  <c r="H154" i="2" s="1"/>
  <c r="G175" i="2"/>
  <c r="H175" i="2" s="1"/>
  <c r="G210" i="2"/>
  <c r="H210" i="2" s="1"/>
  <c r="G230" i="2"/>
  <c r="H230" i="2" s="1"/>
  <c r="G331" i="2"/>
  <c r="H331" i="2" s="1"/>
  <c r="G392" i="2"/>
  <c r="H392" i="2" s="1"/>
  <c r="G414" i="2"/>
  <c r="H414" i="2" s="1"/>
  <c r="G432" i="2"/>
  <c r="H432" i="2" s="1"/>
  <c r="G451" i="2"/>
  <c r="H451" i="2" s="1"/>
  <c r="G475" i="2"/>
  <c r="H475" i="2" s="1"/>
  <c r="G497" i="2"/>
  <c r="H497" i="2" s="1"/>
  <c r="G520" i="2"/>
  <c r="H520" i="2" s="1"/>
  <c r="G542" i="2"/>
  <c r="H542" i="2" s="1"/>
  <c r="G613" i="2"/>
  <c r="H613" i="2" s="1"/>
  <c r="G637" i="2"/>
  <c r="H637" i="2" s="1"/>
  <c r="G657" i="2"/>
  <c r="H657" i="2" s="1"/>
  <c r="G710" i="2"/>
  <c r="H710" i="2" s="1"/>
  <c r="G733" i="2"/>
  <c r="H733" i="2" s="1"/>
  <c r="G755" i="2"/>
  <c r="H755" i="2" s="1"/>
  <c r="G773" i="2"/>
  <c r="H773" i="2" s="1"/>
  <c r="G814" i="2"/>
  <c r="H814" i="2" s="1"/>
  <c r="G834" i="2"/>
  <c r="H834" i="2" s="1"/>
  <c r="G851" i="2"/>
  <c r="H851" i="2" s="1"/>
  <c r="G872" i="2"/>
  <c r="H872" i="2" s="1"/>
  <c r="G890" i="2"/>
  <c r="H890" i="2" s="1"/>
  <c r="G909" i="2"/>
  <c r="H909" i="2" s="1"/>
  <c r="G929" i="2"/>
  <c r="H929" i="2" s="1"/>
  <c r="G983" i="2"/>
  <c r="H983" i="2" s="1"/>
  <c r="G1004" i="2"/>
  <c r="H1004" i="2" s="1"/>
  <c r="G6" i="2"/>
  <c r="H6" i="2" s="1"/>
  <c r="G29" i="2"/>
  <c r="H29" i="2" s="1"/>
  <c r="G47" i="2"/>
  <c r="H47" i="2" s="1"/>
  <c r="G72" i="2"/>
  <c r="H72" i="2" s="1"/>
  <c r="G96" i="2"/>
  <c r="H96" i="2" s="1"/>
  <c r="G157" i="2"/>
  <c r="H157" i="2" s="1"/>
  <c r="G177" i="2"/>
  <c r="H177" i="2" s="1"/>
  <c r="G213" i="2"/>
  <c r="H213" i="2" s="1"/>
  <c r="G235" i="2"/>
  <c r="H235" i="2" s="1"/>
  <c r="G291" i="2"/>
  <c r="H291" i="2" s="1"/>
  <c r="G312" i="2"/>
  <c r="H312" i="2" s="1"/>
  <c r="G333" i="2"/>
  <c r="H333" i="2" s="1"/>
  <c r="G354" i="2"/>
  <c r="H354" i="2" s="1"/>
  <c r="G374" i="2"/>
  <c r="H374" i="2" s="1"/>
  <c r="G396" i="2"/>
  <c r="H396" i="2" s="1"/>
  <c r="G416" i="2"/>
  <c r="H416" i="2" s="1"/>
  <c r="G1116" i="2"/>
  <c r="H1116" i="2" s="1"/>
  <c r="G927" i="2"/>
  <c r="H927" i="2" s="1"/>
  <c r="G616" i="2"/>
  <c r="H616" i="2" s="1"/>
  <c r="G523" i="2"/>
  <c r="H523" i="2" s="1"/>
  <c r="G478" i="2"/>
  <c r="H478" i="2" s="1"/>
  <c r="G332" i="2"/>
  <c r="H332" i="2" s="1"/>
  <c r="G278" i="2"/>
  <c r="H278" i="2" s="1"/>
  <c r="G208" i="2"/>
  <c r="H208" i="2" s="1"/>
  <c r="G100" i="2"/>
  <c r="H100" i="2" s="1"/>
  <c r="G1212" i="2"/>
  <c r="H1212" i="2" s="1"/>
  <c r="G1190" i="2"/>
  <c r="H1190" i="2" s="1"/>
  <c r="G1115" i="2"/>
  <c r="H1115" i="2" s="1"/>
  <c r="G1096" i="2"/>
  <c r="H1096" i="2" s="1"/>
  <c r="G926" i="2"/>
  <c r="H926" i="2" s="1"/>
  <c r="G888" i="2"/>
  <c r="H888" i="2" s="1"/>
  <c r="G861" i="2"/>
  <c r="H861" i="2" s="1"/>
  <c r="G836" i="2"/>
  <c r="H836" i="2" s="1"/>
  <c r="G754" i="2"/>
  <c r="H754" i="2" s="1"/>
  <c r="G614" i="2"/>
  <c r="H614" i="2" s="1"/>
  <c r="G522" i="2"/>
  <c r="H522" i="2" s="1"/>
  <c r="G476" i="2"/>
  <c r="H476" i="2" s="1"/>
  <c r="G438" i="2"/>
  <c r="H438" i="2" s="1"/>
  <c r="G298" i="2"/>
  <c r="H298" i="2" s="1"/>
  <c r="G250" i="2"/>
  <c r="H250" i="2" s="1"/>
  <c r="G99" i="2"/>
  <c r="H99" i="2" s="1"/>
  <c r="G46" i="2"/>
  <c r="H46" i="2" s="1"/>
  <c r="G296" i="2"/>
  <c r="H296" i="2" s="1"/>
  <c r="G1210" i="2"/>
  <c r="H1210" i="2" s="1"/>
  <c r="G1093" i="2"/>
  <c r="H1093" i="2" s="1"/>
  <c r="L3237" i="1" s="1"/>
  <c r="G1005" i="2"/>
  <c r="H1005" i="2" s="1"/>
  <c r="G916" i="2"/>
  <c r="H916" i="2" s="1"/>
  <c r="G858" i="2"/>
  <c r="H858" i="2" s="1"/>
  <c r="G833" i="2"/>
  <c r="H833" i="2" s="1"/>
  <c r="G776" i="2"/>
  <c r="H776" i="2" s="1"/>
  <c r="G751" i="2"/>
  <c r="H751" i="2" s="1"/>
  <c r="G610" i="2"/>
  <c r="H610" i="2" s="1"/>
  <c r="G516" i="2"/>
  <c r="H516" i="2" s="1"/>
  <c r="G472" i="2"/>
  <c r="H472" i="2" s="1"/>
  <c r="G433" i="2"/>
  <c r="H433" i="2" s="1"/>
  <c r="G402" i="2"/>
  <c r="H402" i="2" s="1"/>
  <c r="G325" i="2"/>
  <c r="H325" i="2" s="1"/>
  <c r="G239" i="2"/>
  <c r="H239" i="2" s="1"/>
  <c r="G152" i="2"/>
  <c r="H152" i="2" s="1"/>
  <c r="G92" i="2"/>
  <c r="H92" i="2" s="1"/>
  <c r="G835" i="2"/>
  <c r="H835" i="2" s="1"/>
  <c r="G612" i="2"/>
  <c r="H612" i="2" s="1"/>
  <c r="G326" i="2"/>
  <c r="H326" i="2" s="1"/>
  <c r="G1110" i="2"/>
  <c r="H1110" i="2" s="1"/>
  <c r="G1092" i="2"/>
  <c r="H1092" i="2" s="1"/>
  <c r="L3235" i="1" s="1"/>
  <c r="G1002" i="2"/>
  <c r="H1002" i="2" s="1"/>
  <c r="G915" i="2"/>
  <c r="H915" i="2" s="1"/>
  <c r="G853" i="2"/>
  <c r="H853" i="2" s="1"/>
  <c r="G832" i="2"/>
  <c r="H832" i="2" s="1"/>
  <c r="G799" i="2"/>
  <c r="H799" i="2" s="1"/>
  <c r="G772" i="2"/>
  <c r="H772" i="2" s="1"/>
  <c r="G742" i="2"/>
  <c r="H742" i="2" s="1"/>
  <c r="G609" i="2"/>
  <c r="H609" i="2" s="1"/>
  <c r="G515" i="2"/>
  <c r="H515" i="2" s="1"/>
  <c r="G469" i="2"/>
  <c r="H469" i="2" s="1"/>
  <c r="G431" i="2"/>
  <c r="H431" i="2" s="1"/>
  <c r="G400" i="2"/>
  <c r="H400" i="2" s="1"/>
  <c r="G369" i="2"/>
  <c r="H369" i="2" s="1"/>
  <c r="G238" i="2"/>
  <c r="H238" i="2" s="1"/>
  <c r="G150" i="2"/>
  <c r="H150" i="2" s="1"/>
  <c r="G91" i="2"/>
  <c r="H91" i="2" s="1"/>
  <c r="G42" i="2"/>
  <c r="H42" i="2" s="1"/>
  <c r="G240" i="2"/>
  <c r="H240" i="2" s="1"/>
  <c r="G1270" i="2"/>
  <c r="H1270" i="2" s="1"/>
  <c r="G1208" i="2"/>
  <c r="H1208" i="2" s="1"/>
  <c r="G1207" i="2"/>
  <c r="H1207" i="2" s="1"/>
  <c r="G552" i="2"/>
  <c r="H552" i="2" s="1"/>
  <c r="G462" i="2"/>
  <c r="H462" i="2" s="1"/>
  <c r="G399" i="2"/>
  <c r="H399" i="2" s="1"/>
  <c r="G149" i="2"/>
  <c r="H149" i="2" s="1"/>
  <c r="G15" i="2"/>
  <c r="H15" i="2" s="1"/>
  <c r="G1094" i="2"/>
  <c r="H1094" i="2" s="1"/>
  <c r="G1006" i="2"/>
  <c r="H1006" i="2" s="1"/>
  <c r="G860" i="2"/>
  <c r="H860" i="2" s="1"/>
  <c r="G709" i="2"/>
  <c r="H709" i="2" s="1"/>
  <c r="G474" i="2"/>
  <c r="H474" i="2" s="1"/>
  <c r="G156" i="2"/>
  <c r="H156" i="2" s="1"/>
  <c r="G1166" i="2"/>
  <c r="H1166" i="2" s="1"/>
  <c r="G1147" i="2"/>
  <c r="H1147" i="2" s="1"/>
  <c r="G1090" i="2"/>
  <c r="H1090" i="2" s="1"/>
  <c r="G911" i="2"/>
  <c r="H911" i="2" s="1"/>
  <c r="G831" i="2"/>
  <c r="H831" i="2" s="1"/>
  <c r="G741" i="2"/>
  <c r="H741" i="2" s="1"/>
  <c r="G602" i="2"/>
  <c r="H602" i="2" s="1"/>
  <c r="G507" i="2"/>
  <c r="H507" i="2" s="1"/>
  <c r="G430" i="2"/>
  <c r="H430" i="2" s="1"/>
  <c r="G290" i="2"/>
  <c r="H290" i="2" s="1"/>
  <c r="G232" i="2"/>
  <c r="H232" i="2" s="1"/>
  <c r="G88" i="2"/>
  <c r="H88" i="2" s="1"/>
  <c r="G1286" i="2"/>
  <c r="H1286" i="2" s="1"/>
  <c r="L1286" i="2" s="1"/>
  <c r="G1250" i="2"/>
  <c r="H1250" i="2" s="1"/>
  <c r="G1203" i="2"/>
  <c r="H1203" i="2" s="1"/>
  <c r="G1185" i="2"/>
  <c r="H1185" i="2" s="1"/>
  <c r="G1165" i="2"/>
  <c r="H1165" i="2" s="1"/>
  <c r="G1146" i="2"/>
  <c r="H1146" i="2" s="1"/>
  <c r="G1089" i="2"/>
  <c r="H1089" i="2" s="1"/>
  <c r="G999" i="2"/>
  <c r="H999" i="2" s="1"/>
  <c r="G910" i="2"/>
  <c r="H910" i="2" s="1"/>
  <c r="G850" i="2"/>
  <c r="H850" i="2" s="1"/>
  <c r="G821" i="2"/>
  <c r="H821" i="2" s="1"/>
  <c r="G770" i="2"/>
  <c r="H770" i="2" s="1"/>
  <c r="G739" i="2"/>
  <c r="H739" i="2" s="1"/>
  <c r="G600" i="2"/>
  <c r="H600" i="2" s="1"/>
  <c r="G550" i="2"/>
  <c r="H550" i="2" s="1"/>
  <c r="G506" i="2"/>
  <c r="H506" i="2" s="1"/>
  <c r="G461" i="2"/>
  <c r="H461" i="2" s="1"/>
  <c r="G429" i="2"/>
  <c r="H429" i="2" s="1"/>
  <c r="G395" i="2"/>
  <c r="H395" i="2" s="1"/>
  <c r="G360" i="2"/>
  <c r="H360" i="2" s="1"/>
  <c r="G269" i="2"/>
  <c r="H269" i="2" s="1"/>
  <c r="G229" i="2"/>
  <c r="H229" i="2" s="1"/>
  <c r="G141" i="2"/>
  <c r="H141" i="2" s="1"/>
  <c r="G79" i="2"/>
  <c r="H79" i="2" s="1"/>
  <c r="G13" i="2"/>
  <c r="H13" i="2" s="1"/>
  <c r="G918" i="2"/>
  <c r="H918" i="2" s="1"/>
  <c r="G752" i="2"/>
  <c r="H752" i="2" s="1"/>
  <c r="G434" i="2"/>
  <c r="H434" i="2" s="1"/>
  <c r="G95" i="2"/>
  <c r="H95" i="2" s="1"/>
  <c r="G1168" i="2"/>
  <c r="H1168" i="2" s="1"/>
  <c r="G1186" i="2"/>
  <c r="H1186" i="2" s="1"/>
  <c r="G1000" i="2"/>
  <c r="H1000" i="2" s="1"/>
  <c r="G852" i="2"/>
  <c r="H852" i="2" s="1"/>
  <c r="G771" i="2"/>
  <c r="H771" i="2" s="1"/>
  <c r="G362" i="2"/>
  <c r="H362" i="2" s="1"/>
  <c r="G1285" i="2"/>
  <c r="H1285" i="2" s="1"/>
  <c r="G1249" i="2"/>
  <c r="H1249" i="2" s="1"/>
  <c r="G1202" i="2"/>
  <c r="H1202" i="2" s="1"/>
  <c r="G1184" i="2"/>
  <c r="H1184" i="2" s="1"/>
  <c r="G1164" i="2"/>
  <c r="H1164" i="2" s="1"/>
  <c r="G1107" i="2"/>
  <c r="H1107" i="2" s="1"/>
  <c r="G1088" i="2"/>
  <c r="H1088" i="2" s="1"/>
  <c r="G994" i="2"/>
  <c r="H994" i="2" s="1"/>
  <c r="G908" i="2"/>
  <c r="H908" i="2" s="1"/>
  <c r="G820" i="2"/>
  <c r="H820" i="2" s="1"/>
  <c r="G736" i="2"/>
  <c r="H736" i="2" s="1"/>
  <c r="G548" i="2"/>
  <c r="H548" i="2" s="1"/>
  <c r="G504" i="2"/>
  <c r="H504" i="2" s="1"/>
  <c r="G460" i="2"/>
  <c r="H460" i="2" s="1"/>
  <c r="G390" i="2"/>
  <c r="H390" i="2" s="1"/>
  <c r="G358" i="2"/>
  <c r="H358" i="2" s="1"/>
  <c r="G260" i="2"/>
  <c r="H260" i="2" s="1"/>
  <c r="G227" i="2"/>
  <c r="H227" i="2" s="1"/>
  <c r="G184" i="2"/>
  <c r="H184" i="2" s="1"/>
  <c r="G140" i="2"/>
  <c r="H140" i="2" s="1"/>
  <c r="G78" i="2"/>
  <c r="H78" i="2" s="1"/>
  <c r="G12" i="2"/>
  <c r="H12" i="2" s="1"/>
  <c r="G518" i="2"/>
  <c r="H518" i="2" s="1"/>
  <c r="G1283" i="2"/>
  <c r="H1283" i="2" s="1"/>
  <c r="G1248" i="2"/>
  <c r="H1248" i="2" s="1"/>
  <c r="G1201" i="2"/>
  <c r="H1201" i="2" s="1"/>
  <c r="G1183" i="2"/>
  <c r="H1183" i="2" s="1"/>
  <c r="G1163" i="2"/>
  <c r="H1163" i="2" s="1"/>
  <c r="G1143" i="2"/>
  <c r="H1143" i="2" s="1"/>
  <c r="G1106" i="2"/>
  <c r="H1106" i="2" s="1"/>
  <c r="G1087" i="2"/>
  <c r="H1087" i="2" s="1"/>
  <c r="G992" i="2"/>
  <c r="H992" i="2" s="1"/>
  <c r="G907" i="2"/>
  <c r="H907" i="2" s="1"/>
  <c r="G819" i="2"/>
  <c r="H819" i="2" s="1"/>
  <c r="G734" i="2"/>
  <c r="H734" i="2" s="1"/>
  <c r="G545" i="2"/>
  <c r="H545" i="2" s="1"/>
  <c r="G500" i="2"/>
  <c r="H500" i="2" s="1"/>
  <c r="G454" i="2"/>
  <c r="H454" i="2" s="1"/>
  <c r="G389" i="2"/>
  <c r="H389" i="2" s="1"/>
  <c r="G319" i="2"/>
  <c r="H319" i="2" s="1"/>
  <c r="G226" i="2"/>
  <c r="H226" i="2" s="1"/>
  <c r="G181" i="2"/>
  <c r="H181" i="2" s="1"/>
  <c r="G139" i="2"/>
  <c r="H139" i="2" s="1"/>
  <c r="G77" i="2"/>
  <c r="H77" i="2" s="1"/>
  <c r="G5" i="2"/>
  <c r="H5" i="2" s="1"/>
  <c r="G778" i="2"/>
  <c r="H778" i="2" s="1"/>
  <c r="G1282" i="2"/>
  <c r="H1282" i="2" s="1"/>
  <c r="G1246" i="2"/>
  <c r="H1246" i="2" s="1"/>
  <c r="G1200" i="2"/>
  <c r="H1200" i="2" s="1"/>
  <c r="G1182" i="2"/>
  <c r="H1182" i="2" s="1"/>
  <c r="G1159" i="2"/>
  <c r="H1159" i="2" s="1"/>
  <c r="G1142" i="2"/>
  <c r="H1142" i="2" s="1"/>
  <c r="G1105" i="2"/>
  <c r="H1105" i="2" s="1"/>
  <c r="G1086" i="2"/>
  <c r="H1086" i="2" s="1"/>
  <c r="G991" i="2"/>
  <c r="H991" i="2" s="1"/>
  <c r="G965" i="2"/>
  <c r="H965" i="2" s="1"/>
  <c r="G906" i="2"/>
  <c r="H906" i="2" s="1"/>
  <c r="G816" i="2"/>
  <c r="H816" i="2" s="1"/>
  <c r="G732" i="2"/>
  <c r="H732" i="2" s="1"/>
  <c r="G668" i="2"/>
  <c r="H668" i="2" s="1"/>
  <c r="G638" i="2"/>
  <c r="H638" i="2" s="1"/>
  <c r="G543" i="2"/>
  <c r="H543" i="2" s="1"/>
  <c r="G498" i="2"/>
  <c r="H498" i="2" s="1"/>
  <c r="G318" i="2"/>
  <c r="H318" i="2" s="1"/>
  <c r="G219" i="2"/>
  <c r="H219" i="2" s="1"/>
  <c r="G176" i="2"/>
  <c r="H176" i="2" s="1"/>
  <c r="G70" i="2"/>
  <c r="H70" i="2" s="1"/>
  <c r="G1141" i="2"/>
  <c r="H1141" i="2" s="1"/>
  <c r="G990" i="2"/>
  <c r="H990" i="2" s="1"/>
  <c r="G731" i="2"/>
  <c r="H731" i="2" s="1"/>
  <c r="G666" i="2"/>
  <c r="H666" i="2" s="1"/>
  <c r="G635" i="2"/>
  <c r="H635" i="2" s="1"/>
  <c r="G541" i="2"/>
  <c r="H541" i="2" s="1"/>
  <c r="G496" i="2"/>
  <c r="H496" i="2" s="1"/>
  <c r="G450" i="2"/>
  <c r="H450" i="2" s="1"/>
  <c r="G422" i="2"/>
  <c r="H422" i="2" s="1"/>
  <c r="G316" i="2"/>
  <c r="H316" i="2" s="1"/>
  <c r="G218" i="2"/>
  <c r="H218" i="2" s="1"/>
  <c r="G174" i="2"/>
  <c r="H174" i="2" s="1"/>
  <c r="G66" i="2"/>
  <c r="H66" i="2" s="1"/>
  <c r="G36" i="2"/>
  <c r="H36" i="2" s="1"/>
  <c r="G1199" i="2"/>
  <c r="H1199" i="2" s="1"/>
  <c r="G1085" i="2"/>
  <c r="H1085" i="2" s="1"/>
  <c r="G963" i="2"/>
  <c r="H963" i="2" s="1"/>
  <c r="G1280" i="2"/>
  <c r="H1280" i="2" s="1"/>
  <c r="G1261" i="2"/>
  <c r="H1261" i="2" s="1"/>
  <c r="G1244" i="2"/>
  <c r="H1244" i="2" s="1"/>
  <c r="G1220" i="2"/>
  <c r="H1220" i="2" s="1"/>
  <c r="G1197" i="2"/>
  <c r="H1197" i="2" s="1"/>
  <c r="G1178" i="2"/>
  <c r="H1178" i="2" s="1"/>
  <c r="G1140" i="2"/>
  <c r="H1140" i="2" s="1"/>
  <c r="G1083" i="2"/>
  <c r="H1083" i="2" s="1"/>
  <c r="G987" i="2"/>
  <c r="H987" i="2" s="1"/>
  <c r="G962" i="2"/>
  <c r="H962" i="2" s="1"/>
  <c r="G898" i="2"/>
  <c r="H898" i="2" s="1"/>
  <c r="G813" i="2"/>
  <c r="H813" i="2" s="1"/>
  <c r="G730" i="2"/>
  <c r="H730" i="2" s="1"/>
  <c r="G664" i="2"/>
  <c r="H664" i="2" s="1"/>
  <c r="G634" i="2"/>
  <c r="H634" i="2" s="1"/>
  <c r="G540" i="2"/>
  <c r="H540" i="2" s="1"/>
  <c r="G494" i="2"/>
  <c r="H494" i="2" s="1"/>
  <c r="G380" i="2"/>
  <c r="H380" i="2" s="1"/>
  <c r="G172" i="2"/>
  <c r="H172" i="2" s="1"/>
  <c r="G65" i="2"/>
  <c r="H65" i="2" s="1"/>
  <c r="G34" i="2"/>
  <c r="H34" i="2" s="1"/>
  <c r="G1260" i="2"/>
  <c r="H1260" i="2" s="1"/>
  <c r="G1243" i="2"/>
  <c r="H1243" i="2" s="1"/>
  <c r="G1219" i="2"/>
  <c r="H1219" i="2" s="1"/>
  <c r="G1139" i="2"/>
  <c r="H1139" i="2" s="1"/>
  <c r="G1077" i="2"/>
  <c r="H1077" i="2" s="1"/>
  <c r="G984" i="2"/>
  <c r="H984" i="2" s="1"/>
  <c r="G956" i="2"/>
  <c r="H956" i="2" s="1"/>
  <c r="G897" i="2"/>
  <c r="H897" i="2" s="1"/>
  <c r="G875" i="2"/>
  <c r="H875" i="2" s="1"/>
  <c r="G812" i="2"/>
  <c r="H812" i="2" s="1"/>
  <c r="G790" i="2"/>
  <c r="H790" i="2" s="1"/>
  <c r="G720" i="2"/>
  <c r="H720" i="2" s="1"/>
  <c r="G660" i="2"/>
  <c r="H660" i="2" s="1"/>
  <c r="G632" i="2"/>
  <c r="H632" i="2" s="1"/>
  <c r="G539" i="2"/>
  <c r="H539" i="2" s="1"/>
  <c r="G493" i="2"/>
  <c r="H493" i="2" s="1"/>
  <c r="G349" i="2"/>
  <c r="H349" i="2" s="1"/>
  <c r="G171" i="2"/>
  <c r="H171" i="2" s="1"/>
  <c r="G114" i="2"/>
  <c r="H114" i="2" s="1"/>
  <c r="G64" i="2"/>
  <c r="H64" i="2" s="1"/>
  <c r="G33" i="2"/>
  <c r="H33" i="2" s="1"/>
  <c r="G1180" i="2"/>
  <c r="H1180" i="2" s="1"/>
  <c r="G1158" i="2"/>
  <c r="H1158" i="2" s="1"/>
  <c r="G1104" i="2"/>
  <c r="H1104" i="2" s="1"/>
  <c r="G815" i="2"/>
  <c r="H815" i="2" s="1"/>
  <c r="G1278" i="2"/>
  <c r="H1278" i="2" s="1"/>
  <c r="G1218" i="2"/>
  <c r="H1218" i="2" s="1"/>
  <c r="G1195" i="2"/>
  <c r="H1195" i="2" s="1"/>
  <c r="G1138" i="2"/>
  <c r="H1138" i="2" s="1"/>
  <c r="G1122" i="2"/>
  <c r="H1122" i="2" s="1"/>
  <c r="G1076" i="2"/>
  <c r="H1076" i="2" s="1"/>
  <c r="G982" i="2"/>
  <c r="H982" i="2" s="1"/>
  <c r="G955" i="2"/>
  <c r="H955" i="2" s="1"/>
  <c r="G932" i="2"/>
  <c r="H932" i="2" s="1"/>
  <c r="G874" i="2"/>
  <c r="H874" i="2" s="1"/>
  <c r="G810" i="2"/>
  <c r="H810" i="2" s="1"/>
  <c r="G719" i="2"/>
  <c r="H719" i="2" s="1"/>
  <c r="G659" i="2"/>
  <c r="H659" i="2" s="1"/>
  <c r="G624" i="2"/>
  <c r="H624" i="2" s="1"/>
  <c r="G529" i="2"/>
  <c r="H529" i="2" s="1"/>
  <c r="G484" i="2"/>
  <c r="H484" i="2" s="1"/>
  <c r="G415" i="2"/>
  <c r="H415" i="2" s="1"/>
  <c r="G340" i="2"/>
  <c r="H340" i="2" s="1"/>
  <c r="G113" i="2"/>
  <c r="H113" i="2" s="1"/>
  <c r="G56" i="2"/>
  <c r="H56" i="2" s="1"/>
  <c r="G28" i="2"/>
  <c r="H28" i="2" s="1"/>
  <c r="G1217" i="2"/>
  <c r="H1217" i="2" s="1"/>
  <c r="G1194" i="2"/>
  <c r="H1194" i="2" s="1"/>
  <c r="G1137" i="2"/>
  <c r="H1137" i="2" s="1"/>
  <c r="G1121" i="2"/>
  <c r="H1121" i="2" s="1"/>
  <c r="G981" i="2"/>
  <c r="H981" i="2" s="1"/>
  <c r="G954" i="2"/>
  <c r="H954" i="2" s="1"/>
  <c r="G931" i="2"/>
  <c r="H931" i="2" s="1"/>
  <c r="G892" i="2"/>
  <c r="H892" i="2" s="1"/>
  <c r="G870" i="2"/>
  <c r="H870" i="2" s="1"/>
  <c r="G718" i="2"/>
  <c r="H718" i="2" s="1"/>
  <c r="G656" i="2"/>
  <c r="H656" i="2" s="1"/>
  <c r="G623" i="2"/>
  <c r="H623" i="2" s="1"/>
  <c r="G528" i="2"/>
  <c r="H528" i="2" s="1"/>
  <c r="G483" i="2"/>
  <c r="H483" i="2" s="1"/>
  <c r="G413" i="2"/>
  <c r="H413" i="2" s="1"/>
  <c r="G338" i="2"/>
  <c r="H338" i="2" s="1"/>
  <c r="G308" i="2"/>
  <c r="H308" i="2" s="1"/>
  <c r="G212" i="2"/>
  <c r="H212" i="2" s="1"/>
  <c r="G111" i="2"/>
  <c r="H111" i="2" s="1"/>
  <c r="G53" i="2"/>
  <c r="H53" i="2" s="1"/>
  <c r="G24" i="2"/>
  <c r="H24" i="2" s="1"/>
  <c r="G1215" i="2"/>
  <c r="H1215" i="2" s="1"/>
  <c r="G979" i="2"/>
  <c r="H979" i="2" s="1"/>
  <c r="G948" i="2"/>
  <c r="H948" i="2" s="1"/>
  <c r="G928" i="2"/>
  <c r="H928" i="2" s="1"/>
  <c r="G891" i="2"/>
  <c r="H891" i="2" s="1"/>
  <c r="G757" i="2"/>
  <c r="H757" i="2" s="1"/>
  <c r="G655" i="2"/>
  <c r="H655" i="2" s="1"/>
  <c r="G621" i="2"/>
  <c r="H621" i="2" s="1"/>
  <c r="G527" i="2"/>
  <c r="H527" i="2" s="1"/>
  <c r="G482" i="2"/>
  <c r="H482" i="2" s="1"/>
  <c r="G412" i="2"/>
  <c r="H412" i="2" s="1"/>
  <c r="G337" i="2"/>
  <c r="H337" i="2" s="1"/>
  <c r="G307" i="2"/>
  <c r="H307" i="2" s="1"/>
  <c r="G102" i="2"/>
  <c r="H102" i="2" s="1"/>
  <c r="G52" i="2"/>
  <c r="H52" i="2" s="1"/>
  <c r="K3" i="6"/>
  <c r="G1214" i="2"/>
  <c r="H1214" i="2" s="1"/>
  <c r="G975" i="2"/>
  <c r="H975" i="2" s="1"/>
  <c r="G840" i="2"/>
  <c r="H840" i="2" s="1"/>
  <c r="G756" i="2"/>
  <c r="H756" i="2" s="1"/>
  <c r="G653" i="2"/>
  <c r="H653" i="2" s="1"/>
  <c r="G299" i="2"/>
  <c r="H299" i="2" s="1"/>
  <c r="M1411" i="2"/>
  <c r="L3245" i="1"/>
  <c r="L3246" i="1"/>
  <c r="L3241" i="1"/>
  <c r="L3242" i="1"/>
  <c r="L3244" i="1"/>
  <c r="L3243" i="1"/>
  <c r="L3239" i="1"/>
  <c r="L3240" i="1"/>
  <c r="L3238" i="1"/>
  <c r="L3229" i="1"/>
  <c r="L3223" i="1"/>
  <c r="L3227" i="1"/>
  <c r="L3232" i="1"/>
  <c r="L3231" i="1"/>
  <c r="L3228" i="1"/>
  <c r="L3226" i="1"/>
  <c r="L3225" i="1"/>
  <c r="L3224" i="1"/>
  <c r="M1286" i="2"/>
  <c r="K1286" i="2" a="1"/>
  <c r="K1286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3" i="1"/>
  <c r="L3151" i="1"/>
  <c r="L3159" i="1"/>
  <c r="L3161" i="1"/>
  <c r="L3155" i="1"/>
  <c r="L3164" i="1"/>
  <c r="L3162" i="1"/>
  <c r="L3163" i="1"/>
  <c r="L3213" i="1"/>
  <c r="L3177" i="1"/>
  <c r="L3179" i="1"/>
  <c r="L3166" i="1"/>
  <c r="L3168" i="1"/>
  <c r="L3173" i="1"/>
  <c r="L3180" i="1"/>
  <c r="L3181" i="1"/>
  <c r="L2799" i="1"/>
  <c r="L3023" i="1"/>
  <c r="L3036" i="1"/>
  <c r="L3039" i="1"/>
  <c r="L3046" i="1"/>
  <c r="L3049" i="1"/>
  <c r="L3050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2840" i="1"/>
  <c r="L2849" i="1"/>
  <c r="L2850" i="1"/>
  <c r="L2868" i="1"/>
  <c r="L2883" i="1"/>
  <c r="L2964" i="1"/>
  <c r="L2967" i="1"/>
  <c r="L3083" i="1"/>
  <c r="L3085" i="1"/>
  <c r="L3097" i="1"/>
  <c r="L3105" i="1"/>
  <c r="L3108" i="1"/>
  <c r="L3128" i="1"/>
  <c r="L3132" i="1"/>
  <c r="L2973" i="1"/>
  <c r="L2975" i="1"/>
  <c r="L3144" i="1"/>
  <c r="L3146" i="1"/>
  <c r="L2815" i="1"/>
  <c r="L2816" i="1"/>
  <c r="L2820" i="1"/>
  <c r="L3192" i="1"/>
  <c r="L3193" i="1"/>
  <c r="L3194" i="1"/>
  <c r="L3195" i="1"/>
  <c r="B4" i="2"/>
  <c r="I4" i="2" s="1" a="1"/>
  <c r="I4" i="2" s="1"/>
  <c r="B5" i="2"/>
  <c r="I5" i="2" s="1" a="1"/>
  <c r="I5" i="2" s="1"/>
  <c r="L5" i="2" s="1"/>
  <c r="B6" i="2"/>
  <c r="I6" i="2" s="1" a="1"/>
  <c r="I6" i="2" s="1"/>
  <c r="B7" i="2"/>
  <c r="I7" i="2" s="1" a="1"/>
  <c r="I7" i="2" s="1"/>
  <c r="B8" i="2"/>
  <c r="I8" i="2" s="1" a="1"/>
  <c r="I8" i="2" s="1"/>
  <c r="B9" i="2"/>
  <c r="I9" i="2" s="1" a="1"/>
  <c r="I9" i="2" s="1"/>
  <c r="L9" i="2" s="1"/>
  <c r="B10" i="2"/>
  <c r="I10" i="2" s="1" a="1"/>
  <c r="I10" i="2" s="1"/>
  <c r="L10" i="2" s="1"/>
  <c r="B11" i="2"/>
  <c r="I11" i="2" s="1" a="1"/>
  <c r="I11" i="2" s="1"/>
  <c r="L11" i="2" s="1"/>
  <c r="B12" i="2"/>
  <c r="I12" i="2" s="1" a="1"/>
  <c r="I12" i="2" s="1"/>
  <c r="B13" i="2"/>
  <c r="B14" i="2"/>
  <c r="I14" i="2" s="1" a="1"/>
  <c r="I14" i="2" s="1"/>
  <c r="L14" i="2" s="1"/>
  <c r="B15" i="2"/>
  <c r="I15" i="2" s="1" a="1"/>
  <c r="I15" i="2" s="1"/>
  <c r="L15" i="2" s="1"/>
  <c r="B16" i="2"/>
  <c r="I16" i="2" s="1" a="1"/>
  <c r="I16" i="2" s="1"/>
  <c r="L16" i="2" s="1"/>
  <c r="B17" i="2"/>
  <c r="I17" i="2" s="1" a="1"/>
  <c r="I17" i="2" s="1"/>
  <c r="L17" i="2" s="1"/>
  <c r="B18" i="2"/>
  <c r="I18" i="2" s="1" a="1"/>
  <c r="I18" i="2" s="1"/>
  <c r="L18" i="2" s="1"/>
  <c r="B19" i="2"/>
  <c r="I19" i="2" s="1" a="1"/>
  <c r="I19" i="2" s="1"/>
  <c r="L19" i="2" s="1"/>
  <c r="B20" i="2"/>
  <c r="I20" i="2" s="1" a="1"/>
  <c r="I20" i="2" s="1"/>
  <c r="L20" i="2" s="1"/>
  <c r="B21" i="2"/>
  <c r="I21" i="2" s="1" a="1"/>
  <c r="I21" i="2" s="1"/>
  <c r="L21" i="2" s="1"/>
  <c r="B22" i="2"/>
  <c r="I22" i="2" s="1" a="1"/>
  <c r="I22" i="2" s="1"/>
  <c r="L22" i="2" s="1"/>
  <c r="B23" i="2"/>
  <c r="I23" i="2" s="1" a="1"/>
  <c r="I23" i="2" s="1"/>
  <c r="B24" i="2"/>
  <c r="I24" i="2" s="1" a="1"/>
  <c r="I24" i="2" s="1"/>
  <c r="L24" i="2" s="1"/>
  <c r="B25" i="2"/>
  <c r="I25" i="2" s="1" a="1"/>
  <c r="I25" i="2" s="1"/>
  <c r="L25" i="2" s="1"/>
  <c r="B26" i="2"/>
  <c r="I26" i="2" s="1" a="1"/>
  <c r="I26" i="2" s="1"/>
  <c r="B27" i="2"/>
  <c r="I27" i="2" s="1" a="1"/>
  <c r="I27" i="2" s="1"/>
  <c r="L27" i="2" s="1"/>
  <c r="B28" i="2"/>
  <c r="I28" i="2" s="1" a="1"/>
  <c r="I28" i="2" s="1"/>
  <c r="L28" i="2" s="1"/>
  <c r="B29" i="2"/>
  <c r="I29" i="2" s="1" a="1"/>
  <c r="I29" i="2" s="1"/>
  <c r="B30" i="2"/>
  <c r="I30" i="2" s="1" a="1"/>
  <c r="I30" i="2" s="1"/>
  <c r="L30" i="2" s="1"/>
  <c r="B31" i="2"/>
  <c r="I31" i="2" s="1" a="1"/>
  <c r="I31" i="2" s="1"/>
  <c r="L31" i="2" s="1"/>
  <c r="B32" i="2"/>
  <c r="I32" i="2" s="1" a="1"/>
  <c r="I32" i="2" s="1"/>
  <c r="L32" i="2" s="1"/>
  <c r="B33" i="2"/>
  <c r="B34" i="2"/>
  <c r="I34" i="2" s="1" a="1"/>
  <c r="I34" i="2" s="1"/>
  <c r="L34" i="2" s="1"/>
  <c r="B35" i="2"/>
  <c r="I35" i="2" s="1" a="1"/>
  <c r="I35" i="2" s="1"/>
  <c r="L35" i="2" s="1"/>
  <c r="B36" i="2"/>
  <c r="I36" i="2" s="1" a="1"/>
  <c r="I36" i="2" s="1"/>
  <c r="B37" i="2"/>
  <c r="I37" i="2" s="1" a="1"/>
  <c r="I37" i="2" s="1"/>
  <c r="L37" i="2" s="1"/>
  <c r="B38" i="2"/>
  <c r="I38" i="2" s="1" a="1"/>
  <c r="I38" i="2" s="1"/>
  <c r="L38" i="2" s="1"/>
  <c r="B39" i="2"/>
  <c r="I39" i="2" s="1" a="1"/>
  <c r="I39" i="2" s="1"/>
  <c r="L39" i="2" s="1"/>
  <c r="B40" i="2"/>
  <c r="I40" i="2" s="1" a="1"/>
  <c r="I40" i="2" s="1"/>
  <c r="L40" i="2" s="1"/>
  <c r="B41" i="2"/>
  <c r="I41" i="2" s="1" a="1"/>
  <c r="I41" i="2" s="1"/>
  <c r="L41" i="2" s="1"/>
  <c r="B42" i="2"/>
  <c r="I42" i="2" s="1" a="1"/>
  <c r="I42" i="2" s="1"/>
  <c r="L42" i="2" s="1"/>
  <c r="B43" i="2"/>
  <c r="I43" i="2" s="1" a="1"/>
  <c r="I43" i="2" s="1"/>
  <c r="L43" i="2" s="1"/>
  <c r="B44" i="2"/>
  <c r="I44" i="2" s="1" a="1"/>
  <c r="I44" i="2" s="1"/>
  <c r="L44" i="2" s="1"/>
  <c r="B45" i="2"/>
  <c r="I45" i="2" s="1" a="1"/>
  <c r="I45" i="2" s="1"/>
  <c r="B46" i="2"/>
  <c r="I46" i="2" s="1" a="1"/>
  <c r="I46" i="2" s="1"/>
  <c r="L46" i="2" s="1"/>
  <c r="B47" i="2"/>
  <c r="I47" i="2" s="1" a="1"/>
  <c r="I47" i="2" s="1"/>
  <c r="L47" i="2" s="1"/>
  <c r="B48" i="2"/>
  <c r="I48" i="2" s="1" a="1"/>
  <c r="I48" i="2" s="1"/>
  <c r="L48" i="2" s="1"/>
  <c r="B49" i="2"/>
  <c r="I49" i="2" s="1" a="1"/>
  <c r="I49" i="2" s="1"/>
  <c r="L49" i="2" s="1"/>
  <c r="B50" i="2"/>
  <c r="I50" i="2" s="1" a="1"/>
  <c r="I50" i="2" s="1"/>
  <c r="L50" i="2" s="1"/>
  <c r="B51" i="2"/>
  <c r="I51" i="2" s="1" a="1"/>
  <c r="I51" i="2" s="1"/>
  <c r="L51" i="2" s="1"/>
  <c r="B52" i="2"/>
  <c r="I52" i="2" s="1" a="1"/>
  <c r="I52" i="2" s="1"/>
  <c r="L52" i="2" s="1"/>
  <c r="B53" i="2"/>
  <c r="B54" i="2"/>
  <c r="I54" i="2" s="1" a="1"/>
  <c r="I54" i="2" s="1"/>
  <c r="L54" i="2" s="1"/>
  <c r="B55" i="2"/>
  <c r="I55" i="2" s="1" a="1"/>
  <c r="I55" i="2" s="1"/>
  <c r="L55" i="2" s="1"/>
  <c r="B56" i="2"/>
  <c r="I56" i="2" s="1" a="1"/>
  <c r="I56" i="2" s="1"/>
  <c r="L56" i="2" s="1"/>
  <c r="B57" i="2"/>
  <c r="I57" i="2" s="1" a="1"/>
  <c r="I57" i="2" s="1"/>
  <c r="L57" i="2" s="1"/>
  <c r="B58" i="2"/>
  <c r="I58" i="2" s="1" a="1"/>
  <c r="I58" i="2" s="1"/>
  <c r="L58" i="2" s="1"/>
  <c r="B59" i="2"/>
  <c r="I59" i="2" s="1" a="1"/>
  <c r="I59" i="2" s="1"/>
  <c r="L59" i="2" s="1"/>
  <c r="B60" i="2"/>
  <c r="I60" i="2" s="1" a="1"/>
  <c r="I60" i="2" s="1"/>
  <c r="L60" i="2" s="1"/>
  <c r="B61" i="2"/>
  <c r="I61" i="2" s="1" a="1"/>
  <c r="I61" i="2" s="1"/>
  <c r="L61" i="2" s="1"/>
  <c r="B62" i="2"/>
  <c r="I62" i="2" s="1" a="1"/>
  <c r="I62" i="2" s="1"/>
  <c r="L62" i="2" s="1"/>
  <c r="B63" i="2"/>
  <c r="I63" i="2" s="1" a="1"/>
  <c r="I63" i="2" s="1"/>
  <c r="L63" i="2" s="1"/>
  <c r="B64" i="2"/>
  <c r="I64" i="2" s="1" a="1"/>
  <c r="I64" i="2" s="1"/>
  <c r="L64" i="2" s="1"/>
  <c r="B65" i="2"/>
  <c r="I65" i="2" s="1" a="1"/>
  <c r="I65" i="2" s="1"/>
  <c r="L65" i="2" s="1"/>
  <c r="B66" i="2"/>
  <c r="I66" i="2" s="1" a="1"/>
  <c r="I66" i="2" s="1"/>
  <c r="L66" i="2" s="1"/>
  <c r="B67" i="2"/>
  <c r="I67" i="2" s="1" a="1"/>
  <c r="I67" i="2" s="1"/>
  <c r="L67" i="2" s="1"/>
  <c r="B68" i="2"/>
  <c r="I68" i="2" s="1" a="1"/>
  <c r="I68" i="2" s="1"/>
  <c r="L68" i="2" s="1"/>
  <c r="B69" i="2"/>
  <c r="I69" i="2" s="1" a="1"/>
  <c r="I69" i="2" s="1"/>
  <c r="L69" i="2" s="1"/>
  <c r="B70" i="2"/>
  <c r="I70" i="2" s="1" a="1"/>
  <c r="I70" i="2" s="1"/>
  <c r="L70" i="2" s="1"/>
  <c r="B71" i="2"/>
  <c r="I71" i="2" s="1" a="1"/>
  <c r="I71" i="2" s="1"/>
  <c r="L71" i="2" s="1"/>
  <c r="B72" i="2"/>
  <c r="I72" i="2" s="1" a="1"/>
  <c r="I72" i="2" s="1"/>
  <c r="L72" i="2" s="1"/>
  <c r="B73" i="2"/>
  <c r="B74" i="2"/>
  <c r="I74" i="2" s="1" a="1"/>
  <c r="I74" i="2" s="1"/>
  <c r="L74" i="2" s="1"/>
  <c r="B75" i="2"/>
  <c r="I75" i="2" s="1" a="1"/>
  <c r="I75" i="2" s="1"/>
  <c r="L75" i="2" s="1"/>
  <c r="B76" i="2"/>
  <c r="I76" i="2" s="1" a="1"/>
  <c r="I76" i="2" s="1"/>
  <c r="L76" i="2" s="1"/>
  <c r="B77" i="2"/>
  <c r="I77" i="2" s="1" a="1"/>
  <c r="I77" i="2" s="1"/>
  <c r="L77" i="2" s="1"/>
  <c r="B78" i="2"/>
  <c r="I78" i="2" s="1" a="1"/>
  <c r="I78" i="2" s="1"/>
  <c r="L78" i="2" s="1"/>
  <c r="B79" i="2"/>
  <c r="B80" i="2"/>
  <c r="I80" i="2" s="1" a="1"/>
  <c r="I80" i="2" s="1"/>
  <c r="L80" i="2" s="1"/>
  <c r="B81" i="2"/>
  <c r="I81" i="2" s="1" a="1"/>
  <c r="I81" i="2" s="1"/>
  <c r="L81" i="2" s="1"/>
  <c r="B82" i="2"/>
  <c r="I82" i="2" s="1" a="1"/>
  <c r="I82" i="2" s="1"/>
  <c r="L82" i="2" s="1"/>
  <c r="B83" i="2"/>
  <c r="I83" i="2" s="1" a="1"/>
  <c r="I83" i="2" s="1"/>
  <c r="L83" i="2" s="1"/>
  <c r="B84" i="2"/>
  <c r="I84" i="2" s="1" a="1"/>
  <c r="I84" i="2" s="1"/>
  <c r="L84" i="2" s="1"/>
  <c r="B85" i="2"/>
  <c r="I85" i="2" s="1" a="1"/>
  <c r="I85" i="2" s="1"/>
  <c r="L85" i="2" s="1"/>
  <c r="B86" i="2"/>
  <c r="I86" i="2" s="1" a="1"/>
  <c r="I86" i="2" s="1"/>
  <c r="L86" i="2" s="1"/>
  <c r="B87" i="2"/>
  <c r="I87" i="2" s="1" a="1"/>
  <c r="I87" i="2" s="1"/>
  <c r="L87" i="2" s="1"/>
  <c r="B88" i="2"/>
  <c r="I88" i="2" s="1" a="1"/>
  <c r="I88" i="2" s="1"/>
  <c r="L88" i="2" s="1"/>
  <c r="B89" i="2"/>
  <c r="I89" i="2" s="1" a="1"/>
  <c r="I89" i="2" s="1"/>
  <c r="L89" i="2" s="1"/>
  <c r="B90" i="2"/>
  <c r="I90" i="2" s="1" a="1"/>
  <c r="I90" i="2" s="1"/>
  <c r="L90" i="2" s="1"/>
  <c r="B91" i="2"/>
  <c r="I91" i="2" s="1" a="1"/>
  <c r="I91" i="2" s="1"/>
  <c r="L91" i="2" s="1"/>
  <c r="B92" i="2"/>
  <c r="I92" i="2" s="1" a="1"/>
  <c r="I92" i="2" s="1"/>
  <c r="L92" i="2" s="1"/>
  <c r="B93" i="2"/>
  <c r="I93" i="2" s="1" a="1"/>
  <c r="I93" i="2" s="1"/>
  <c r="L93" i="2" s="1"/>
  <c r="B94" i="2"/>
  <c r="I94" i="2" s="1" a="1"/>
  <c r="I94" i="2" s="1"/>
  <c r="L94" i="2" s="1"/>
  <c r="B95" i="2"/>
  <c r="I95" i="2" s="1" a="1"/>
  <c r="I95" i="2" s="1"/>
  <c r="L95" i="2" s="1"/>
  <c r="B96" i="2"/>
  <c r="I96" i="2" s="1" a="1"/>
  <c r="I96" i="2" s="1"/>
  <c r="L96" i="2" s="1"/>
  <c r="B97" i="2"/>
  <c r="I97" i="2" s="1" a="1"/>
  <c r="I97" i="2" s="1"/>
  <c r="L97" i="2" s="1"/>
  <c r="B98" i="2"/>
  <c r="I98" i="2" s="1" a="1"/>
  <c r="I98" i="2" s="1"/>
  <c r="L98" i="2" s="1"/>
  <c r="B99" i="2"/>
  <c r="I99" i="2" s="1" a="1"/>
  <c r="I99" i="2" s="1"/>
  <c r="L99" i="2" s="1"/>
  <c r="B100" i="2"/>
  <c r="I100" i="2" s="1" a="1"/>
  <c r="I100" i="2" s="1"/>
  <c r="L100" i="2" s="1"/>
  <c r="B101" i="2"/>
  <c r="I101" i="2" s="1" a="1"/>
  <c r="I101" i="2" s="1"/>
  <c r="L101" i="2" s="1"/>
  <c r="B102" i="2"/>
  <c r="I102" i="2" s="1" a="1"/>
  <c r="I102" i="2" s="1"/>
  <c r="L102" i="2" s="1"/>
  <c r="B103" i="2"/>
  <c r="I103" i="2" s="1" a="1"/>
  <c r="I103" i="2" s="1"/>
  <c r="L103" i="2" s="1"/>
  <c r="B104" i="2"/>
  <c r="I104" i="2" s="1" a="1"/>
  <c r="I104" i="2" s="1"/>
  <c r="L104" i="2" s="1"/>
  <c r="B105" i="2"/>
  <c r="I105" i="2" s="1" a="1"/>
  <c r="I105" i="2" s="1"/>
  <c r="L105" i="2" s="1"/>
  <c r="B106" i="2"/>
  <c r="I106" i="2" s="1" a="1"/>
  <c r="I106" i="2" s="1"/>
  <c r="L106" i="2" s="1"/>
  <c r="B107" i="2"/>
  <c r="I107" i="2" s="1" a="1"/>
  <c r="I107" i="2" s="1"/>
  <c r="L107" i="2" s="1"/>
  <c r="B108" i="2"/>
  <c r="I108" i="2" s="1" a="1"/>
  <c r="I108" i="2" s="1"/>
  <c r="L108" i="2" s="1"/>
  <c r="B109" i="2"/>
  <c r="I109" i="2" s="1" a="1"/>
  <c r="I109" i="2" s="1"/>
  <c r="L109" i="2" s="1"/>
  <c r="B110" i="2"/>
  <c r="I110" i="2" s="1" a="1"/>
  <c r="I110" i="2" s="1"/>
  <c r="L110" i="2" s="1"/>
  <c r="B111" i="2"/>
  <c r="I111" i="2" s="1" a="1"/>
  <c r="I111" i="2" s="1"/>
  <c r="L111" i="2" s="1"/>
  <c r="B112" i="2"/>
  <c r="I112" i="2" s="1" a="1"/>
  <c r="I112" i="2" s="1"/>
  <c r="L112" i="2" s="1"/>
  <c r="B113" i="2"/>
  <c r="I113" i="2" s="1" a="1"/>
  <c r="I113" i="2" s="1"/>
  <c r="L113" i="2" s="1"/>
  <c r="B114" i="2"/>
  <c r="I114" i="2" s="1" a="1"/>
  <c r="I114" i="2" s="1"/>
  <c r="L114" i="2" s="1"/>
  <c r="B115" i="2"/>
  <c r="I115" i="2" s="1" a="1"/>
  <c r="I115" i="2" s="1"/>
  <c r="L115" i="2" s="1"/>
  <c r="B116" i="2"/>
  <c r="I116" i="2" s="1" a="1"/>
  <c r="I116" i="2" s="1"/>
  <c r="L116" i="2" s="1"/>
  <c r="B117" i="2"/>
  <c r="I117" i="2" s="1" a="1"/>
  <c r="I117" i="2" s="1"/>
  <c r="L117" i="2" s="1"/>
  <c r="B118" i="2"/>
  <c r="I118" i="2" s="1" a="1"/>
  <c r="I118" i="2" s="1"/>
  <c r="L118" i="2" s="1"/>
  <c r="B119" i="2"/>
  <c r="I119" i="2" s="1" a="1"/>
  <c r="I119" i="2" s="1"/>
  <c r="L119" i="2" s="1"/>
  <c r="B120" i="2"/>
  <c r="I120" i="2" s="1" a="1"/>
  <c r="I120" i="2" s="1"/>
  <c r="L120" i="2" s="1"/>
  <c r="B121" i="2"/>
  <c r="I121" i="2" s="1" a="1"/>
  <c r="I121" i="2" s="1"/>
  <c r="L121" i="2" s="1"/>
  <c r="B122" i="2"/>
  <c r="I122" i="2" s="1" a="1"/>
  <c r="I122" i="2" s="1"/>
  <c r="L122" i="2" s="1"/>
  <c r="B123" i="2"/>
  <c r="I123" i="2" s="1" a="1"/>
  <c r="I123" i="2" s="1"/>
  <c r="L123" i="2" s="1"/>
  <c r="B124" i="2"/>
  <c r="I124" i="2" s="1" a="1"/>
  <c r="I124" i="2" s="1"/>
  <c r="L124" i="2" s="1"/>
  <c r="B125" i="2"/>
  <c r="I125" i="2" s="1" a="1"/>
  <c r="I125" i="2" s="1"/>
  <c r="L125" i="2" s="1"/>
  <c r="B126" i="2"/>
  <c r="I126" i="2" s="1" a="1"/>
  <c r="I126" i="2" s="1"/>
  <c r="L126" i="2" s="1"/>
  <c r="B127" i="2"/>
  <c r="I127" i="2" s="1" a="1"/>
  <c r="I127" i="2" s="1"/>
  <c r="L127" i="2" s="1"/>
  <c r="B128" i="2"/>
  <c r="I128" i="2" s="1" a="1"/>
  <c r="I128" i="2" s="1"/>
  <c r="L128" i="2" s="1"/>
  <c r="B129" i="2"/>
  <c r="I129" i="2" s="1" a="1"/>
  <c r="I129" i="2" s="1"/>
  <c r="L129" i="2" s="1"/>
  <c r="B130" i="2"/>
  <c r="I130" i="2" s="1" a="1"/>
  <c r="I130" i="2" s="1"/>
  <c r="L130" i="2" s="1"/>
  <c r="B131" i="2"/>
  <c r="I131" i="2" s="1" a="1"/>
  <c r="I131" i="2" s="1"/>
  <c r="L131" i="2" s="1"/>
  <c r="B132" i="2"/>
  <c r="I132" i="2" s="1" a="1"/>
  <c r="I132" i="2" s="1"/>
  <c r="L132" i="2" s="1"/>
  <c r="B133" i="2"/>
  <c r="I133" i="2" s="1" a="1"/>
  <c r="I133" i="2" s="1"/>
  <c r="L133" i="2" s="1"/>
  <c r="B134" i="2"/>
  <c r="I134" i="2" s="1" a="1"/>
  <c r="I134" i="2" s="1"/>
  <c r="L134" i="2" s="1"/>
  <c r="B135" i="2"/>
  <c r="I135" i="2" s="1" a="1"/>
  <c r="I135" i="2" s="1"/>
  <c r="L135" i="2" s="1"/>
  <c r="B136" i="2"/>
  <c r="I136" i="2" s="1" a="1"/>
  <c r="I136" i="2" s="1"/>
  <c r="L136" i="2" s="1"/>
  <c r="B137" i="2"/>
  <c r="I137" i="2" s="1" a="1"/>
  <c r="I137" i="2" s="1"/>
  <c r="L137" i="2" s="1"/>
  <c r="B138" i="2"/>
  <c r="I138" i="2" s="1" a="1"/>
  <c r="I138" i="2" s="1"/>
  <c r="L138" i="2" s="1"/>
  <c r="B139" i="2"/>
  <c r="I139" i="2" s="1" a="1"/>
  <c r="I139" i="2" s="1"/>
  <c r="L139" i="2" s="1"/>
  <c r="B140" i="2"/>
  <c r="I140" i="2" s="1" a="1"/>
  <c r="I140" i="2" s="1"/>
  <c r="L140" i="2" s="1"/>
  <c r="B141" i="2"/>
  <c r="I141" i="2" s="1" a="1"/>
  <c r="I141" i="2" s="1"/>
  <c r="L141" i="2" s="1"/>
  <c r="B142" i="2"/>
  <c r="I142" i="2" s="1" a="1"/>
  <c r="I142" i="2" s="1"/>
  <c r="L142" i="2" s="1"/>
  <c r="B143" i="2"/>
  <c r="I143" i="2" s="1" a="1"/>
  <c r="I143" i="2" s="1"/>
  <c r="L143" i="2" s="1"/>
  <c r="B144" i="2"/>
  <c r="I144" i="2" s="1" a="1"/>
  <c r="I144" i="2" s="1"/>
  <c r="L144" i="2" s="1"/>
  <c r="B145" i="2"/>
  <c r="I145" i="2" s="1" a="1"/>
  <c r="I145" i="2" s="1"/>
  <c r="L145" i="2" s="1"/>
  <c r="B146" i="2"/>
  <c r="I146" i="2" s="1" a="1"/>
  <c r="I146" i="2" s="1"/>
  <c r="L146" i="2" s="1"/>
  <c r="B147" i="2"/>
  <c r="I147" i="2" s="1" a="1"/>
  <c r="I147" i="2" s="1"/>
  <c r="L147" i="2" s="1"/>
  <c r="B148" i="2"/>
  <c r="I148" i="2" s="1" a="1"/>
  <c r="I148" i="2" s="1"/>
  <c r="L148" i="2" s="1"/>
  <c r="B149" i="2"/>
  <c r="I149" i="2" s="1" a="1"/>
  <c r="I149" i="2" s="1"/>
  <c r="L149" i="2" s="1"/>
  <c r="B150" i="2"/>
  <c r="I150" i="2" s="1" a="1"/>
  <c r="I150" i="2" s="1"/>
  <c r="L150" i="2" s="1"/>
  <c r="B151" i="2"/>
  <c r="I151" i="2" s="1" a="1"/>
  <c r="I151" i="2" s="1"/>
  <c r="L151" i="2" s="1"/>
  <c r="B152" i="2"/>
  <c r="I152" i="2" s="1" a="1"/>
  <c r="I152" i="2" s="1"/>
  <c r="L152" i="2" s="1"/>
  <c r="B153" i="2"/>
  <c r="I153" i="2" s="1" a="1"/>
  <c r="I153" i="2" s="1"/>
  <c r="L153" i="2" s="1"/>
  <c r="B154" i="2"/>
  <c r="I154" i="2" s="1" a="1"/>
  <c r="I154" i="2" s="1"/>
  <c r="L154" i="2" s="1"/>
  <c r="B155" i="2"/>
  <c r="I155" i="2" s="1" a="1"/>
  <c r="I155" i="2" s="1"/>
  <c r="L155" i="2" s="1"/>
  <c r="B156" i="2"/>
  <c r="I156" i="2" s="1" a="1"/>
  <c r="I156" i="2" s="1"/>
  <c r="L156" i="2" s="1"/>
  <c r="B157" i="2"/>
  <c r="I157" i="2" s="1" a="1"/>
  <c r="I157" i="2" s="1"/>
  <c r="L157" i="2" s="1"/>
  <c r="B158" i="2"/>
  <c r="I158" i="2" s="1" a="1"/>
  <c r="I158" i="2" s="1"/>
  <c r="L158" i="2" s="1"/>
  <c r="B159" i="2"/>
  <c r="B160" i="2"/>
  <c r="B161" i="2"/>
  <c r="I161" i="2" s="1" a="1"/>
  <c r="I161" i="2" s="1"/>
  <c r="L161" i="2" s="1"/>
  <c r="B162" i="2"/>
  <c r="I162" i="2" s="1" a="1"/>
  <c r="I162" i="2" s="1"/>
  <c r="L162" i="2" s="1"/>
  <c r="B163" i="2"/>
  <c r="I163" i="2" s="1" a="1"/>
  <c r="I163" i="2" s="1"/>
  <c r="L163" i="2" s="1"/>
  <c r="B164" i="2"/>
  <c r="I164" i="2" s="1" a="1"/>
  <c r="I164" i="2" s="1"/>
  <c r="L164" i="2" s="1"/>
  <c r="B165" i="2"/>
  <c r="I165" i="2" s="1" a="1"/>
  <c r="I165" i="2" s="1"/>
  <c r="L165" i="2" s="1"/>
  <c r="B166" i="2"/>
  <c r="I166" i="2" s="1" a="1"/>
  <c r="I166" i="2" s="1"/>
  <c r="L166" i="2" s="1"/>
  <c r="B167" i="2"/>
  <c r="I167" i="2" s="1" a="1"/>
  <c r="I167" i="2" s="1"/>
  <c r="L167" i="2" s="1"/>
  <c r="B168" i="2"/>
  <c r="I168" i="2" s="1" a="1"/>
  <c r="I168" i="2" s="1"/>
  <c r="L168" i="2" s="1"/>
  <c r="B169" i="2"/>
  <c r="I169" i="2" s="1" a="1"/>
  <c r="I169" i="2" s="1"/>
  <c r="L169" i="2" s="1"/>
  <c r="B170" i="2"/>
  <c r="I170" i="2" s="1" a="1"/>
  <c r="I170" i="2" s="1"/>
  <c r="L170" i="2" s="1"/>
  <c r="B171" i="2"/>
  <c r="I171" i="2" s="1" a="1"/>
  <c r="I171" i="2" s="1"/>
  <c r="L171" i="2" s="1"/>
  <c r="B172" i="2"/>
  <c r="I172" i="2" s="1" a="1"/>
  <c r="I172" i="2" s="1"/>
  <c r="L172" i="2" s="1"/>
  <c r="B173" i="2"/>
  <c r="B174" i="2"/>
  <c r="I174" i="2" s="1" a="1"/>
  <c r="I174" i="2" s="1"/>
  <c r="L174" i="2" s="1"/>
  <c r="B175" i="2"/>
  <c r="I175" i="2" s="1" a="1"/>
  <c r="I175" i="2" s="1"/>
  <c r="L175" i="2" s="1"/>
  <c r="B176" i="2"/>
  <c r="I176" i="2" s="1" a="1"/>
  <c r="I176" i="2" s="1"/>
  <c r="L176" i="2" s="1"/>
  <c r="B177" i="2"/>
  <c r="I177" i="2" s="1" a="1"/>
  <c r="I177" i="2" s="1"/>
  <c r="L177" i="2" s="1"/>
  <c r="B178" i="2"/>
  <c r="I178" i="2" s="1" a="1"/>
  <c r="I178" i="2" s="1"/>
  <c r="L178" i="2" s="1"/>
  <c r="B179" i="2"/>
  <c r="I179" i="2" s="1" a="1"/>
  <c r="I179" i="2" s="1"/>
  <c r="L179" i="2" s="1"/>
  <c r="B180" i="2"/>
  <c r="B181" i="2"/>
  <c r="I181" i="2" s="1" a="1"/>
  <c r="I181" i="2" s="1"/>
  <c r="L181" i="2" s="1"/>
  <c r="B182" i="2"/>
  <c r="I182" i="2" s="1" a="1"/>
  <c r="I182" i="2" s="1"/>
  <c r="L182" i="2" s="1"/>
  <c r="B183" i="2"/>
  <c r="I183" i="2" s="1" a="1"/>
  <c r="I183" i="2" s="1"/>
  <c r="L183" i="2" s="1"/>
  <c r="B184" i="2"/>
  <c r="I184" i="2" s="1" a="1"/>
  <c r="I184" i="2" s="1"/>
  <c r="L184" i="2" s="1"/>
  <c r="B185" i="2"/>
  <c r="I185" i="2" s="1" a="1"/>
  <c r="I185" i="2" s="1"/>
  <c r="L185" i="2" s="1"/>
  <c r="B186" i="2"/>
  <c r="I186" i="2" s="1" a="1"/>
  <c r="I186" i="2" s="1"/>
  <c r="L186" i="2" s="1"/>
  <c r="B187" i="2"/>
  <c r="I187" i="2" s="1" a="1"/>
  <c r="I187" i="2" s="1"/>
  <c r="L187" i="2" s="1"/>
  <c r="B188" i="2"/>
  <c r="I188" i="2" s="1" a="1"/>
  <c r="I188" i="2" s="1"/>
  <c r="L188" i="2" s="1"/>
  <c r="B189" i="2"/>
  <c r="I189" i="2" s="1" a="1"/>
  <c r="I189" i="2" s="1"/>
  <c r="L189" i="2" s="1"/>
  <c r="B190" i="2"/>
  <c r="I190" i="2" s="1" a="1"/>
  <c r="I190" i="2" s="1"/>
  <c r="L190" i="2" s="1"/>
  <c r="B191" i="2"/>
  <c r="I191" i="2" s="1" a="1"/>
  <c r="I191" i="2" s="1"/>
  <c r="L191" i="2" s="1"/>
  <c r="B192" i="2"/>
  <c r="I192" i="2" s="1" a="1"/>
  <c r="I192" i="2" s="1"/>
  <c r="L192" i="2" s="1"/>
  <c r="B193" i="2"/>
  <c r="B194" i="2"/>
  <c r="I194" i="2" s="1" a="1"/>
  <c r="I194" i="2" s="1"/>
  <c r="L194" i="2" s="1"/>
  <c r="B195" i="2"/>
  <c r="I195" i="2" s="1" a="1"/>
  <c r="I195" i="2" s="1"/>
  <c r="L195" i="2" s="1"/>
  <c r="B196" i="2"/>
  <c r="I196" i="2" s="1" a="1"/>
  <c r="I196" i="2" s="1"/>
  <c r="L196" i="2" s="1"/>
  <c r="B197" i="2"/>
  <c r="I197" i="2" s="1" a="1"/>
  <c r="I197" i="2" s="1"/>
  <c r="L197" i="2" s="1"/>
  <c r="B198" i="2"/>
  <c r="I198" i="2" s="1" a="1"/>
  <c r="I198" i="2" s="1"/>
  <c r="L198" i="2" s="1"/>
  <c r="B199" i="2"/>
  <c r="I199" i="2" s="1" a="1"/>
  <c r="I199" i="2" s="1"/>
  <c r="L199" i="2" s="1"/>
  <c r="B200" i="2"/>
  <c r="B201" i="2"/>
  <c r="I201" i="2" s="1" a="1"/>
  <c r="I201" i="2" s="1"/>
  <c r="L201" i="2" s="1"/>
  <c r="B202" i="2"/>
  <c r="I202" i="2" s="1" a="1"/>
  <c r="I202" i="2" s="1"/>
  <c r="L202" i="2" s="1"/>
  <c r="B203" i="2"/>
  <c r="I203" i="2" s="1" a="1"/>
  <c r="I203" i="2" s="1"/>
  <c r="L203" i="2" s="1"/>
  <c r="B204" i="2"/>
  <c r="I204" i="2" s="1" a="1"/>
  <c r="I204" i="2" s="1"/>
  <c r="L204" i="2" s="1"/>
  <c r="B205" i="2"/>
  <c r="I205" i="2" s="1" a="1"/>
  <c r="I205" i="2" s="1"/>
  <c r="L205" i="2" s="1"/>
  <c r="B206" i="2"/>
  <c r="I206" i="2" s="1" a="1"/>
  <c r="I206" i="2" s="1"/>
  <c r="L206" i="2" s="1"/>
  <c r="B207" i="2"/>
  <c r="I207" i="2" s="1" a="1"/>
  <c r="I207" i="2" s="1"/>
  <c r="L207" i="2" s="1"/>
  <c r="B208" i="2"/>
  <c r="I208" i="2" s="1" a="1"/>
  <c r="I208" i="2" s="1"/>
  <c r="L208" i="2" s="1"/>
  <c r="B209" i="2"/>
  <c r="I209" i="2" s="1" a="1"/>
  <c r="I209" i="2" s="1"/>
  <c r="L209" i="2" s="1"/>
  <c r="B210" i="2"/>
  <c r="I210" i="2" s="1" a="1"/>
  <c r="I210" i="2" s="1"/>
  <c r="L210" i="2" s="1"/>
  <c r="B211" i="2"/>
  <c r="I211" i="2" s="1" a="1"/>
  <c r="I211" i="2" s="1"/>
  <c r="L211" i="2" s="1"/>
  <c r="B212" i="2"/>
  <c r="I212" i="2" s="1" a="1"/>
  <c r="I212" i="2" s="1"/>
  <c r="L212" i="2" s="1"/>
  <c r="B213" i="2"/>
  <c r="B214" i="2"/>
  <c r="B215" i="2"/>
  <c r="I215" i="2" s="1" a="1"/>
  <c r="I215" i="2" s="1"/>
  <c r="L215" i="2" s="1"/>
  <c r="B216" i="2"/>
  <c r="I216" i="2" s="1" a="1"/>
  <c r="I216" i="2" s="1"/>
  <c r="L216" i="2" s="1"/>
  <c r="B217" i="2"/>
  <c r="I217" i="2" s="1" a="1"/>
  <c r="I217" i="2" s="1"/>
  <c r="L217" i="2" s="1"/>
  <c r="B218" i="2"/>
  <c r="I218" i="2" s="1" a="1"/>
  <c r="I218" i="2" s="1"/>
  <c r="L218" i="2" s="1"/>
  <c r="B219" i="2"/>
  <c r="B220" i="2"/>
  <c r="I220" i="2" s="1" a="1"/>
  <c r="I220" i="2" s="1"/>
  <c r="L220" i="2" s="1"/>
  <c r="B221" i="2"/>
  <c r="I221" i="2" s="1" a="1"/>
  <c r="I221" i="2" s="1"/>
  <c r="L221" i="2" s="1"/>
  <c r="B222" i="2"/>
  <c r="I222" i="2" s="1" a="1"/>
  <c r="I222" i="2" s="1"/>
  <c r="L222" i="2" s="1"/>
  <c r="B223" i="2"/>
  <c r="I223" i="2" s="1" a="1"/>
  <c r="I223" i="2" s="1"/>
  <c r="L223" i="2" s="1"/>
  <c r="B224" i="2"/>
  <c r="I224" i="2" s="1" a="1"/>
  <c r="I224" i="2" s="1"/>
  <c r="L224" i="2" s="1"/>
  <c r="B225" i="2"/>
  <c r="I225" i="2" s="1" a="1"/>
  <c r="I225" i="2" s="1"/>
  <c r="L225" i="2" s="1"/>
  <c r="B226" i="2"/>
  <c r="I226" i="2" s="1" a="1"/>
  <c r="I226" i="2" s="1"/>
  <c r="L226" i="2" s="1"/>
  <c r="B227" i="2"/>
  <c r="I227" i="2" s="1" a="1"/>
  <c r="I227" i="2" s="1"/>
  <c r="L227" i="2" s="1"/>
  <c r="B228" i="2"/>
  <c r="I228" i="2" s="1" a="1"/>
  <c r="I228" i="2" s="1"/>
  <c r="L228" i="2" s="1"/>
  <c r="B229" i="2"/>
  <c r="I229" i="2" s="1" a="1"/>
  <c r="I229" i="2" s="1"/>
  <c r="L229" i="2" s="1"/>
  <c r="B230" i="2"/>
  <c r="I230" i="2" s="1" a="1"/>
  <c r="I230" i="2" s="1"/>
  <c r="L230" i="2" s="1"/>
  <c r="B231" i="2"/>
  <c r="I231" i="2" s="1" a="1"/>
  <c r="I231" i="2" s="1"/>
  <c r="L231" i="2" s="1"/>
  <c r="B232" i="2"/>
  <c r="I232" i="2" s="1" a="1"/>
  <c r="I232" i="2" s="1"/>
  <c r="L232" i="2" s="1"/>
  <c r="B233" i="2"/>
  <c r="I233" i="2" s="1" a="1"/>
  <c r="I233" i="2" s="1"/>
  <c r="L233" i="2" s="1"/>
  <c r="B234" i="2"/>
  <c r="B235" i="2"/>
  <c r="I235" i="2" s="1" a="1"/>
  <c r="I235" i="2" s="1"/>
  <c r="L235" i="2" s="1"/>
  <c r="B236" i="2"/>
  <c r="I236" i="2" s="1" a="1"/>
  <c r="I236" i="2" s="1"/>
  <c r="L236" i="2" s="1"/>
  <c r="B237" i="2"/>
  <c r="I237" i="2" s="1" a="1"/>
  <c r="I237" i="2" s="1"/>
  <c r="L237" i="2" s="1"/>
  <c r="B238" i="2"/>
  <c r="I238" i="2" s="1" a="1"/>
  <c r="I238" i="2" s="1"/>
  <c r="L238" i="2" s="1"/>
  <c r="B239" i="2"/>
  <c r="I239" i="2" s="1" a="1"/>
  <c r="I239" i="2" s="1"/>
  <c r="L239" i="2" s="1"/>
  <c r="B240" i="2"/>
  <c r="I240" i="2" s="1" a="1"/>
  <c r="I240" i="2" s="1"/>
  <c r="L240" i="2" s="1"/>
  <c r="B241" i="2"/>
  <c r="I241" i="2" s="1" a="1"/>
  <c r="I241" i="2" s="1"/>
  <c r="L241" i="2" s="1"/>
  <c r="B242" i="2"/>
  <c r="I242" i="2" s="1" a="1"/>
  <c r="I242" i="2" s="1"/>
  <c r="L242" i="2" s="1"/>
  <c r="B243" i="2"/>
  <c r="I243" i="2" s="1" a="1"/>
  <c r="I243" i="2" s="1"/>
  <c r="L243" i="2" s="1"/>
  <c r="B244" i="2"/>
  <c r="I244" i="2" s="1" a="1"/>
  <c r="I244" i="2" s="1"/>
  <c r="L244" i="2" s="1"/>
  <c r="B245" i="2"/>
  <c r="I245" i="2" s="1" a="1"/>
  <c r="I245" i="2" s="1"/>
  <c r="L245" i="2" s="1"/>
  <c r="B246" i="2"/>
  <c r="I246" i="2" s="1" a="1"/>
  <c r="I246" i="2" s="1"/>
  <c r="L246" i="2" s="1"/>
  <c r="B247" i="2"/>
  <c r="I247" i="2" s="1" a="1"/>
  <c r="I247" i="2" s="1"/>
  <c r="L247" i="2" s="1"/>
  <c r="B248" i="2"/>
  <c r="I248" i="2" s="1" a="1"/>
  <c r="I248" i="2" s="1"/>
  <c r="L248" i="2" s="1"/>
  <c r="B249" i="2"/>
  <c r="I249" i="2" s="1" a="1"/>
  <c r="I249" i="2" s="1"/>
  <c r="L249" i="2" s="1"/>
  <c r="B250" i="2"/>
  <c r="I250" i="2" s="1" a="1"/>
  <c r="I250" i="2" s="1"/>
  <c r="L250" i="2" s="1"/>
  <c r="B251" i="2"/>
  <c r="I251" i="2" s="1" a="1"/>
  <c r="I251" i="2" s="1"/>
  <c r="L251" i="2" s="1"/>
  <c r="B252" i="2"/>
  <c r="I252" i="2" s="1" a="1"/>
  <c r="I252" i="2" s="1"/>
  <c r="L252" i="2" s="1"/>
  <c r="B253" i="2"/>
  <c r="B254" i="2"/>
  <c r="B255" i="2"/>
  <c r="I255" i="2" s="1" a="1"/>
  <c r="I255" i="2" s="1"/>
  <c r="L255" i="2" s="1"/>
  <c r="B256" i="2"/>
  <c r="I256" i="2" s="1" a="1"/>
  <c r="I256" i="2" s="1"/>
  <c r="L256" i="2" s="1"/>
  <c r="B257" i="2"/>
  <c r="I257" i="2" s="1" a="1"/>
  <c r="I257" i="2" s="1"/>
  <c r="L257" i="2" s="1"/>
  <c r="B258" i="2"/>
  <c r="I258" i="2" s="1" a="1"/>
  <c r="I258" i="2" s="1"/>
  <c r="L258" i="2" s="1"/>
  <c r="B259" i="2"/>
  <c r="I259" i="2" s="1" a="1"/>
  <c r="I259" i="2" s="1"/>
  <c r="L259" i="2" s="1"/>
  <c r="B260" i="2"/>
  <c r="I260" i="2" s="1" a="1"/>
  <c r="I260" i="2" s="1"/>
  <c r="L260" i="2" s="1"/>
  <c r="B261" i="2"/>
  <c r="I261" i="2" s="1" a="1"/>
  <c r="I261" i="2" s="1"/>
  <c r="L261" i="2" s="1"/>
  <c r="B262" i="2"/>
  <c r="I262" i="2" s="1" a="1"/>
  <c r="I262" i="2" s="1"/>
  <c r="L262" i="2" s="1"/>
  <c r="B263" i="2"/>
  <c r="I263" i="2" s="1" a="1"/>
  <c r="I263" i="2" s="1"/>
  <c r="L263" i="2" s="1"/>
  <c r="B264" i="2"/>
  <c r="I264" i="2" s="1" a="1"/>
  <c r="I264" i="2" s="1"/>
  <c r="L264" i="2" s="1"/>
  <c r="B265" i="2"/>
  <c r="I265" i="2" s="1" a="1"/>
  <c r="I265" i="2" s="1"/>
  <c r="L265" i="2" s="1"/>
  <c r="B266" i="2"/>
  <c r="I266" i="2" s="1" a="1"/>
  <c r="I266" i="2" s="1"/>
  <c r="L266" i="2" s="1"/>
  <c r="B267" i="2"/>
  <c r="I267" i="2" s="1" a="1"/>
  <c r="I267" i="2" s="1"/>
  <c r="L267" i="2" s="1"/>
  <c r="B268" i="2"/>
  <c r="I268" i="2" s="1" a="1"/>
  <c r="I268" i="2" s="1"/>
  <c r="L268" i="2" s="1"/>
  <c r="B269" i="2"/>
  <c r="I269" i="2" s="1" a="1"/>
  <c r="I269" i="2" s="1"/>
  <c r="L269" i="2" s="1"/>
  <c r="B270" i="2"/>
  <c r="I270" i="2" s="1" a="1"/>
  <c r="I270" i="2" s="1"/>
  <c r="L270" i="2" s="1"/>
  <c r="B271" i="2"/>
  <c r="I271" i="2" s="1" a="1"/>
  <c r="I271" i="2" s="1"/>
  <c r="L271" i="2" s="1"/>
  <c r="B272" i="2"/>
  <c r="I272" i="2" s="1" a="1"/>
  <c r="I272" i="2" s="1"/>
  <c r="L272" i="2" s="1"/>
  <c r="B273" i="2"/>
  <c r="B274" i="2"/>
  <c r="B275" i="2"/>
  <c r="I275" i="2" s="1" a="1"/>
  <c r="I275" i="2" s="1"/>
  <c r="L275" i="2" s="1"/>
  <c r="B276" i="2"/>
  <c r="I276" i="2" s="1" a="1"/>
  <c r="I276" i="2" s="1"/>
  <c r="L276" i="2" s="1"/>
  <c r="B277" i="2"/>
  <c r="I277" i="2" s="1" a="1"/>
  <c r="I277" i="2" s="1"/>
  <c r="L277" i="2" s="1"/>
  <c r="B278" i="2"/>
  <c r="I278" i="2" s="1" a="1"/>
  <c r="I278" i="2" s="1"/>
  <c r="L278" i="2" s="1"/>
  <c r="B279" i="2"/>
  <c r="I279" i="2" s="1" a="1"/>
  <c r="I279" i="2" s="1"/>
  <c r="L279" i="2" s="1"/>
  <c r="B280" i="2"/>
  <c r="I280" i="2" s="1" a="1"/>
  <c r="I280" i="2" s="1"/>
  <c r="L280" i="2" s="1"/>
  <c r="B281" i="2"/>
  <c r="I281" i="2" s="1" a="1"/>
  <c r="I281" i="2" s="1"/>
  <c r="L281" i="2" s="1"/>
  <c r="B282" i="2"/>
  <c r="I282" i="2" s="1" a="1"/>
  <c r="I282" i="2" s="1"/>
  <c r="L282" i="2" s="1"/>
  <c r="B283" i="2"/>
  <c r="I283" i="2" s="1" a="1"/>
  <c r="I283" i="2" s="1"/>
  <c r="L283" i="2" s="1"/>
  <c r="B284" i="2"/>
  <c r="I284" i="2" s="1" a="1"/>
  <c r="I284" i="2" s="1"/>
  <c r="L284" i="2" s="1"/>
  <c r="B285" i="2"/>
  <c r="I285" i="2" s="1" a="1"/>
  <c r="I285" i="2" s="1"/>
  <c r="L285" i="2" s="1"/>
  <c r="B286" i="2"/>
  <c r="I286" i="2" s="1" a="1"/>
  <c r="I286" i="2" s="1"/>
  <c r="L286" i="2" s="1"/>
  <c r="B287" i="2"/>
  <c r="I287" i="2" s="1" a="1"/>
  <c r="I287" i="2" s="1"/>
  <c r="L287" i="2" s="1"/>
  <c r="B288" i="2"/>
  <c r="I288" i="2" s="1" a="1"/>
  <c r="I288" i="2" s="1"/>
  <c r="L288" i="2" s="1"/>
  <c r="B289" i="2"/>
  <c r="I289" i="2" s="1" a="1"/>
  <c r="I289" i="2" s="1"/>
  <c r="L289" i="2" s="1"/>
  <c r="B290" i="2"/>
  <c r="I290" i="2" s="1" a="1"/>
  <c r="I290" i="2" s="1"/>
  <c r="L290" i="2" s="1"/>
  <c r="B291" i="2"/>
  <c r="I291" i="2" s="1" a="1"/>
  <c r="I291" i="2" s="1"/>
  <c r="L291" i="2" s="1"/>
  <c r="B292" i="2"/>
  <c r="I292" i="2" s="1" a="1"/>
  <c r="I292" i="2" s="1"/>
  <c r="L292" i="2" s="1"/>
  <c r="B293" i="2"/>
  <c r="B294" i="2"/>
  <c r="I294" i="2" s="1" a="1"/>
  <c r="I294" i="2" s="1"/>
  <c r="L294" i="2" s="1"/>
  <c r="B295" i="2"/>
  <c r="I295" i="2" s="1" a="1"/>
  <c r="I295" i="2" s="1"/>
  <c r="L295" i="2" s="1"/>
  <c r="B296" i="2"/>
  <c r="I296" i="2" s="1" a="1"/>
  <c r="I296" i="2" s="1"/>
  <c r="L296" i="2" s="1"/>
  <c r="B297" i="2"/>
  <c r="I297" i="2" s="1" a="1"/>
  <c r="I297" i="2" s="1"/>
  <c r="L297" i="2" s="1"/>
  <c r="B298" i="2"/>
  <c r="B299" i="2"/>
  <c r="B300" i="2"/>
  <c r="I300" i="2" s="1" a="1"/>
  <c r="I300" i="2" s="1"/>
  <c r="L300" i="2" s="1"/>
  <c r="B301" i="2"/>
  <c r="I301" i="2" s="1" a="1"/>
  <c r="I301" i="2" s="1"/>
  <c r="L301" i="2" s="1"/>
  <c r="B302" i="2"/>
  <c r="I302" i="2" s="1" a="1"/>
  <c r="I302" i="2" s="1"/>
  <c r="L302" i="2" s="1"/>
  <c r="B303" i="2"/>
  <c r="I303" i="2" s="1" a="1"/>
  <c r="I303" i="2" s="1"/>
  <c r="L303" i="2" s="1"/>
  <c r="B304" i="2"/>
  <c r="I304" i="2" s="1" a="1"/>
  <c r="I304" i="2" s="1"/>
  <c r="L304" i="2" s="1"/>
  <c r="B305" i="2"/>
  <c r="I305" i="2" s="1" a="1"/>
  <c r="I305" i="2" s="1"/>
  <c r="L305" i="2" s="1"/>
  <c r="B306" i="2"/>
  <c r="I306" i="2" s="1" a="1"/>
  <c r="I306" i="2" s="1"/>
  <c r="L306" i="2" s="1"/>
  <c r="B307" i="2"/>
  <c r="I307" i="2" s="1" a="1"/>
  <c r="I307" i="2" s="1"/>
  <c r="L307" i="2" s="1"/>
  <c r="B308" i="2"/>
  <c r="I308" i="2" s="1" a="1"/>
  <c r="I308" i="2" s="1"/>
  <c r="L308" i="2" s="1"/>
  <c r="B309" i="2"/>
  <c r="I309" i="2" s="1" a="1"/>
  <c r="I309" i="2" s="1"/>
  <c r="L309" i="2" s="1"/>
  <c r="B310" i="2"/>
  <c r="I310" i="2" s="1" a="1"/>
  <c r="I310" i="2" s="1"/>
  <c r="L310" i="2" s="1"/>
  <c r="B311" i="2"/>
  <c r="I311" i="2" s="1" a="1"/>
  <c r="I311" i="2" s="1"/>
  <c r="L311" i="2" s="1"/>
  <c r="B312" i="2"/>
  <c r="I312" i="2" s="1" a="1"/>
  <c r="I312" i="2" s="1"/>
  <c r="L312" i="2" s="1"/>
  <c r="B313" i="2"/>
  <c r="B314" i="2"/>
  <c r="B315" i="2"/>
  <c r="I315" i="2" s="1" a="1"/>
  <c r="I315" i="2" s="1"/>
  <c r="L315" i="2" s="1"/>
  <c r="B316" i="2"/>
  <c r="I316" i="2" s="1" a="1"/>
  <c r="I316" i="2" s="1"/>
  <c r="L316" i="2" s="1"/>
  <c r="B317" i="2"/>
  <c r="I317" i="2" s="1" a="1"/>
  <c r="I317" i="2" s="1"/>
  <c r="L317" i="2" s="1"/>
  <c r="B318" i="2"/>
  <c r="B319" i="2"/>
  <c r="B320" i="2"/>
  <c r="I320" i="2" s="1" a="1"/>
  <c r="I320" i="2" s="1"/>
  <c r="L320" i="2" s="1"/>
  <c r="B321" i="2"/>
  <c r="I321" i="2" s="1" a="1"/>
  <c r="I321" i="2" s="1"/>
  <c r="L321" i="2" s="1"/>
  <c r="B322" i="2"/>
  <c r="I322" i="2" s="1" a="1"/>
  <c r="I322" i="2" s="1"/>
  <c r="L322" i="2" s="1"/>
  <c r="B323" i="2"/>
  <c r="I323" i="2" s="1" a="1"/>
  <c r="I323" i="2" s="1"/>
  <c r="L323" i="2" s="1"/>
  <c r="B324" i="2"/>
  <c r="I324" i="2" s="1" a="1"/>
  <c r="I324" i="2" s="1"/>
  <c r="L324" i="2" s="1"/>
  <c r="B325" i="2"/>
  <c r="I325" i="2" s="1" a="1"/>
  <c r="I325" i="2" s="1"/>
  <c r="L325" i="2" s="1"/>
  <c r="B326" i="2"/>
  <c r="I326" i="2" s="1" a="1"/>
  <c r="I326" i="2" s="1"/>
  <c r="L326" i="2" s="1"/>
  <c r="B327" i="2"/>
  <c r="I327" i="2" s="1" a="1"/>
  <c r="I327" i="2" s="1"/>
  <c r="L327" i="2" s="1"/>
  <c r="B328" i="2"/>
  <c r="I328" i="2" s="1" a="1"/>
  <c r="I328" i="2" s="1"/>
  <c r="L328" i="2" s="1"/>
  <c r="B329" i="2"/>
  <c r="I329" i="2" s="1" a="1"/>
  <c r="I329" i="2" s="1"/>
  <c r="L329" i="2" s="1"/>
  <c r="B330" i="2"/>
  <c r="I330" i="2" s="1" a="1"/>
  <c r="I330" i="2" s="1"/>
  <c r="L330" i="2" s="1"/>
  <c r="B331" i="2"/>
  <c r="I331" i="2" s="1" a="1"/>
  <c r="I331" i="2" s="1"/>
  <c r="L331" i="2" s="1"/>
  <c r="B332" i="2"/>
  <c r="I332" i="2" s="1" a="1"/>
  <c r="I332" i="2" s="1"/>
  <c r="L332" i="2" s="1"/>
  <c r="B333" i="2"/>
  <c r="B334" i="2"/>
  <c r="I334" i="2" s="1" a="1"/>
  <c r="I334" i="2" s="1"/>
  <c r="L334" i="2" s="1"/>
  <c r="B335" i="2"/>
  <c r="I335" i="2" s="1" a="1"/>
  <c r="I335" i="2" s="1"/>
  <c r="L335" i="2" s="1"/>
  <c r="B336" i="2"/>
  <c r="I336" i="2" s="1" a="1"/>
  <c r="I336" i="2" s="1"/>
  <c r="L336" i="2" s="1"/>
  <c r="B337" i="2"/>
  <c r="I337" i="2" s="1" a="1"/>
  <c r="I337" i="2" s="1"/>
  <c r="L337" i="2" s="1"/>
  <c r="B338" i="2"/>
  <c r="I338" i="2" s="1" a="1"/>
  <c r="I338" i="2" s="1"/>
  <c r="L338" i="2" s="1"/>
  <c r="B339" i="2"/>
  <c r="I339" i="2" s="1" a="1"/>
  <c r="I339" i="2" s="1"/>
  <c r="L339" i="2" s="1"/>
  <c r="B340" i="2"/>
  <c r="I340" i="2" s="1" a="1"/>
  <c r="I340" i="2" s="1"/>
  <c r="L340" i="2" s="1"/>
  <c r="B341" i="2"/>
  <c r="B342" i="2"/>
  <c r="I342" i="2" s="1" a="1"/>
  <c r="I342" i="2" s="1"/>
  <c r="L342" i="2" s="1"/>
  <c r="B343" i="2"/>
  <c r="I343" i="2" s="1" a="1"/>
  <c r="I343" i="2" s="1"/>
  <c r="L343" i="2" s="1"/>
  <c r="B344" i="2"/>
  <c r="I344" i="2" s="1" a="1"/>
  <c r="I344" i="2" s="1"/>
  <c r="L344" i="2" s="1"/>
  <c r="B345" i="2"/>
  <c r="I345" i="2" s="1" a="1"/>
  <c r="I345" i="2" s="1"/>
  <c r="L345" i="2" s="1"/>
  <c r="B346" i="2"/>
  <c r="B347" i="2"/>
  <c r="I347" i="2" s="1" a="1"/>
  <c r="I347" i="2" s="1"/>
  <c r="L347" i="2" s="1"/>
  <c r="B348" i="2"/>
  <c r="I348" i="2" s="1" a="1"/>
  <c r="I348" i="2" s="1"/>
  <c r="L348" i="2" s="1"/>
  <c r="B349" i="2"/>
  <c r="I349" i="2" s="1" a="1"/>
  <c r="I349" i="2" s="1"/>
  <c r="L349" i="2" s="1"/>
  <c r="B350" i="2"/>
  <c r="I350" i="2" s="1" a="1"/>
  <c r="I350" i="2" s="1"/>
  <c r="L350" i="2" s="1"/>
  <c r="B351" i="2"/>
  <c r="I351" i="2" s="1" a="1"/>
  <c r="I351" i="2" s="1"/>
  <c r="L351" i="2" s="1"/>
  <c r="B352" i="2"/>
  <c r="I352" i="2" s="1" a="1"/>
  <c r="I352" i="2" s="1"/>
  <c r="L352" i="2" s="1"/>
  <c r="B353" i="2"/>
  <c r="B354" i="2"/>
  <c r="I354" i="2" s="1" a="1"/>
  <c r="I354" i="2" s="1"/>
  <c r="L354" i="2" s="1"/>
  <c r="B355" i="2"/>
  <c r="I355" i="2" s="1" a="1"/>
  <c r="I355" i="2" s="1"/>
  <c r="L355" i="2" s="1"/>
  <c r="B356" i="2"/>
  <c r="I356" i="2" s="1" a="1"/>
  <c r="I356" i="2" s="1"/>
  <c r="L356" i="2" s="1"/>
  <c r="B357" i="2"/>
  <c r="I357" i="2" s="1" a="1"/>
  <c r="I357" i="2" s="1"/>
  <c r="L357" i="2" s="1"/>
  <c r="B358" i="2"/>
  <c r="I358" i="2" s="1" a="1"/>
  <c r="I358" i="2" s="1"/>
  <c r="L358" i="2" s="1"/>
  <c r="B359" i="2"/>
  <c r="B360" i="2"/>
  <c r="I360" i="2" s="1" a="1"/>
  <c r="I360" i="2" s="1"/>
  <c r="L360" i="2" s="1"/>
  <c r="B361" i="2"/>
  <c r="I361" i="2" s="1" a="1"/>
  <c r="I361" i="2" s="1"/>
  <c r="L361" i="2" s="1"/>
  <c r="B362" i="2"/>
  <c r="I362" i="2" s="1" a="1"/>
  <c r="I362" i="2" s="1"/>
  <c r="L362" i="2" s="1"/>
  <c r="B363" i="2"/>
  <c r="I363" i="2" s="1" a="1"/>
  <c r="I363" i="2" s="1"/>
  <c r="L363" i="2" s="1"/>
  <c r="B364" i="2"/>
  <c r="I364" i="2" s="1" a="1"/>
  <c r="I364" i="2" s="1"/>
  <c r="L364" i="2" s="1"/>
  <c r="B365" i="2"/>
  <c r="I365" i="2" s="1" a="1"/>
  <c r="I365" i="2" s="1"/>
  <c r="L365" i="2" s="1"/>
  <c r="B366" i="2"/>
  <c r="I366" i="2" s="1" a="1"/>
  <c r="I366" i="2" s="1"/>
  <c r="L366" i="2" s="1"/>
  <c r="B367" i="2"/>
  <c r="I367" i="2" s="1" a="1"/>
  <c r="I367" i="2" s="1"/>
  <c r="L367" i="2" s="1"/>
  <c r="B368" i="2"/>
  <c r="I368" i="2" s="1" a="1"/>
  <c r="I368" i="2" s="1"/>
  <c r="L368" i="2" s="1"/>
  <c r="B369" i="2"/>
  <c r="I369" i="2" s="1" a="1"/>
  <c r="I369" i="2" s="1"/>
  <c r="L369" i="2" s="1"/>
  <c r="B370" i="2"/>
  <c r="I370" i="2" s="1" a="1"/>
  <c r="I370" i="2" s="1"/>
  <c r="L370" i="2" s="1"/>
  <c r="B371" i="2"/>
  <c r="I371" i="2" s="1" a="1"/>
  <c r="I371" i="2" s="1"/>
  <c r="L371" i="2" s="1"/>
  <c r="B372" i="2"/>
  <c r="I372" i="2" s="1" a="1"/>
  <c r="I372" i="2" s="1"/>
  <c r="L372" i="2" s="1"/>
  <c r="B373" i="2"/>
  <c r="B374" i="2"/>
  <c r="I374" i="2" s="1" a="1"/>
  <c r="I374" i="2" s="1"/>
  <c r="L374" i="2" s="1"/>
  <c r="B375" i="2"/>
  <c r="I375" i="2" s="1" a="1"/>
  <c r="I375" i="2" s="1"/>
  <c r="L375" i="2" s="1"/>
  <c r="B376" i="2"/>
  <c r="I376" i="2" s="1" a="1"/>
  <c r="I376" i="2" s="1"/>
  <c r="L376" i="2" s="1"/>
  <c r="B377" i="2"/>
  <c r="I377" i="2" s="1" a="1"/>
  <c r="I377" i="2" s="1"/>
  <c r="L377" i="2" s="1"/>
  <c r="B378" i="2"/>
  <c r="I378" i="2" s="1" a="1"/>
  <c r="I378" i="2" s="1"/>
  <c r="L378" i="2" s="1"/>
  <c r="B379" i="2"/>
  <c r="I379" i="2" s="1" a="1"/>
  <c r="I379" i="2" s="1"/>
  <c r="L379" i="2" s="1"/>
  <c r="B380" i="2"/>
  <c r="I380" i="2" s="1" a="1"/>
  <c r="I380" i="2" s="1"/>
  <c r="L380" i="2" s="1"/>
  <c r="B381" i="2"/>
  <c r="B382" i="2"/>
  <c r="I382" i="2" s="1" a="1"/>
  <c r="I382" i="2" s="1"/>
  <c r="L382" i="2" s="1"/>
  <c r="B383" i="2"/>
  <c r="I383" i="2" s="1" a="1"/>
  <c r="I383" i="2" s="1"/>
  <c r="L383" i="2" s="1"/>
  <c r="B384" i="2"/>
  <c r="I384" i="2" s="1" a="1"/>
  <c r="I384" i="2" s="1"/>
  <c r="L384" i="2" s="1"/>
  <c r="B385" i="2"/>
  <c r="I385" i="2" s="1" a="1"/>
  <c r="I385" i="2" s="1"/>
  <c r="L385" i="2" s="1"/>
  <c r="B386" i="2"/>
  <c r="I386" i="2" s="1" a="1"/>
  <c r="I386" i="2" s="1"/>
  <c r="L386" i="2" s="1"/>
  <c r="B387" i="2"/>
  <c r="I387" i="2" s="1" a="1"/>
  <c r="I387" i="2" s="1"/>
  <c r="L387" i="2" s="1"/>
  <c r="B388" i="2"/>
  <c r="I388" i="2" s="1" a="1"/>
  <c r="I388" i="2" s="1"/>
  <c r="L388" i="2" s="1"/>
  <c r="B389" i="2"/>
  <c r="I389" i="2" s="1" a="1"/>
  <c r="I389" i="2" s="1"/>
  <c r="L389" i="2" s="1"/>
  <c r="B390" i="2"/>
  <c r="I390" i="2" s="1" a="1"/>
  <c r="I390" i="2" s="1"/>
  <c r="L390" i="2" s="1"/>
  <c r="B391" i="2"/>
  <c r="I391" i="2" s="1" a="1"/>
  <c r="I391" i="2" s="1"/>
  <c r="L391" i="2" s="1"/>
  <c r="B392" i="2"/>
  <c r="I392" i="2" s="1" a="1"/>
  <c r="I392" i="2" s="1"/>
  <c r="L392" i="2" s="1"/>
  <c r="B393" i="2"/>
  <c r="B394" i="2"/>
  <c r="I394" i="2" s="1" a="1"/>
  <c r="I394" i="2" s="1"/>
  <c r="L394" i="2" s="1"/>
  <c r="B395" i="2"/>
  <c r="I395" i="2" s="1" a="1"/>
  <c r="I395" i="2" s="1"/>
  <c r="L395" i="2" s="1"/>
  <c r="B396" i="2"/>
  <c r="I396" i="2" s="1" a="1"/>
  <c r="I396" i="2" s="1"/>
  <c r="L396" i="2" s="1"/>
  <c r="B397" i="2"/>
  <c r="I397" i="2" s="1" a="1"/>
  <c r="I397" i="2" s="1"/>
  <c r="L397" i="2" s="1"/>
  <c r="B398" i="2"/>
  <c r="I398" i="2" s="1" a="1"/>
  <c r="I398" i="2" s="1"/>
  <c r="L398" i="2" s="1"/>
  <c r="B399" i="2"/>
  <c r="I399" i="2" s="1" a="1"/>
  <c r="I399" i="2" s="1"/>
  <c r="L399" i="2" s="1"/>
  <c r="B400" i="2"/>
  <c r="B401" i="2"/>
  <c r="B402" i="2"/>
  <c r="B403" i="2"/>
  <c r="I403" i="2" s="1" a="1"/>
  <c r="I403" i="2" s="1"/>
  <c r="L403" i="2" s="1"/>
  <c r="B404" i="2"/>
  <c r="I404" i="2" s="1" a="1"/>
  <c r="I404" i="2" s="1"/>
  <c r="L404" i="2" s="1"/>
  <c r="B405" i="2"/>
  <c r="I405" i="2" s="1" a="1"/>
  <c r="I405" i="2" s="1"/>
  <c r="L405" i="2" s="1"/>
  <c r="B406" i="2"/>
  <c r="I406" i="2" s="1" a="1"/>
  <c r="I406" i="2" s="1"/>
  <c r="L406" i="2" s="1"/>
  <c r="B407" i="2"/>
  <c r="B408" i="2"/>
  <c r="I408" i="2" s="1" a="1"/>
  <c r="I408" i="2" s="1"/>
  <c r="L408" i="2" s="1"/>
  <c r="B409" i="2"/>
  <c r="I409" i="2" s="1" a="1"/>
  <c r="I409" i="2" s="1"/>
  <c r="L409" i="2" s="1"/>
  <c r="B410" i="2"/>
  <c r="I410" i="2" s="1" a="1"/>
  <c r="I410" i="2" s="1"/>
  <c r="L410" i="2" s="1"/>
  <c r="B411" i="2"/>
  <c r="I411" i="2" s="1" a="1"/>
  <c r="I411" i="2" s="1"/>
  <c r="L411" i="2" s="1"/>
  <c r="B412" i="2"/>
  <c r="I412" i="2" s="1" a="1"/>
  <c r="I412" i="2" s="1"/>
  <c r="L412" i="2" s="1"/>
  <c r="B413" i="2"/>
  <c r="B414" i="2"/>
  <c r="B415" i="2"/>
  <c r="I415" i="2" s="1" a="1"/>
  <c r="I415" i="2" s="1"/>
  <c r="L415" i="2" s="1"/>
  <c r="B416" i="2"/>
  <c r="I416" i="2" s="1" a="1"/>
  <c r="I416" i="2" s="1"/>
  <c r="L416" i="2" s="1"/>
  <c r="B417" i="2"/>
  <c r="I417" i="2" s="1" a="1"/>
  <c r="I417" i="2" s="1"/>
  <c r="L417" i="2" s="1"/>
  <c r="B418" i="2"/>
  <c r="B419" i="2"/>
  <c r="B420" i="2"/>
  <c r="I420" i="2" s="1" a="1"/>
  <c r="I420" i="2" s="1"/>
  <c r="L420" i="2" s="1"/>
  <c r="B421" i="2"/>
  <c r="I421" i="2" s="1" a="1"/>
  <c r="I421" i="2" s="1"/>
  <c r="L421" i="2" s="1"/>
  <c r="B422" i="2"/>
  <c r="B423" i="2"/>
  <c r="I423" i="2" s="1" a="1"/>
  <c r="I423" i="2" s="1"/>
  <c r="L423" i="2" s="1"/>
  <c r="B424" i="2"/>
  <c r="I424" i="2" s="1" a="1"/>
  <c r="I424" i="2" s="1"/>
  <c r="L424" i="2" s="1"/>
  <c r="B425" i="2"/>
  <c r="I425" i="2" s="1" a="1"/>
  <c r="I425" i="2" s="1"/>
  <c r="L425" i="2" s="1"/>
  <c r="B426" i="2"/>
  <c r="I426" i="2" s="1" a="1"/>
  <c r="I426" i="2" s="1"/>
  <c r="L426" i="2" s="1"/>
  <c r="B427" i="2"/>
  <c r="I427" i="2" s="1" a="1"/>
  <c r="I427" i="2" s="1"/>
  <c r="L427" i="2" s="1"/>
  <c r="B428" i="2"/>
  <c r="I428" i="2" s="1" a="1"/>
  <c r="I428" i="2" s="1"/>
  <c r="L428" i="2" s="1"/>
  <c r="B429" i="2"/>
  <c r="I429" i="2" s="1" a="1"/>
  <c r="I429" i="2" s="1"/>
  <c r="L429" i="2" s="1"/>
  <c r="B430" i="2"/>
  <c r="I430" i="2" s="1" a="1"/>
  <c r="I430" i="2" s="1"/>
  <c r="L430" i="2" s="1"/>
  <c r="B431" i="2"/>
  <c r="I431" i="2" s="1" a="1"/>
  <c r="I431" i="2" s="1"/>
  <c r="L431" i="2" s="1"/>
  <c r="B432" i="2"/>
  <c r="I432" i="2" s="1" a="1"/>
  <c r="I432" i="2" s="1"/>
  <c r="L432" i="2" s="1"/>
  <c r="B433" i="2"/>
  <c r="B434" i="2"/>
  <c r="I434" i="2" s="1" a="1"/>
  <c r="I434" i="2" s="1"/>
  <c r="L434" i="2" s="1"/>
  <c r="B435" i="2"/>
  <c r="I435" i="2" s="1" a="1"/>
  <c r="I435" i="2" s="1"/>
  <c r="L435" i="2" s="1"/>
  <c r="B436" i="2"/>
  <c r="I436" i="2" s="1" a="1"/>
  <c r="I436" i="2" s="1"/>
  <c r="L436" i="2" s="1"/>
  <c r="B437" i="2"/>
  <c r="I437" i="2" s="1" a="1"/>
  <c r="I437" i="2" s="1"/>
  <c r="L437" i="2" s="1"/>
  <c r="B438" i="2"/>
  <c r="I438" i="2" s="1" a="1"/>
  <c r="I438" i="2" s="1"/>
  <c r="L438" i="2" s="1"/>
  <c r="B439" i="2"/>
  <c r="I439" i="2" s="1" a="1"/>
  <c r="I439" i="2" s="1"/>
  <c r="L439" i="2" s="1"/>
  <c r="B440" i="2"/>
  <c r="I440" i="2" s="1" a="1"/>
  <c r="I440" i="2" s="1"/>
  <c r="L440" i="2" s="1"/>
  <c r="B441" i="2"/>
  <c r="I441" i="2" s="1" a="1"/>
  <c r="I441" i="2" s="1"/>
  <c r="L441" i="2" s="1"/>
  <c r="B442" i="2"/>
  <c r="I442" i="2" s="1" a="1"/>
  <c r="I442" i="2" s="1"/>
  <c r="L442" i="2" s="1"/>
  <c r="B443" i="2"/>
  <c r="I443" i="2" s="1" a="1"/>
  <c r="I443" i="2" s="1"/>
  <c r="L443" i="2" s="1"/>
  <c r="B444" i="2"/>
  <c r="I444" i="2" s="1" a="1"/>
  <c r="I444" i="2" s="1"/>
  <c r="L444" i="2" s="1"/>
  <c r="B445" i="2"/>
  <c r="I445" i="2" s="1" a="1"/>
  <c r="I445" i="2" s="1"/>
  <c r="L445" i="2" s="1"/>
  <c r="B446" i="2"/>
  <c r="I446" i="2" s="1" a="1"/>
  <c r="I446" i="2" s="1"/>
  <c r="L446" i="2" s="1"/>
  <c r="B447" i="2"/>
  <c r="I447" i="2" s="1" a="1"/>
  <c r="I447" i="2" s="1"/>
  <c r="L447" i="2" s="1"/>
  <c r="B448" i="2"/>
  <c r="I448" i="2" s="1" a="1"/>
  <c r="I448" i="2" s="1"/>
  <c r="L448" i="2" s="1"/>
  <c r="B449" i="2"/>
  <c r="I449" i="2" s="1" a="1"/>
  <c r="I449" i="2" s="1"/>
  <c r="L449" i="2" s="1"/>
  <c r="B450" i="2"/>
  <c r="I450" i="2" s="1" a="1"/>
  <c r="I450" i="2" s="1"/>
  <c r="L450" i="2" s="1"/>
  <c r="B451" i="2"/>
  <c r="I451" i="2" s="1" a="1"/>
  <c r="I451" i="2" s="1"/>
  <c r="L451" i="2" s="1"/>
  <c r="B452" i="2"/>
  <c r="I452" i="2" s="1" a="1"/>
  <c r="I452" i="2" s="1"/>
  <c r="L452" i="2" s="1"/>
  <c r="B453" i="2"/>
  <c r="B454" i="2"/>
  <c r="B455" i="2"/>
  <c r="I455" i="2" s="1" a="1"/>
  <c r="I455" i="2" s="1"/>
  <c r="L455" i="2" s="1"/>
  <c r="B456" i="2"/>
  <c r="I456" i="2" s="1" a="1"/>
  <c r="I456" i="2" s="1"/>
  <c r="L456" i="2" s="1"/>
  <c r="B457" i="2"/>
  <c r="I457" i="2" s="1" a="1"/>
  <c r="I457" i="2" s="1"/>
  <c r="L457" i="2" s="1"/>
  <c r="B458" i="2"/>
  <c r="B459" i="2"/>
  <c r="I459" i="2" s="1" a="1"/>
  <c r="I459" i="2" s="1"/>
  <c r="L459" i="2" s="1"/>
  <c r="B460" i="2"/>
  <c r="I460" i="2" s="1" a="1"/>
  <c r="I460" i="2" s="1"/>
  <c r="L460" i="2" s="1"/>
  <c r="B461" i="2"/>
  <c r="B462" i="2"/>
  <c r="I462" i="2" s="1" a="1"/>
  <c r="I462" i="2" s="1"/>
  <c r="L462" i="2" s="1"/>
  <c r="B463" i="2"/>
  <c r="I463" i="2" s="1" a="1"/>
  <c r="I463" i="2" s="1"/>
  <c r="L463" i="2" s="1"/>
  <c r="B464" i="2"/>
  <c r="I464" i="2" s="1" a="1"/>
  <c r="I464" i="2" s="1"/>
  <c r="L464" i="2" s="1"/>
  <c r="B465" i="2"/>
  <c r="B466" i="2"/>
  <c r="B467" i="2"/>
  <c r="B468" i="2"/>
  <c r="I468" i="2" s="1" a="1"/>
  <c r="I468" i="2" s="1"/>
  <c r="L468" i="2" s="1"/>
  <c r="B469" i="2"/>
  <c r="I469" i="2" s="1" a="1"/>
  <c r="I469" i="2" s="1"/>
  <c r="L469" i="2" s="1"/>
  <c r="B470" i="2"/>
  <c r="I470" i="2" s="1" a="1"/>
  <c r="I470" i="2" s="1"/>
  <c r="L470" i="2" s="1"/>
  <c r="B471" i="2"/>
  <c r="I471" i="2" s="1" a="1"/>
  <c r="I471" i="2" s="1"/>
  <c r="L471" i="2" s="1"/>
  <c r="B472" i="2"/>
  <c r="I472" i="2" s="1" a="1"/>
  <c r="I472" i="2" s="1"/>
  <c r="L472" i="2" s="1"/>
  <c r="B473" i="2"/>
  <c r="B474" i="2"/>
  <c r="I474" i="2" s="1" a="1"/>
  <c r="I474" i="2" s="1"/>
  <c r="L474" i="2" s="1"/>
  <c r="B475" i="2"/>
  <c r="I475" i="2" s="1" a="1"/>
  <c r="I475" i="2" s="1"/>
  <c r="L475" i="2" s="1"/>
  <c r="B476" i="2"/>
  <c r="I476" i="2" s="1" a="1"/>
  <c r="I476" i="2" s="1"/>
  <c r="L476" i="2" s="1"/>
  <c r="B477" i="2"/>
  <c r="B478" i="2"/>
  <c r="I478" i="2" s="1" a="1"/>
  <c r="I478" i="2" s="1"/>
  <c r="L478" i="2" s="1"/>
  <c r="B479" i="2"/>
  <c r="B480" i="2"/>
  <c r="B481" i="2"/>
  <c r="B482" i="2"/>
  <c r="I482" i="2" s="1" a="1"/>
  <c r="I482" i="2" s="1"/>
  <c r="L482" i="2" s="1"/>
  <c r="B483" i="2"/>
  <c r="I483" i="2" s="1" a="1"/>
  <c r="I483" i="2" s="1"/>
  <c r="L483" i="2" s="1"/>
  <c r="B484" i="2"/>
  <c r="I484" i="2" s="1" a="1"/>
  <c r="I484" i="2" s="1"/>
  <c r="L484" i="2" s="1"/>
  <c r="B485" i="2"/>
  <c r="I485" i="2" s="1" a="1"/>
  <c r="I485" i="2" s="1"/>
  <c r="L485" i="2" s="1"/>
  <c r="B486" i="2"/>
  <c r="I486" i="2" s="1" a="1"/>
  <c r="I486" i="2" s="1"/>
  <c r="L486" i="2" s="1"/>
  <c r="B487" i="2"/>
  <c r="I487" i="2" s="1" a="1"/>
  <c r="I487" i="2" s="1"/>
  <c r="L487" i="2" s="1"/>
  <c r="B488" i="2"/>
  <c r="I488" i="2" s="1" a="1"/>
  <c r="I488" i="2" s="1"/>
  <c r="L488" i="2" s="1"/>
  <c r="B489" i="2"/>
  <c r="I489" i="2" s="1" a="1"/>
  <c r="I489" i="2" s="1"/>
  <c r="L489" i="2" s="1"/>
  <c r="B490" i="2"/>
  <c r="I490" i="2" s="1" a="1"/>
  <c r="I490" i="2" s="1"/>
  <c r="L490" i="2" s="1"/>
  <c r="B491" i="2"/>
  <c r="I491" i="2" s="1" a="1"/>
  <c r="I491" i="2" s="1"/>
  <c r="L491" i="2" s="1"/>
  <c r="B492" i="2"/>
  <c r="I492" i="2" s="1" a="1"/>
  <c r="I492" i="2" s="1"/>
  <c r="L492" i="2" s="1"/>
  <c r="B493" i="2"/>
  <c r="B494" i="2"/>
  <c r="I494" i="2" s="1" a="1"/>
  <c r="I494" i="2" s="1"/>
  <c r="L494" i="2" s="1"/>
  <c r="B495" i="2"/>
  <c r="I495" i="2" s="1" a="1"/>
  <c r="I495" i="2" s="1"/>
  <c r="L495" i="2" s="1"/>
  <c r="B496" i="2"/>
  <c r="I496" i="2" s="1" a="1"/>
  <c r="I496" i="2" s="1"/>
  <c r="L496" i="2" s="1"/>
  <c r="B497" i="2"/>
  <c r="I497" i="2" s="1" a="1"/>
  <c r="I497" i="2" s="1"/>
  <c r="L497" i="2" s="1"/>
  <c r="B498" i="2"/>
  <c r="I498" i="2" s="1" a="1"/>
  <c r="I498" i="2" s="1"/>
  <c r="L498" i="2" s="1"/>
  <c r="B499" i="2"/>
  <c r="B500" i="2"/>
  <c r="B501" i="2"/>
  <c r="I501" i="2" s="1" a="1"/>
  <c r="I501" i="2" s="1"/>
  <c r="L501" i="2" s="1"/>
  <c r="B502" i="2"/>
  <c r="B503" i="2"/>
  <c r="I503" i="2" s="1" a="1"/>
  <c r="I503" i="2" s="1"/>
  <c r="L503" i="2" s="1"/>
  <c r="B504" i="2"/>
  <c r="I504" i="2" s="1" a="1"/>
  <c r="I504" i="2" s="1"/>
  <c r="L504" i="2" s="1"/>
  <c r="B505" i="2"/>
  <c r="I505" i="2" s="1" a="1"/>
  <c r="I505" i="2" s="1"/>
  <c r="L505" i="2" s="1"/>
  <c r="B506" i="2"/>
  <c r="B507" i="2"/>
  <c r="I507" i="2" s="1" a="1"/>
  <c r="I507" i="2" s="1"/>
  <c r="L507" i="2" s="1"/>
  <c r="B508" i="2"/>
  <c r="I508" i="2" s="1" a="1"/>
  <c r="I508" i="2" s="1"/>
  <c r="L508" i="2" s="1"/>
  <c r="B509" i="2"/>
  <c r="I509" i="2" s="1" a="1"/>
  <c r="I509" i="2" s="1"/>
  <c r="L509" i="2" s="1"/>
  <c r="B510" i="2"/>
  <c r="I510" i="2" s="1" a="1"/>
  <c r="I510" i="2" s="1"/>
  <c r="L510" i="2" s="1"/>
  <c r="B511" i="2"/>
  <c r="I511" i="2" s="1" a="1"/>
  <c r="I511" i="2" s="1"/>
  <c r="L511" i="2" s="1"/>
  <c r="B512" i="2"/>
  <c r="I512" i="2" s="1" a="1"/>
  <c r="I512" i="2" s="1"/>
  <c r="L512" i="2" s="1"/>
  <c r="B513" i="2"/>
  <c r="I513" i="2" s="1" a="1"/>
  <c r="I513" i="2" s="1"/>
  <c r="L513" i="2" s="1"/>
  <c r="B514" i="2"/>
  <c r="B515" i="2"/>
  <c r="I515" i="2" s="1" a="1"/>
  <c r="I515" i="2" s="1"/>
  <c r="L515" i="2" s="1"/>
  <c r="B516" i="2"/>
  <c r="I516" i="2" s="1" a="1"/>
  <c r="I516" i="2" s="1"/>
  <c r="L516" i="2" s="1"/>
  <c r="B517" i="2"/>
  <c r="I517" i="2" s="1" a="1"/>
  <c r="I517" i="2" s="1"/>
  <c r="L517" i="2" s="1"/>
  <c r="B518" i="2"/>
  <c r="I518" i="2" s="1" a="1"/>
  <c r="I518" i="2" s="1"/>
  <c r="L518" i="2" s="1"/>
  <c r="B519" i="2"/>
  <c r="B520" i="2"/>
  <c r="I520" i="2" s="1" a="1"/>
  <c r="I520" i="2" s="1"/>
  <c r="L520" i="2" s="1"/>
  <c r="B521" i="2"/>
  <c r="I521" i="2" s="1" a="1"/>
  <c r="I521" i="2" s="1"/>
  <c r="L521" i="2" s="1"/>
  <c r="B522" i="2"/>
  <c r="B523" i="2"/>
  <c r="I523" i="2" s="1" a="1"/>
  <c r="I523" i="2" s="1"/>
  <c r="L523" i="2" s="1"/>
  <c r="B524" i="2"/>
  <c r="I524" i="2" s="1" a="1"/>
  <c r="I524" i="2" s="1"/>
  <c r="L524" i="2" s="1"/>
  <c r="B525" i="2"/>
  <c r="I525" i="2" s="1" a="1"/>
  <c r="I525" i="2" s="1"/>
  <c r="L525" i="2" s="1"/>
  <c r="B526" i="2"/>
  <c r="I526" i="2" s="1" a="1"/>
  <c r="I526" i="2" s="1"/>
  <c r="L526" i="2" s="1"/>
  <c r="B527" i="2"/>
  <c r="I527" i="2" s="1" a="1"/>
  <c r="I527" i="2" s="1"/>
  <c r="L527" i="2" s="1"/>
  <c r="B528" i="2"/>
  <c r="B529" i="2"/>
  <c r="I529" i="2" s="1" a="1"/>
  <c r="I529" i="2" s="1"/>
  <c r="L529" i="2" s="1"/>
  <c r="B530" i="2"/>
  <c r="I530" i="2" s="1" a="1"/>
  <c r="I530" i="2" s="1"/>
  <c r="L530" i="2" s="1"/>
  <c r="B531" i="2"/>
  <c r="I531" i="2" s="1" a="1"/>
  <c r="I531" i="2" s="1"/>
  <c r="L531" i="2" s="1"/>
  <c r="B532" i="2"/>
  <c r="I532" i="2" s="1" a="1"/>
  <c r="I532" i="2" s="1"/>
  <c r="L532" i="2" s="1"/>
  <c r="B533" i="2"/>
  <c r="B534" i="2"/>
  <c r="B535" i="2"/>
  <c r="I535" i="2" s="1" a="1"/>
  <c r="I535" i="2" s="1"/>
  <c r="L535" i="2" s="1"/>
  <c r="B536" i="2"/>
  <c r="I536" i="2" s="1" a="1"/>
  <c r="I536" i="2" s="1"/>
  <c r="L536" i="2" s="1"/>
  <c r="B537" i="2"/>
  <c r="B538" i="2"/>
  <c r="B539" i="2"/>
  <c r="B540" i="2"/>
  <c r="B541" i="2"/>
  <c r="I541" i="2" s="1" a="1"/>
  <c r="I541" i="2" s="1"/>
  <c r="L541" i="2" s="1"/>
  <c r="B542" i="2"/>
  <c r="B543" i="2"/>
  <c r="I543" i="2" s="1" a="1"/>
  <c r="I543" i="2" s="1"/>
  <c r="L543" i="2" s="1"/>
  <c r="B544" i="2"/>
  <c r="I544" i="2" s="1" a="1"/>
  <c r="I544" i="2" s="1"/>
  <c r="L544" i="2" s="1"/>
  <c r="B545" i="2"/>
  <c r="I545" i="2" s="1" a="1"/>
  <c r="I545" i="2" s="1"/>
  <c r="L545" i="2" s="1"/>
  <c r="B546" i="2"/>
  <c r="I546" i="2" s="1" a="1"/>
  <c r="I546" i="2" s="1"/>
  <c r="L546" i="2" s="1"/>
  <c r="B547" i="2"/>
  <c r="B548" i="2"/>
  <c r="I548" i="2" s="1" a="1"/>
  <c r="I548" i="2" s="1"/>
  <c r="L548" i="2" s="1"/>
  <c r="B549" i="2"/>
  <c r="I549" i="2" s="1" a="1"/>
  <c r="I549" i="2" s="1"/>
  <c r="L549" i="2" s="1"/>
  <c r="B550" i="2"/>
  <c r="I550" i="2" s="1" a="1"/>
  <c r="I550" i="2" s="1"/>
  <c r="L550" i="2" s="1"/>
  <c r="B551" i="2"/>
  <c r="I551" i="2" s="1" a="1"/>
  <c r="I551" i="2" s="1"/>
  <c r="L551" i="2" s="1"/>
  <c r="B552" i="2"/>
  <c r="I552" i="2" s="1" a="1"/>
  <c r="I552" i="2" s="1"/>
  <c r="L552" i="2" s="1"/>
  <c r="B553" i="2"/>
  <c r="B554" i="2"/>
  <c r="I554" i="2" s="1" a="1"/>
  <c r="I554" i="2" s="1"/>
  <c r="L554" i="2" s="1"/>
  <c r="B555" i="2"/>
  <c r="I555" i="2" s="1" a="1"/>
  <c r="I555" i="2" s="1"/>
  <c r="L555" i="2" s="1"/>
  <c r="B556" i="2"/>
  <c r="I556" i="2" s="1" a="1"/>
  <c r="I556" i="2" s="1"/>
  <c r="L556" i="2" s="1"/>
  <c r="B557" i="2"/>
  <c r="B558" i="2"/>
  <c r="B559" i="2"/>
  <c r="B560" i="2"/>
  <c r="B561" i="2"/>
  <c r="B562" i="2"/>
  <c r="B563" i="2"/>
  <c r="I563" i="2" s="1" a="1"/>
  <c r="I563" i="2" s="1"/>
  <c r="L563" i="2" s="1"/>
  <c r="B564" i="2"/>
  <c r="I564" i="2" s="1" a="1"/>
  <c r="I564" i="2" s="1"/>
  <c r="L564" i="2" s="1"/>
  <c r="B565" i="2"/>
  <c r="I565" i="2" s="1" a="1"/>
  <c r="I565" i="2" s="1"/>
  <c r="L565" i="2" s="1"/>
  <c r="B566" i="2"/>
  <c r="I566" i="2" s="1" a="1"/>
  <c r="I566" i="2" s="1"/>
  <c r="L566" i="2" s="1"/>
  <c r="B567" i="2"/>
  <c r="I567" i="2" s="1" a="1"/>
  <c r="I567" i="2" s="1"/>
  <c r="L567" i="2" s="1"/>
  <c r="B568" i="2"/>
  <c r="B569" i="2"/>
  <c r="I569" i="2" s="1" a="1"/>
  <c r="I569" i="2" s="1"/>
  <c r="L569" i="2" s="1"/>
  <c r="B570" i="2"/>
  <c r="I570" i="2" s="1" a="1"/>
  <c r="I570" i="2" s="1"/>
  <c r="L570" i="2" s="1"/>
  <c r="B571" i="2"/>
  <c r="I571" i="2" s="1" a="1"/>
  <c r="I571" i="2" s="1"/>
  <c r="L571" i="2" s="1"/>
  <c r="B572" i="2"/>
  <c r="I572" i="2" s="1" a="1"/>
  <c r="I572" i="2" s="1"/>
  <c r="L572" i="2" s="1"/>
  <c r="B573" i="2"/>
  <c r="B574" i="2"/>
  <c r="B575" i="2"/>
  <c r="I575" i="2" s="1" a="1"/>
  <c r="I575" i="2" s="1"/>
  <c r="L575" i="2" s="1"/>
  <c r="B576" i="2"/>
  <c r="I576" i="2" s="1" a="1"/>
  <c r="I576" i="2" s="1"/>
  <c r="L576" i="2" s="1"/>
  <c r="B577" i="2"/>
  <c r="I577" i="2" s="1" a="1"/>
  <c r="I577" i="2" s="1"/>
  <c r="L577" i="2" s="1"/>
  <c r="B578" i="2"/>
  <c r="I578" i="2" s="1" a="1"/>
  <c r="I578" i="2" s="1"/>
  <c r="L578" i="2" s="1"/>
  <c r="B579" i="2"/>
  <c r="I579" i="2" s="1" a="1"/>
  <c r="I579" i="2" s="1"/>
  <c r="L579" i="2" s="1"/>
  <c r="B580" i="2"/>
  <c r="B581" i="2"/>
  <c r="I581" i="2" s="1" a="1"/>
  <c r="I581" i="2" s="1"/>
  <c r="L581" i="2" s="1"/>
  <c r="B582" i="2"/>
  <c r="I582" i="2" s="1" a="1"/>
  <c r="I582" i="2" s="1"/>
  <c r="L582" i="2" s="1"/>
  <c r="B583" i="2"/>
  <c r="I583" i="2" s="1" a="1"/>
  <c r="I583" i="2" s="1"/>
  <c r="L583" i="2" s="1"/>
  <c r="B584" i="2"/>
  <c r="I584" i="2" s="1" a="1"/>
  <c r="I584" i="2" s="1"/>
  <c r="L584" i="2" s="1"/>
  <c r="B585" i="2"/>
  <c r="I585" i="2" s="1" a="1"/>
  <c r="I585" i="2" s="1"/>
  <c r="L585" i="2" s="1"/>
  <c r="B586" i="2"/>
  <c r="B587" i="2"/>
  <c r="I587" i="2" s="1" a="1"/>
  <c r="I587" i="2" s="1"/>
  <c r="L587" i="2" s="1"/>
  <c r="B588" i="2"/>
  <c r="B589" i="2"/>
  <c r="I589" i="2" s="1" a="1"/>
  <c r="I589" i="2" s="1"/>
  <c r="L589" i="2" s="1"/>
  <c r="B590" i="2"/>
  <c r="I590" i="2" s="1" a="1"/>
  <c r="I590" i="2" s="1"/>
  <c r="L590" i="2" s="1"/>
  <c r="B591" i="2"/>
  <c r="I591" i="2" s="1" a="1"/>
  <c r="I591" i="2" s="1"/>
  <c r="L591" i="2" s="1"/>
  <c r="B592" i="2"/>
  <c r="I592" i="2" s="1" a="1"/>
  <c r="I592" i="2" s="1"/>
  <c r="L592" i="2" s="1"/>
  <c r="B593" i="2"/>
  <c r="B594" i="2"/>
  <c r="B595" i="2"/>
  <c r="I595" i="2" s="1" a="1"/>
  <c r="I595" i="2" s="1"/>
  <c r="L595" i="2" s="1"/>
  <c r="B596" i="2"/>
  <c r="I596" i="2" s="1" a="1"/>
  <c r="I596" i="2" s="1"/>
  <c r="L596" i="2" s="1"/>
  <c r="B597" i="2"/>
  <c r="I597" i="2" s="1" a="1"/>
  <c r="I597" i="2" s="1"/>
  <c r="L597" i="2" s="1"/>
  <c r="B598" i="2"/>
  <c r="B599" i="2"/>
  <c r="B600" i="2"/>
  <c r="I600" i="2" s="1" a="1"/>
  <c r="I600" i="2" s="1"/>
  <c r="L600" i="2" s="1"/>
  <c r="B601" i="2"/>
  <c r="B602" i="2"/>
  <c r="B603" i="2"/>
  <c r="I603" i="2" s="1" a="1"/>
  <c r="I603" i="2" s="1"/>
  <c r="L603" i="2" s="1"/>
  <c r="B604" i="2"/>
  <c r="I604" i="2" s="1" a="1"/>
  <c r="I604" i="2" s="1"/>
  <c r="L604" i="2" s="1"/>
  <c r="B605" i="2"/>
  <c r="I605" i="2" s="1" a="1"/>
  <c r="I605" i="2" s="1"/>
  <c r="L605" i="2" s="1"/>
  <c r="B606" i="2"/>
  <c r="B607" i="2"/>
  <c r="B608" i="2"/>
  <c r="B609" i="2"/>
  <c r="I609" i="2" s="1" a="1"/>
  <c r="I609" i="2" s="1"/>
  <c r="L609" i="2" s="1"/>
  <c r="B610" i="2"/>
  <c r="I610" i="2" s="1" a="1"/>
  <c r="I610" i="2" s="1"/>
  <c r="L610" i="2" s="1"/>
  <c r="B611" i="2"/>
  <c r="I611" i="2" s="1" a="1"/>
  <c r="I611" i="2" s="1"/>
  <c r="L611" i="2" s="1"/>
  <c r="B612" i="2"/>
  <c r="I612" i="2" s="1" a="1"/>
  <c r="I612" i="2" s="1"/>
  <c r="L612" i="2" s="1"/>
  <c r="B613" i="2"/>
  <c r="B614" i="2"/>
  <c r="B615" i="2"/>
  <c r="I615" i="2" s="1" a="1"/>
  <c r="I615" i="2" s="1"/>
  <c r="L615" i="2" s="1"/>
  <c r="B616" i="2"/>
  <c r="I616" i="2" s="1" a="1"/>
  <c r="I616" i="2" s="1"/>
  <c r="L616" i="2" s="1"/>
  <c r="B617" i="2"/>
  <c r="I617" i="2" s="1" a="1"/>
  <c r="I617" i="2" s="1"/>
  <c r="L617" i="2" s="1"/>
  <c r="B618" i="2"/>
  <c r="B619" i="2"/>
  <c r="I619" i="2" s="1" a="1"/>
  <c r="I619" i="2" s="1"/>
  <c r="L619" i="2" s="1"/>
  <c r="B620" i="2"/>
  <c r="I620" i="2" s="1" a="1"/>
  <c r="I620" i="2" s="1"/>
  <c r="L620" i="2" s="1"/>
  <c r="B621" i="2"/>
  <c r="B622" i="2"/>
  <c r="I622" i="2" s="1" a="1"/>
  <c r="I622" i="2" s="1"/>
  <c r="L622" i="2" s="1"/>
  <c r="B623" i="2"/>
  <c r="I623" i="2" s="1" a="1"/>
  <c r="I623" i="2" s="1"/>
  <c r="L623" i="2" s="1"/>
  <c r="B624" i="2"/>
  <c r="I624" i="2" s="1" a="1"/>
  <c r="I624" i="2" s="1"/>
  <c r="L624" i="2" s="1"/>
  <c r="B625" i="2"/>
  <c r="I625" i="2" s="1" a="1"/>
  <c r="I625" i="2" s="1"/>
  <c r="L625" i="2" s="1"/>
  <c r="B626" i="2"/>
  <c r="B627" i="2"/>
  <c r="I627" i="2" s="1" a="1"/>
  <c r="I627" i="2" s="1"/>
  <c r="L627" i="2" s="1"/>
  <c r="B628" i="2"/>
  <c r="I628" i="2" s="1" a="1"/>
  <c r="I628" i="2" s="1"/>
  <c r="L628" i="2" s="1"/>
  <c r="B629" i="2"/>
  <c r="I629" i="2" s="1" a="1"/>
  <c r="I629" i="2" s="1"/>
  <c r="L629" i="2" s="1"/>
  <c r="B630" i="2"/>
  <c r="I630" i="2" s="1" a="1"/>
  <c r="I630" i="2" s="1"/>
  <c r="L630" i="2" s="1"/>
  <c r="B631" i="2"/>
  <c r="I631" i="2" s="1" a="1"/>
  <c r="I631" i="2" s="1"/>
  <c r="L631" i="2" s="1"/>
  <c r="B632" i="2"/>
  <c r="I632" i="2" s="1" a="1"/>
  <c r="I632" i="2" s="1"/>
  <c r="L632" i="2" s="1"/>
  <c r="B633" i="2"/>
  <c r="B634" i="2"/>
  <c r="B635" i="2"/>
  <c r="I635" i="2" s="1" a="1"/>
  <c r="I635" i="2" s="1"/>
  <c r="L635" i="2" s="1"/>
  <c r="B636" i="2"/>
  <c r="I636" i="2" s="1" a="1"/>
  <c r="I636" i="2" s="1"/>
  <c r="L636" i="2" s="1"/>
  <c r="B637" i="2"/>
  <c r="B638" i="2"/>
  <c r="B639" i="2"/>
  <c r="I639" i="2" s="1" a="1"/>
  <c r="I639" i="2" s="1"/>
  <c r="L639" i="2" s="1"/>
  <c r="B640" i="2"/>
  <c r="B641" i="2"/>
  <c r="B642" i="2"/>
  <c r="B643" i="2"/>
  <c r="I643" i="2" s="1" a="1"/>
  <c r="I643" i="2" s="1"/>
  <c r="L643" i="2" s="1"/>
  <c r="B644" i="2"/>
  <c r="I644" i="2" s="1" a="1"/>
  <c r="I644" i="2" s="1"/>
  <c r="L644" i="2" s="1"/>
  <c r="B645" i="2"/>
  <c r="I645" i="2" s="1" a="1"/>
  <c r="I645" i="2" s="1"/>
  <c r="L645" i="2" s="1"/>
  <c r="B646" i="2"/>
  <c r="I646" i="2" s="1" a="1"/>
  <c r="I646" i="2" s="1"/>
  <c r="L646" i="2" s="1"/>
  <c r="B647" i="2"/>
  <c r="I647" i="2" s="1" a="1"/>
  <c r="I647" i="2" s="1"/>
  <c r="L647" i="2" s="1"/>
  <c r="B648" i="2"/>
  <c r="I648" i="2" s="1" a="1"/>
  <c r="I648" i="2" s="1"/>
  <c r="L648" i="2" s="1"/>
  <c r="B649" i="2"/>
  <c r="B650" i="2"/>
  <c r="I650" i="2" s="1" a="1"/>
  <c r="I650" i="2" s="1"/>
  <c r="L650" i="2" s="1"/>
  <c r="B651" i="2"/>
  <c r="I651" i="2" s="1" a="1"/>
  <c r="I651" i="2" s="1"/>
  <c r="L651" i="2" s="1"/>
  <c r="B652" i="2"/>
  <c r="I652" i="2" s="1" a="1"/>
  <c r="I652" i="2" s="1"/>
  <c r="L652" i="2" s="1"/>
  <c r="B653" i="2"/>
  <c r="B654" i="2"/>
  <c r="B655" i="2"/>
  <c r="I655" i="2" s="1" a="1"/>
  <c r="I655" i="2" s="1"/>
  <c r="L655" i="2" s="1"/>
  <c r="B656" i="2"/>
  <c r="I656" i="2" s="1" a="1"/>
  <c r="I656" i="2" s="1"/>
  <c r="L656" i="2" s="1"/>
  <c r="B657" i="2"/>
  <c r="I657" i="2" s="1" a="1"/>
  <c r="I657" i="2" s="1"/>
  <c r="L657" i="2" s="1"/>
  <c r="B658" i="2"/>
  <c r="B659" i="2"/>
  <c r="I659" i="2" s="1" a="1"/>
  <c r="I659" i="2" s="1"/>
  <c r="L659" i="2" s="1"/>
  <c r="B660" i="2"/>
  <c r="I660" i="2" s="1" a="1"/>
  <c r="I660" i="2" s="1"/>
  <c r="L660" i="2" s="1"/>
  <c r="B661" i="2"/>
  <c r="I661" i="2" s="1" a="1"/>
  <c r="I661" i="2" s="1"/>
  <c r="L661" i="2" s="1"/>
  <c r="B662" i="2"/>
  <c r="I662" i="2" s="1" a="1"/>
  <c r="I662" i="2" s="1"/>
  <c r="L662" i="2" s="1"/>
  <c r="B663" i="2"/>
  <c r="I663" i="2" s="1" a="1"/>
  <c r="I663" i="2" s="1"/>
  <c r="L663" i="2" s="1"/>
  <c r="B664" i="2"/>
  <c r="I664" i="2" s="1" a="1"/>
  <c r="I664" i="2" s="1"/>
  <c r="L664" i="2" s="1"/>
  <c r="B665" i="2"/>
  <c r="B666" i="2"/>
  <c r="I666" i="2" s="1" a="1"/>
  <c r="I666" i="2" s="1"/>
  <c r="L666" i="2" s="1"/>
  <c r="B667" i="2"/>
  <c r="B668" i="2"/>
  <c r="B669" i="2"/>
  <c r="I669" i="2" s="1" a="1"/>
  <c r="I669" i="2" s="1"/>
  <c r="L669" i="2" s="1"/>
  <c r="B670" i="2"/>
  <c r="I670" i="2" s="1" a="1"/>
  <c r="I670" i="2" s="1"/>
  <c r="L670" i="2" s="1"/>
  <c r="B671" i="2"/>
  <c r="I671" i="2" s="1" a="1"/>
  <c r="I671" i="2" s="1"/>
  <c r="L671" i="2" s="1"/>
  <c r="B672" i="2"/>
  <c r="I672" i="2" s="1" a="1"/>
  <c r="I672" i="2" s="1"/>
  <c r="L672" i="2" s="1"/>
  <c r="B673" i="2"/>
  <c r="I673" i="2" s="1" a="1"/>
  <c r="I673" i="2" s="1"/>
  <c r="L673" i="2" s="1"/>
  <c r="B674" i="2"/>
  <c r="I674" i="2" s="1" a="1"/>
  <c r="I674" i="2" s="1"/>
  <c r="L674" i="2" s="1"/>
  <c r="B675" i="2"/>
  <c r="I675" i="2" s="1" a="1"/>
  <c r="I675" i="2" s="1"/>
  <c r="L675" i="2" s="1"/>
  <c r="B676" i="2"/>
  <c r="I676" i="2" s="1" a="1"/>
  <c r="I676" i="2" s="1"/>
  <c r="L676" i="2" s="1"/>
  <c r="B677" i="2"/>
  <c r="I677" i="2" s="1" a="1"/>
  <c r="I677" i="2" s="1"/>
  <c r="L677" i="2" s="1"/>
  <c r="B678" i="2"/>
  <c r="I678" i="2" s="1" a="1"/>
  <c r="I678" i="2" s="1"/>
  <c r="L678" i="2" s="1"/>
  <c r="B679" i="2"/>
  <c r="I679" i="2" s="1" a="1"/>
  <c r="I679" i="2" s="1"/>
  <c r="L679" i="2" s="1"/>
  <c r="B680" i="2"/>
  <c r="B681" i="2"/>
  <c r="I681" i="2" s="1" a="1"/>
  <c r="I681" i="2" s="1"/>
  <c r="L681" i="2" s="1"/>
  <c r="B682" i="2"/>
  <c r="B683" i="2"/>
  <c r="I683" i="2" s="1" a="1"/>
  <c r="I683" i="2" s="1"/>
  <c r="L683" i="2" s="1"/>
  <c r="B684" i="2"/>
  <c r="B685" i="2"/>
  <c r="I685" i="2" s="1" a="1"/>
  <c r="I685" i="2" s="1"/>
  <c r="L685" i="2" s="1"/>
  <c r="B686" i="2"/>
  <c r="I686" i="2" s="1" a="1"/>
  <c r="I686" i="2" s="1"/>
  <c r="L686" i="2" s="1"/>
  <c r="B687" i="2"/>
  <c r="I687" i="2" s="1" a="1"/>
  <c r="I687" i="2" s="1"/>
  <c r="L687" i="2" s="1"/>
  <c r="B688" i="2"/>
  <c r="B689" i="2"/>
  <c r="I689" i="2" s="1" a="1"/>
  <c r="I689" i="2" s="1"/>
  <c r="L689" i="2" s="1"/>
  <c r="B690" i="2"/>
  <c r="I690" i="2" s="1" a="1"/>
  <c r="I690" i="2" s="1"/>
  <c r="L690" i="2" s="1"/>
  <c r="B691" i="2"/>
  <c r="I691" i="2" s="1" a="1"/>
  <c r="I691" i="2" s="1"/>
  <c r="L691" i="2" s="1"/>
  <c r="B692" i="2"/>
  <c r="I692" i="2" s="1" a="1"/>
  <c r="I692" i="2" s="1"/>
  <c r="L692" i="2" s="1"/>
  <c r="B693" i="2"/>
  <c r="B694" i="2"/>
  <c r="B695" i="2"/>
  <c r="I695" i="2" s="1" a="1"/>
  <c r="I695" i="2" s="1"/>
  <c r="L695" i="2" s="1"/>
  <c r="B696" i="2"/>
  <c r="I696" i="2" s="1" a="1"/>
  <c r="I696" i="2" s="1"/>
  <c r="L696" i="2" s="1"/>
  <c r="B697" i="2"/>
  <c r="B698" i="2"/>
  <c r="B699" i="2"/>
  <c r="I699" i="2" s="1" a="1"/>
  <c r="I699" i="2" s="1"/>
  <c r="L699" i="2" s="1"/>
  <c r="B700" i="2"/>
  <c r="I700" i="2" s="1" a="1"/>
  <c r="I700" i="2" s="1"/>
  <c r="L700" i="2" s="1"/>
  <c r="B701" i="2"/>
  <c r="I701" i="2" s="1" a="1"/>
  <c r="I701" i="2" s="1"/>
  <c r="L701" i="2" s="1"/>
  <c r="B702" i="2"/>
  <c r="B703" i="2"/>
  <c r="I703" i="2" s="1" a="1"/>
  <c r="I703" i="2" s="1"/>
  <c r="L703" i="2" s="1"/>
  <c r="B704" i="2"/>
  <c r="I704" i="2" s="1" a="1"/>
  <c r="I704" i="2" s="1"/>
  <c r="L704" i="2" s="1"/>
  <c r="B705" i="2"/>
  <c r="I705" i="2" s="1" a="1"/>
  <c r="I705" i="2" s="1"/>
  <c r="L705" i="2" s="1"/>
  <c r="B706" i="2"/>
  <c r="I706" i="2" s="1" a="1"/>
  <c r="I706" i="2" s="1"/>
  <c r="L706" i="2" s="1"/>
  <c r="B707" i="2"/>
  <c r="I707" i="2" s="1" a="1"/>
  <c r="I707" i="2" s="1"/>
  <c r="L707" i="2" s="1"/>
  <c r="B708" i="2"/>
  <c r="I708" i="2" s="1" a="1"/>
  <c r="I708" i="2" s="1"/>
  <c r="L708" i="2" s="1"/>
  <c r="B709" i="2"/>
  <c r="I709" i="2" s="1" a="1"/>
  <c r="I709" i="2" s="1"/>
  <c r="L709" i="2" s="1"/>
  <c r="B710" i="2"/>
  <c r="I710" i="2" s="1" a="1"/>
  <c r="I710" i="2" s="1"/>
  <c r="L710" i="2" s="1"/>
  <c r="B711" i="2"/>
  <c r="I711" i="2" s="1" a="1"/>
  <c r="I711" i="2" s="1"/>
  <c r="L711" i="2" s="1"/>
  <c r="B712" i="2"/>
  <c r="I712" i="2" s="1" a="1"/>
  <c r="I712" i="2" s="1"/>
  <c r="L712" i="2" s="1"/>
  <c r="B713" i="2"/>
  <c r="B714" i="2"/>
  <c r="B715" i="2"/>
  <c r="I715" i="2" s="1" a="1"/>
  <c r="I715" i="2" s="1"/>
  <c r="L715" i="2" s="1"/>
  <c r="B716" i="2"/>
  <c r="I716" i="2" s="1" a="1"/>
  <c r="I716" i="2" s="1"/>
  <c r="L716" i="2" s="1"/>
  <c r="B717" i="2"/>
  <c r="I717" i="2" s="1" a="1"/>
  <c r="I717" i="2" s="1"/>
  <c r="L717" i="2" s="1"/>
  <c r="B718" i="2"/>
  <c r="B719" i="2"/>
  <c r="B720" i="2"/>
  <c r="B721" i="2"/>
  <c r="B722" i="2"/>
  <c r="I722" i="2" s="1" a="1"/>
  <c r="I722" i="2" s="1"/>
  <c r="L722" i="2" s="1"/>
  <c r="B723" i="2"/>
  <c r="I723" i="2" s="1" a="1"/>
  <c r="I723" i="2" s="1"/>
  <c r="L723" i="2" s="1"/>
  <c r="B724" i="2"/>
  <c r="I724" i="2" s="1" a="1"/>
  <c r="I724" i="2" s="1"/>
  <c r="L724" i="2" s="1"/>
  <c r="B725" i="2"/>
  <c r="I725" i="2" s="1" a="1"/>
  <c r="I725" i="2" s="1"/>
  <c r="L725" i="2" s="1"/>
  <c r="B726" i="2"/>
  <c r="I726" i="2" s="1" a="1"/>
  <c r="I726" i="2" s="1"/>
  <c r="L726" i="2" s="1"/>
  <c r="B727" i="2"/>
  <c r="B728" i="2"/>
  <c r="I728" i="2" s="1" a="1"/>
  <c r="I728" i="2" s="1"/>
  <c r="L728" i="2" s="1"/>
  <c r="B729" i="2"/>
  <c r="I729" i="2" s="1" a="1"/>
  <c r="I729" i="2" s="1"/>
  <c r="L729" i="2" s="1"/>
  <c r="B730" i="2"/>
  <c r="I730" i="2" s="1" a="1"/>
  <c r="I730" i="2" s="1"/>
  <c r="L730" i="2" s="1"/>
  <c r="B731" i="2"/>
  <c r="I731" i="2" s="1" a="1"/>
  <c r="I731" i="2" s="1"/>
  <c r="L731" i="2" s="1"/>
  <c r="B732" i="2"/>
  <c r="I732" i="2" s="1" a="1"/>
  <c r="I732" i="2" s="1"/>
  <c r="L732" i="2" s="1"/>
  <c r="B733" i="2"/>
  <c r="B734" i="2"/>
  <c r="B735" i="2"/>
  <c r="I735" i="2" s="1" a="1"/>
  <c r="I735" i="2" s="1"/>
  <c r="L735" i="2" s="1"/>
  <c r="B736" i="2"/>
  <c r="I736" i="2" s="1" a="1"/>
  <c r="I736" i="2" s="1"/>
  <c r="L736" i="2" s="1"/>
  <c r="B737" i="2"/>
  <c r="I737" i="2" s="1" a="1"/>
  <c r="I737" i="2" s="1"/>
  <c r="L737" i="2" s="1"/>
  <c r="B738" i="2"/>
  <c r="I738" i="2" s="1" a="1"/>
  <c r="I738" i="2" s="1"/>
  <c r="L738" i="2" s="1"/>
  <c r="B739" i="2"/>
  <c r="B740" i="2"/>
  <c r="B741" i="2"/>
  <c r="B742" i="2"/>
  <c r="B743" i="2"/>
  <c r="I743" i="2" s="1" a="1"/>
  <c r="I743" i="2" s="1"/>
  <c r="L743" i="2" s="1"/>
  <c r="B744" i="2"/>
  <c r="B745" i="2"/>
  <c r="I745" i="2" s="1" a="1"/>
  <c r="I745" i="2" s="1"/>
  <c r="L745" i="2" s="1"/>
  <c r="B746" i="2"/>
  <c r="B747" i="2"/>
  <c r="B748" i="2"/>
  <c r="I748" i="2" s="1" a="1"/>
  <c r="I748" i="2" s="1"/>
  <c r="L748" i="2" s="1"/>
  <c r="B749" i="2"/>
  <c r="I749" i="2" s="1" a="1"/>
  <c r="I749" i="2" s="1"/>
  <c r="L749" i="2" s="1"/>
  <c r="B750" i="2"/>
  <c r="I750" i="2" s="1" a="1"/>
  <c r="I750" i="2" s="1"/>
  <c r="L750" i="2" s="1"/>
  <c r="B751" i="2"/>
  <c r="I751" i="2" s="1" a="1"/>
  <c r="I751" i="2" s="1"/>
  <c r="L751" i="2" s="1"/>
  <c r="B752" i="2"/>
  <c r="I752" i="2" s="1" a="1"/>
  <c r="I752" i="2" s="1"/>
  <c r="L752" i="2" s="1"/>
  <c r="B753" i="2"/>
  <c r="I753" i="2" s="1" a="1"/>
  <c r="I753" i="2" s="1"/>
  <c r="L753" i="2" s="1"/>
  <c r="B754" i="2"/>
  <c r="I754" i="2" s="1" a="1"/>
  <c r="I754" i="2" s="1"/>
  <c r="L754" i="2" s="1"/>
  <c r="B755" i="2"/>
  <c r="I755" i="2" s="1" a="1"/>
  <c r="I755" i="2" s="1"/>
  <c r="L755" i="2" s="1"/>
  <c r="B756" i="2"/>
  <c r="I756" i="2" s="1" a="1"/>
  <c r="I756" i="2" s="1"/>
  <c r="L756" i="2" s="1"/>
  <c r="B757" i="2"/>
  <c r="I757" i="2" s="1" a="1"/>
  <c r="I757" i="2" s="1"/>
  <c r="L757" i="2" s="1"/>
  <c r="B758" i="2"/>
  <c r="I758" i="2" s="1" a="1"/>
  <c r="I758" i="2" s="1"/>
  <c r="L758" i="2" s="1"/>
  <c r="B759" i="2"/>
  <c r="I759" i="2" s="1" a="1"/>
  <c r="I759" i="2" s="1"/>
  <c r="L759" i="2" s="1"/>
  <c r="B760" i="2"/>
  <c r="I760" i="2" s="1" a="1"/>
  <c r="I760" i="2" s="1"/>
  <c r="L760" i="2" s="1"/>
  <c r="B761" i="2"/>
  <c r="I761" i="2" s="1" a="1"/>
  <c r="I761" i="2" s="1"/>
  <c r="L761" i="2" s="1"/>
  <c r="B762" i="2"/>
  <c r="B763" i="2"/>
  <c r="I763" i="2" s="1" a="1"/>
  <c r="I763" i="2" s="1"/>
  <c r="L763" i="2" s="1"/>
  <c r="B764" i="2"/>
  <c r="I764" i="2" s="1" a="1"/>
  <c r="I764" i="2" s="1"/>
  <c r="L764" i="2" s="1"/>
  <c r="B765" i="2"/>
  <c r="I765" i="2" s="1" a="1"/>
  <c r="I765" i="2" s="1"/>
  <c r="L765" i="2" s="1"/>
  <c r="B766" i="2"/>
  <c r="B767" i="2"/>
  <c r="I767" i="2" s="1" a="1"/>
  <c r="I767" i="2" s="1"/>
  <c r="L767" i="2" s="1"/>
  <c r="B768" i="2"/>
  <c r="B769" i="2"/>
  <c r="I769" i="2" s="1" a="1"/>
  <c r="I769" i="2" s="1"/>
  <c r="L769" i="2" s="1"/>
  <c r="B770" i="2"/>
  <c r="I770" i="2" s="1" a="1"/>
  <c r="I770" i="2" s="1"/>
  <c r="L770" i="2" s="1"/>
  <c r="B771" i="2"/>
  <c r="I771" i="2" s="1" a="1"/>
  <c r="I771" i="2" s="1"/>
  <c r="L771" i="2" s="1"/>
  <c r="B772" i="2"/>
  <c r="I772" i="2" s="1" a="1"/>
  <c r="I772" i="2" s="1"/>
  <c r="L772" i="2" s="1"/>
  <c r="B773" i="2"/>
  <c r="B774" i="2"/>
  <c r="B775" i="2"/>
  <c r="I775" i="2" s="1" a="1"/>
  <c r="I775" i="2" s="1"/>
  <c r="L775" i="2" s="1"/>
  <c r="B776" i="2"/>
  <c r="I776" i="2" s="1" a="1"/>
  <c r="I776" i="2" s="1"/>
  <c r="L776" i="2" s="1"/>
  <c r="B777" i="2"/>
  <c r="I777" i="2" s="1" a="1"/>
  <c r="I777" i="2" s="1"/>
  <c r="L777" i="2" s="1"/>
  <c r="B778" i="2"/>
  <c r="I778" i="2" s="1" a="1"/>
  <c r="I778" i="2" s="1"/>
  <c r="L778" i="2" s="1"/>
  <c r="B779" i="2"/>
  <c r="B780" i="2"/>
  <c r="B781" i="2"/>
  <c r="B782" i="2"/>
  <c r="I782" i="2" s="1" a="1"/>
  <c r="I782" i="2" s="1"/>
  <c r="L782" i="2" s="1"/>
  <c r="B783" i="2"/>
  <c r="I783" i="2" s="1" a="1"/>
  <c r="I783" i="2" s="1"/>
  <c r="L783" i="2" s="1"/>
  <c r="B784" i="2"/>
  <c r="I784" i="2" s="1" a="1"/>
  <c r="I784" i="2" s="1"/>
  <c r="L784" i="2" s="1"/>
  <c r="B785" i="2"/>
  <c r="I785" i="2" s="1" a="1"/>
  <c r="I785" i="2" s="1"/>
  <c r="L785" i="2" s="1"/>
  <c r="B786" i="2"/>
  <c r="I786" i="2" s="1" a="1"/>
  <c r="I786" i="2" s="1"/>
  <c r="L786" i="2" s="1"/>
  <c r="B787" i="2"/>
  <c r="B788" i="2"/>
  <c r="B789" i="2"/>
  <c r="I789" i="2" s="1" a="1"/>
  <c r="I789" i="2" s="1"/>
  <c r="L789" i="2" s="1"/>
  <c r="B790" i="2"/>
  <c r="I790" i="2" s="1" a="1"/>
  <c r="I790" i="2" s="1"/>
  <c r="L790" i="2" s="1"/>
  <c r="B791" i="2"/>
  <c r="I791" i="2" s="1" a="1"/>
  <c r="I791" i="2" s="1"/>
  <c r="L791" i="2" s="1"/>
  <c r="B792" i="2"/>
  <c r="I792" i="2" s="1" a="1"/>
  <c r="I792" i="2" s="1"/>
  <c r="L792" i="2" s="1"/>
  <c r="B793" i="2"/>
  <c r="I793" i="2" s="1" a="1"/>
  <c r="I793" i="2" s="1"/>
  <c r="L793" i="2" s="1"/>
  <c r="B794" i="2"/>
  <c r="B795" i="2"/>
  <c r="I795" i="2" s="1" a="1"/>
  <c r="I795" i="2" s="1"/>
  <c r="L795" i="2" s="1"/>
  <c r="B796" i="2"/>
  <c r="I796" i="2" s="1" a="1"/>
  <c r="I796" i="2" s="1"/>
  <c r="L796" i="2" s="1"/>
  <c r="B797" i="2"/>
  <c r="B798" i="2"/>
  <c r="I798" i="2" s="1" a="1"/>
  <c r="I798" i="2" s="1"/>
  <c r="L798" i="2" s="1"/>
  <c r="B799" i="2"/>
  <c r="I799" i="2" s="1" a="1"/>
  <c r="I799" i="2" s="1"/>
  <c r="L799" i="2" s="1"/>
  <c r="B800" i="2"/>
  <c r="I800" i="2" s="1" a="1"/>
  <c r="I800" i="2" s="1"/>
  <c r="L800" i="2" s="1"/>
  <c r="B801" i="2"/>
  <c r="B802" i="2"/>
  <c r="B803" i="2"/>
  <c r="I803" i="2" s="1" a="1"/>
  <c r="I803" i="2" s="1"/>
  <c r="L803" i="2" s="1"/>
  <c r="B804" i="2"/>
  <c r="I804" i="2" s="1" a="1"/>
  <c r="I804" i="2" s="1"/>
  <c r="L804" i="2" s="1"/>
  <c r="B805" i="2"/>
  <c r="B806" i="2"/>
  <c r="B807" i="2"/>
  <c r="B808" i="2"/>
  <c r="I808" i="2" s="1" a="1"/>
  <c r="I808" i="2" s="1"/>
  <c r="L808" i="2" s="1"/>
  <c r="B809" i="2"/>
  <c r="I809" i="2" s="1" a="1"/>
  <c r="I809" i="2" s="1"/>
  <c r="L809" i="2" s="1"/>
  <c r="B810" i="2"/>
  <c r="I810" i="2" s="1" a="1"/>
  <c r="I810" i="2" s="1"/>
  <c r="L810" i="2" s="1"/>
  <c r="B811" i="2"/>
  <c r="I811" i="2" s="1" a="1"/>
  <c r="I811" i="2" s="1"/>
  <c r="L811" i="2" s="1"/>
  <c r="B812" i="2"/>
  <c r="I812" i="2" s="1" a="1"/>
  <c r="I812" i="2" s="1"/>
  <c r="L812" i="2" s="1"/>
  <c r="B813" i="2"/>
  <c r="B814" i="2"/>
  <c r="B815" i="2"/>
  <c r="I815" i="2" s="1" a="1"/>
  <c r="I815" i="2" s="1"/>
  <c r="L815" i="2" s="1"/>
  <c r="B816" i="2"/>
  <c r="I816" i="2" s="1" a="1"/>
  <c r="I816" i="2" s="1"/>
  <c r="L816" i="2" s="1"/>
  <c r="B817" i="2"/>
  <c r="B818" i="2"/>
  <c r="B819" i="2"/>
  <c r="B820" i="2"/>
  <c r="I820" i="2" s="1" a="1"/>
  <c r="I820" i="2" s="1"/>
  <c r="L820" i="2" s="1"/>
  <c r="B821" i="2"/>
  <c r="B822" i="2"/>
  <c r="I822" i="2" s="1" a="1"/>
  <c r="I822" i="2" s="1"/>
  <c r="L822" i="2" s="1"/>
  <c r="B823" i="2"/>
  <c r="I823" i="2" s="1" a="1"/>
  <c r="I823" i="2" s="1"/>
  <c r="L823" i="2" s="1"/>
  <c r="B824" i="2"/>
  <c r="I824" i="2" s="1" a="1"/>
  <c r="I824" i="2" s="1"/>
  <c r="L824" i="2" s="1"/>
  <c r="B825" i="2"/>
  <c r="I825" i="2" s="1" a="1"/>
  <c r="I825" i="2" s="1"/>
  <c r="L825" i="2" s="1"/>
  <c r="B826" i="2"/>
  <c r="I826" i="2" s="1" a="1"/>
  <c r="I826" i="2" s="1"/>
  <c r="L826" i="2" s="1"/>
  <c r="B827" i="2"/>
  <c r="I827" i="2" s="1" a="1"/>
  <c r="I827" i="2" s="1"/>
  <c r="L827" i="2" s="1"/>
  <c r="B828" i="2"/>
  <c r="I828" i="2" s="1" a="1"/>
  <c r="I828" i="2" s="1"/>
  <c r="L828" i="2" s="1"/>
  <c r="B829" i="2"/>
  <c r="I829" i="2" s="1" a="1"/>
  <c r="I829" i="2" s="1"/>
  <c r="L829" i="2" s="1"/>
  <c r="B830" i="2"/>
  <c r="I830" i="2" s="1" a="1"/>
  <c r="I830" i="2" s="1"/>
  <c r="L830" i="2" s="1"/>
  <c r="B831" i="2"/>
  <c r="I831" i="2" s="1" a="1"/>
  <c r="I831" i="2" s="1"/>
  <c r="L831" i="2" s="1"/>
  <c r="B832" i="2"/>
  <c r="I832" i="2" s="1" a="1"/>
  <c r="I832" i="2" s="1"/>
  <c r="L832" i="2" s="1"/>
  <c r="B833" i="2"/>
  <c r="I833" i="2" s="1" a="1"/>
  <c r="I833" i="2" s="1"/>
  <c r="L833" i="2" s="1"/>
  <c r="B834" i="2"/>
  <c r="I834" i="2" s="1" a="1"/>
  <c r="I834" i="2" s="1"/>
  <c r="L834" i="2" s="1"/>
  <c r="B835" i="2"/>
  <c r="I835" i="2" s="1" a="1"/>
  <c r="I835" i="2" s="1"/>
  <c r="L835" i="2" s="1"/>
  <c r="B836" i="2"/>
  <c r="I836" i="2" s="1" a="1"/>
  <c r="I836" i="2" s="1"/>
  <c r="L836" i="2" s="1"/>
  <c r="B837" i="2"/>
  <c r="B838" i="2"/>
  <c r="B839" i="2"/>
  <c r="I839" i="2" s="1" a="1"/>
  <c r="I839" i="2" s="1"/>
  <c r="L839" i="2" s="1"/>
  <c r="B840" i="2"/>
  <c r="I840" i="2" s="1" a="1"/>
  <c r="I840" i="2" s="1"/>
  <c r="L840" i="2" s="1"/>
  <c r="B841" i="2"/>
  <c r="B842" i="2"/>
  <c r="B843" i="2"/>
  <c r="B844" i="2"/>
  <c r="I844" i="2" s="1" a="1"/>
  <c r="I844" i="2" s="1"/>
  <c r="L844" i="2" s="1"/>
  <c r="B845" i="2"/>
  <c r="I845" i="2" s="1" a="1"/>
  <c r="I845" i="2" s="1"/>
  <c r="L845" i="2" s="1"/>
  <c r="B846" i="2"/>
  <c r="I846" i="2" s="1" a="1"/>
  <c r="I846" i="2" s="1"/>
  <c r="L846" i="2" s="1"/>
  <c r="B847" i="2"/>
  <c r="I847" i="2" s="1" a="1"/>
  <c r="I847" i="2" s="1"/>
  <c r="L847" i="2" s="1"/>
  <c r="B848" i="2"/>
  <c r="I848" i="2" s="1" a="1"/>
  <c r="I848" i="2" s="1"/>
  <c r="L848" i="2" s="1"/>
  <c r="B849" i="2"/>
  <c r="I849" i="2" s="1" a="1"/>
  <c r="I849" i="2" s="1"/>
  <c r="L849" i="2" s="1"/>
  <c r="B850" i="2"/>
  <c r="I850" i="2" s="1" a="1"/>
  <c r="I850" i="2" s="1"/>
  <c r="L850" i="2" s="1"/>
  <c r="B851" i="2"/>
  <c r="I851" i="2" s="1" a="1"/>
  <c r="I851" i="2" s="1"/>
  <c r="L851" i="2" s="1"/>
  <c r="B852" i="2"/>
  <c r="I852" i="2" s="1" a="1"/>
  <c r="I852" i="2" s="1"/>
  <c r="L852" i="2" s="1"/>
  <c r="B853" i="2"/>
  <c r="B854" i="2"/>
  <c r="B855" i="2"/>
  <c r="I855" i="2" s="1" a="1"/>
  <c r="I855" i="2" s="1"/>
  <c r="L855" i="2" s="1"/>
  <c r="B856" i="2"/>
  <c r="I856" i="2" s="1" a="1"/>
  <c r="I856" i="2" s="1"/>
  <c r="L856" i="2" s="1"/>
  <c r="B857" i="2"/>
  <c r="B858" i="2"/>
  <c r="B859" i="2"/>
  <c r="B860" i="2"/>
  <c r="I860" i="2" s="1" a="1"/>
  <c r="I860" i="2" s="1"/>
  <c r="L860" i="2" s="1"/>
  <c r="B861" i="2"/>
  <c r="B862" i="2"/>
  <c r="B863" i="2"/>
  <c r="B864" i="2"/>
  <c r="I864" i="2" s="1" a="1"/>
  <c r="I864" i="2" s="1"/>
  <c r="L864" i="2" s="1"/>
  <c r="B865" i="2"/>
  <c r="I865" i="2" s="1" a="1"/>
  <c r="I865" i="2" s="1"/>
  <c r="L865" i="2" s="1"/>
  <c r="B866" i="2"/>
  <c r="B867" i="2"/>
  <c r="I867" i="2" s="1" a="1"/>
  <c r="I867" i="2" s="1"/>
  <c r="L867" i="2" s="1"/>
  <c r="B868" i="2"/>
  <c r="B869" i="2"/>
  <c r="I869" i="2" s="1" a="1"/>
  <c r="I869" i="2" s="1"/>
  <c r="L869" i="2" s="1"/>
  <c r="B870" i="2"/>
  <c r="I870" i="2" s="1" a="1"/>
  <c r="I870" i="2" s="1"/>
  <c r="L870" i="2" s="1"/>
  <c r="B871" i="2"/>
  <c r="I871" i="2" s="1" a="1"/>
  <c r="I871" i="2" s="1"/>
  <c r="L871" i="2" s="1"/>
  <c r="B872" i="2"/>
  <c r="I872" i="2" s="1" a="1"/>
  <c r="I872" i="2" s="1"/>
  <c r="L872" i="2" s="1"/>
  <c r="B873" i="2"/>
  <c r="I873" i="2" s="1" a="1"/>
  <c r="I873" i="2" s="1"/>
  <c r="L873" i="2" s="1"/>
  <c r="B874" i="2"/>
  <c r="B875" i="2"/>
  <c r="I875" i="2" s="1" a="1"/>
  <c r="I875" i="2" s="1"/>
  <c r="L875" i="2" s="1"/>
  <c r="B876" i="2"/>
  <c r="I876" i="2" s="1" a="1"/>
  <c r="I876" i="2" s="1"/>
  <c r="L876" i="2" s="1"/>
  <c r="B877" i="2"/>
  <c r="B878" i="2"/>
  <c r="I878" i="2" s="1" a="1"/>
  <c r="I878" i="2" s="1"/>
  <c r="L878" i="2" s="1"/>
  <c r="B879" i="2"/>
  <c r="I879" i="2" s="1" a="1"/>
  <c r="I879" i="2" s="1"/>
  <c r="L879" i="2" s="1"/>
  <c r="B880" i="2"/>
  <c r="B881" i="2"/>
  <c r="B882" i="2"/>
  <c r="I882" i="2" s="1" a="1"/>
  <c r="I882" i="2" s="1"/>
  <c r="L882" i="2" s="1"/>
  <c r="B883" i="2"/>
  <c r="B884" i="2"/>
  <c r="I884" i="2" s="1" a="1"/>
  <c r="I884" i="2" s="1"/>
  <c r="L884" i="2" s="1"/>
  <c r="B885" i="2"/>
  <c r="I885" i="2" s="1" a="1"/>
  <c r="I885" i="2" s="1"/>
  <c r="L885" i="2" s="1"/>
  <c r="B886" i="2"/>
  <c r="I886" i="2" s="1" a="1"/>
  <c r="I886" i="2" s="1"/>
  <c r="L886" i="2" s="1"/>
  <c r="B887" i="2"/>
  <c r="I887" i="2" s="1" a="1"/>
  <c r="I887" i="2" s="1"/>
  <c r="L887" i="2" s="1"/>
  <c r="B888" i="2"/>
  <c r="I888" i="2" s="1" a="1"/>
  <c r="I888" i="2" s="1"/>
  <c r="L888" i="2" s="1"/>
  <c r="B889" i="2"/>
  <c r="I889" i="2" s="1" a="1"/>
  <c r="I889" i="2" s="1"/>
  <c r="L889" i="2" s="1"/>
  <c r="B890" i="2"/>
  <c r="I890" i="2" s="1" a="1"/>
  <c r="I890" i="2" s="1"/>
  <c r="L890" i="2" s="1"/>
  <c r="B891" i="2"/>
  <c r="I891" i="2" s="1" a="1"/>
  <c r="I891" i="2" s="1"/>
  <c r="L891" i="2" s="1"/>
  <c r="B892" i="2"/>
  <c r="I892" i="2" s="1" a="1"/>
  <c r="I892" i="2" s="1"/>
  <c r="L892" i="2" s="1"/>
  <c r="B893" i="2"/>
  <c r="B894" i="2"/>
  <c r="B895" i="2"/>
  <c r="I895" i="2" s="1" a="1"/>
  <c r="I895" i="2" s="1"/>
  <c r="L895" i="2" s="1"/>
  <c r="B896" i="2"/>
  <c r="B897" i="2"/>
  <c r="B898" i="2"/>
  <c r="I898" i="2" s="1" a="1"/>
  <c r="I898" i="2" s="1"/>
  <c r="L898" i="2" s="1"/>
  <c r="B899" i="2"/>
  <c r="B900" i="2"/>
  <c r="I900" i="2" s="1" a="1"/>
  <c r="I900" i="2" s="1"/>
  <c r="L900" i="2" s="1"/>
  <c r="B901" i="2"/>
  <c r="I901" i="2" s="1" a="1"/>
  <c r="I901" i="2" s="1"/>
  <c r="L901" i="2" s="1"/>
  <c r="B902" i="2"/>
  <c r="I902" i="2" s="1" a="1"/>
  <c r="I902" i="2" s="1"/>
  <c r="L902" i="2" s="1"/>
  <c r="B903" i="2"/>
  <c r="I903" i="2" s="1" a="1"/>
  <c r="I903" i="2" s="1"/>
  <c r="L903" i="2" s="1"/>
  <c r="B904" i="2"/>
  <c r="I904" i="2" s="1" a="1"/>
  <c r="I904" i="2" s="1"/>
  <c r="L904" i="2" s="1"/>
  <c r="B905" i="2"/>
  <c r="I905" i="2" s="1" a="1"/>
  <c r="I905" i="2" s="1"/>
  <c r="L905" i="2" s="1"/>
  <c r="B906" i="2"/>
  <c r="I906" i="2" s="1" a="1"/>
  <c r="I906" i="2" s="1"/>
  <c r="L906" i="2" s="1"/>
  <c r="B907" i="2"/>
  <c r="I907" i="2" s="1" a="1"/>
  <c r="I907" i="2" s="1"/>
  <c r="L907" i="2" s="1"/>
  <c r="B908" i="2"/>
  <c r="I908" i="2" s="1" a="1"/>
  <c r="I908" i="2" s="1"/>
  <c r="L908" i="2" s="1"/>
  <c r="B909" i="2"/>
  <c r="I909" i="2" s="1" a="1"/>
  <c r="I909" i="2" s="1"/>
  <c r="L909" i="2" s="1"/>
  <c r="B910" i="2"/>
  <c r="I910" i="2" s="1" a="1"/>
  <c r="I910" i="2" s="1"/>
  <c r="L910" i="2" s="1"/>
  <c r="B911" i="2"/>
  <c r="I911" i="2" s="1" a="1"/>
  <c r="I911" i="2" s="1"/>
  <c r="L911" i="2" s="1"/>
  <c r="B912" i="2"/>
  <c r="I912" i="2" s="1" a="1"/>
  <c r="I912" i="2" s="1"/>
  <c r="L912" i="2" s="1"/>
  <c r="B913" i="2"/>
  <c r="I913" i="2" s="1" a="1"/>
  <c r="I913" i="2" s="1"/>
  <c r="L913" i="2" s="1"/>
  <c r="B914" i="2"/>
  <c r="I914" i="2" s="1" a="1"/>
  <c r="I914" i="2" s="1"/>
  <c r="L914" i="2" s="1"/>
  <c r="B915" i="2"/>
  <c r="B916" i="2"/>
  <c r="I916" i="2" s="1" a="1"/>
  <c r="I916" i="2" s="1"/>
  <c r="L916" i="2" s="1"/>
  <c r="B917" i="2"/>
  <c r="I917" i="2" s="1" a="1"/>
  <c r="I917" i="2" s="1"/>
  <c r="L917" i="2" s="1"/>
  <c r="B918" i="2"/>
  <c r="I918" i="2" s="1" a="1"/>
  <c r="I918" i="2" s="1"/>
  <c r="L918" i="2" s="1"/>
  <c r="B919" i="2"/>
  <c r="I919" i="2" s="1" a="1"/>
  <c r="I919" i="2" s="1"/>
  <c r="L919" i="2" s="1"/>
  <c r="B920" i="2"/>
  <c r="I920" i="2" s="1" a="1"/>
  <c r="I920" i="2" s="1"/>
  <c r="L920" i="2" s="1"/>
  <c r="B921" i="2"/>
  <c r="I921" i="2" s="1" a="1"/>
  <c r="I921" i="2" s="1"/>
  <c r="L921" i="2" s="1"/>
  <c r="B922" i="2"/>
  <c r="I922" i="2" s="1" a="1"/>
  <c r="I922" i="2" s="1"/>
  <c r="L922" i="2" s="1"/>
  <c r="B923" i="2"/>
  <c r="I923" i="2" s="1" a="1"/>
  <c r="I923" i="2" s="1"/>
  <c r="L923" i="2" s="1"/>
  <c r="B924" i="2"/>
  <c r="I924" i="2" s="1" a="1"/>
  <c r="I924" i="2" s="1"/>
  <c r="L924" i="2" s="1"/>
  <c r="B925" i="2"/>
  <c r="I925" i="2" s="1" a="1"/>
  <c r="I925" i="2" s="1"/>
  <c r="L925" i="2" s="1"/>
  <c r="B926" i="2"/>
  <c r="I926" i="2" s="1" a="1"/>
  <c r="I926" i="2" s="1"/>
  <c r="L926" i="2" s="1"/>
  <c r="B927" i="2"/>
  <c r="I927" i="2" s="1" a="1"/>
  <c r="I927" i="2" s="1"/>
  <c r="L927" i="2" s="1"/>
  <c r="B928" i="2"/>
  <c r="B929" i="2"/>
  <c r="B930" i="2"/>
  <c r="B931" i="2"/>
  <c r="I931" i="2" s="1" a="1"/>
  <c r="I931" i="2" s="1"/>
  <c r="L931" i="2" s="1"/>
  <c r="B932" i="2"/>
  <c r="B933" i="2"/>
  <c r="I933" i="2" s="1" a="1"/>
  <c r="I933" i="2" s="1"/>
  <c r="L933" i="2" s="1"/>
  <c r="B934" i="2"/>
  <c r="I934" i="2" s="1" a="1"/>
  <c r="I934" i="2" s="1"/>
  <c r="L934" i="2" s="1"/>
  <c r="B935" i="2"/>
  <c r="I935" i="2" s="1" a="1"/>
  <c r="I935" i="2" s="1"/>
  <c r="L935" i="2" s="1"/>
  <c r="B936" i="2"/>
  <c r="I936" i="2" s="1" a="1"/>
  <c r="I936" i="2" s="1"/>
  <c r="L936" i="2" s="1"/>
  <c r="B937" i="2"/>
  <c r="I937" i="2" s="1" a="1"/>
  <c r="I937" i="2" s="1"/>
  <c r="L937" i="2" s="1"/>
  <c r="B938" i="2"/>
  <c r="I938" i="2" s="1" a="1"/>
  <c r="I938" i="2" s="1"/>
  <c r="L938" i="2" s="1"/>
  <c r="B939" i="2"/>
  <c r="I939" i="2" s="1" a="1"/>
  <c r="I939" i="2" s="1"/>
  <c r="L939" i="2" s="1"/>
  <c r="B940" i="2"/>
  <c r="B941" i="2"/>
  <c r="I941" i="2" s="1" a="1"/>
  <c r="I941" i="2" s="1"/>
  <c r="L941" i="2" s="1"/>
  <c r="B942" i="2"/>
  <c r="I942" i="2" s="1" a="1"/>
  <c r="I942" i="2" s="1"/>
  <c r="L942" i="2" s="1"/>
  <c r="B943" i="2"/>
  <c r="I943" i="2" s="1" a="1"/>
  <c r="I943" i="2" s="1"/>
  <c r="L943" i="2" s="1"/>
  <c r="B944" i="2"/>
  <c r="I944" i="2" s="1" a="1"/>
  <c r="I944" i="2" s="1"/>
  <c r="L944" i="2" s="1"/>
  <c r="B945" i="2"/>
  <c r="B946" i="2"/>
  <c r="B947" i="2"/>
  <c r="I947" i="2" s="1" a="1"/>
  <c r="I947" i="2" s="1"/>
  <c r="L947" i="2" s="1"/>
  <c r="B948" i="2"/>
  <c r="B949" i="2"/>
  <c r="I949" i="2" s="1" a="1"/>
  <c r="I949" i="2" s="1"/>
  <c r="L949" i="2" s="1"/>
  <c r="B950" i="2"/>
  <c r="I950" i="2" s="1" a="1"/>
  <c r="I950" i="2" s="1"/>
  <c r="L950" i="2" s="1"/>
  <c r="B951" i="2"/>
  <c r="I951" i="2" s="1" a="1"/>
  <c r="I951" i="2" s="1"/>
  <c r="L951" i="2" s="1"/>
  <c r="B952" i="2"/>
  <c r="I952" i="2" s="1" a="1"/>
  <c r="I952" i="2" s="1"/>
  <c r="L952" i="2" s="1"/>
  <c r="B953" i="2"/>
  <c r="B954" i="2"/>
  <c r="I954" i="2" s="1" a="1"/>
  <c r="I954" i="2" s="1"/>
  <c r="L954" i="2" s="1"/>
  <c r="B955" i="2"/>
  <c r="I955" i="2" s="1" a="1"/>
  <c r="I955" i="2" s="1"/>
  <c r="L955" i="2" s="1"/>
  <c r="B956" i="2"/>
  <c r="I956" i="2" s="1" a="1"/>
  <c r="I956" i="2" s="1"/>
  <c r="L956" i="2" s="1"/>
  <c r="B957" i="2"/>
  <c r="I957" i="2" s="1" a="1"/>
  <c r="I957" i="2" s="1"/>
  <c r="L957" i="2" s="1"/>
  <c r="B958" i="2"/>
  <c r="I958" i="2" s="1" a="1"/>
  <c r="I958" i="2" s="1"/>
  <c r="L958" i="2" s="1"/>
  <c r="B959" i="2"/>
  <c r="I959" i="2" s="1" a="1"/>
  <c r="I959" i="2" s="1"/>
  <c r="L959" i="2" s="1"/>
  <c r="B960" i="2"/>
  <c r="I960" i="2" s="1" a="1"/>
  <c r="I960" i="2" s="1"/>
  <c r="L960" i="2" s="1"/>
  <c r="B961" i="2"/>
  <c r="I961" i="2" s="1" a="1"/>
  <c r="I961" i="2" s="1"/>
  <c r="L961" i="2" s="1"/>
  <c r="B962" i="2"/>
  <c r="I962" i="2" s="1" a="1"/>
  <c r="I962" i="2" s="1"/>
  <c r="L962" i="2" s="1"/>
  <c r="B963" i="2"/>
  <c r="I963" i="2" s="1" a="1"/>
  <c r="I963" i="2" s="1"/>
  <c r="L963" i="2" s="1"/>
  <c r="B964" i="2"/>
  <c r="I964" i="2" s="1" a="1"/>
  <c r="I964" i="2" s="1"/>
  <c r="L964" i="2" s="1"/>
  <c r="B965" i="2"/>
  <c r="I965" i="2" s="1" a="1"/>
  <c r="I965" i="2" s="1"/>
  <c r="L965" i="2" s="1"/>
  <c r="B966" i="2"/>
  <c r="B967" i="2"/>
  <c r="I967" i="2" s="1" a="1"/>
  <c r="I967" i="2" s="1"/>
  <c r="L967" i="2" s="1"/>
  <c r="B968" i="2"/>
  <c r="B969" i="2"/>
  <c r="B970" i="2"/>
  <c r="I970" i="2" s="1" a="1"/>
  <c r="I970" i="2" s="1"/>
  <c r="L970" i="2" s="1"/>
  <c r="B971" i="2"/>
  <c r="B972" i="2"/>
  <c r="B973" i="2"/>
  <c r="B974" i="2"/>
  <c r="I974" i="2" s="1" a="1"/>
  <c r="I974" i="2" s="1"/>
  <c r="L974" i="2" s="1"/>
  <c r="B975" i="2"/>
  <c r="I975" i="2" s="1" a="1"/>
  <c r="I975" i="2" s="1"/>
  <c r="L975" i="2" s="1"/>
  <c r="B976" i="2"/>
  <c r="I976" i="2" s="1" a="1"/>
  <c r="I976" i="2" s="1"/>
  <c r="L976" i="2" s="1"/>
  <c r="B977" i="2"/>
  <c r="B978" i="2"/>
  <c r="I978" i="2" s="1" a="1"/>
  <c r="I978" i="2" s="1"/>
  <c r="L978" i="2" s="1"/>
  <c r="B979" i="2"/>
  <c r="I979" i="2" s="1" a="1"/>
  <c r="I979" i="2" s="1"/>
  <c r="L979" i="2" s="1"/>
  <c r="B980" i="2"/>
  <c r="I980" i="2" s="1" a="1"/>
  <c r="I980" i="2" s="1"/>
  <c r="L980" i="2" s="1"/>
  <c r="B981" i="2"/>
  <c r="I981" i="2" s="1" a="1"/>
  <c r="I981" i="2" s="1"/>
  <c r="L981" i="2" s="1"/>
  <c r="B982" i="2"/>
  <c r="I982" i="2" s="1" a="1"/>
  <c r="I982" i="2" s="1"/>
  <c r="L982" i="2" s="1"/>
  <c r="B983" i="2"/>
  <c r="I983" i="2" s="1" a="1"/>
  <c r="I983" i="2" s="1"/>
  <c r="L983" i="2" s="1"/>
  <c r="B984" i="2"/>
  <c r="I984" i="2" s="1" a="1"/>
  <c r="I984" i="2" s="1"/>
  <c r="L984" i="2" s="1"/>
  <c r="B985" i="2"/>
  <c r="I985" i="2" s="1" a="1"/>
  <c r="I985" i="2" s="1"/>
  <c r="L985" i="2" s="1"/>
  <c r="B986" i="2"/>
  <c r="I986" i="2" s="1" a="1"/>
  <c r="I986" i="2" s="1"/>
  <c r="L986" i="2" s="1"/>
  <c r="B987" i="2"/>
  <c r="B988" i="2"/>
  <c r="I988" i="2" s="1" a="1"/>
  <c r="I988" i="2" s="1"/>
  <c r="L988" i="2" s="1"/>
  <c r="B989" i="2"/>
  <c r="I989" i="2" s="1" a="1"/>
  <c r="I989" i="2" s="1"/>
  <c r="L989" i="2" s="1"/>
  <c r="B990" i="2"/>
  <c r="I990" i="2" s="1" a="1"/>
  <c r="I990" i="2" s="1"/>
  <c r="L990" i="2" s="1"/>
  <c r="B991" i="2"/>
  <c r="I991" i="2" s="1" a="1"/>
  <c r="I991" i="2" s="1"/>
  <c r="L991" i="2" s="1"/>
  <c r="B992" i="2"/>
  <c r="I992" i="2" s="1" a="1"/>
  <c r="I992" i="2" s="1"/>
  <c r="L992" i="2" s="1"/>
  <c r="B993" i="2"/>
  <c r="I993" i="2" s="1" a="1"/>
  <c r="I993" i="2" s="1"/>
  <c r="L993" i="2" s="1"/>
  <c r="B994" i="2"/>
  <c r="I994" i="2" s="1" a="1"/>
  <c r="I994" i="2" s="1"/>
  <c r="L994" i="2" s="1"/>
  <c r="B995" i="2"/>
  <c r="I995" i="2" s="1" a="1"/>
  <c r="I995" i="2" s="1"/>
  <c r="L995" i="2" s="1"/>
  <c r="B996" i="2"/>
  <c r="I996" i="2" s="1" a="1"/>
  <c r="I996" i="2" s="1"/>
  <c r="L996" i="2" s="1"/>
  <c r="B997" i="2"/>
  <c r="I997" i="2" s="1" a="1"/>
  <c r="I997" i="2" s="1"/>
  <c r="L997" i="2" s="1"/>
  <c r="B998" i="2"/>
  <c r="I998" i="2" s="1" a="1"/>
  <c r="I998" i="2" s="1"/>
  <c r="L998" i="2" s="1"/>
  <c r="B999" i="2"/>
  <c r="I999" i="2" s="1" a="1"/>
  <c r="I999" i="2" s="1"/>
  <c r="L999" i="2" s="1"/>
  <c r="B1000" i="2"/>
  <c r="I1000" i="2" s="1" a="1"/>
  <c r="I1000" i="2" s="1"/>
  <c r="L1000" i="2" s="1"/>
  <c r="B1001" i="2"/>
  <c r="I1001" i="2" s="1" a="1"/>
  <c r="I1001" i="2" s="1"/>
  <c r="L1001" i="2" s="1"/>
  <c r="B1002" i="2"/>
  <c r="B1003" i="2"/>
  <c r="I1003" i="2" s="1" a="1"/>
  <c r="I1003" i="2" s="1"/>
  <c r="L1003" i="2" s="1"/>
  <c r="B1004" i="2"/>
  <c r="I1004" i="2" s="1" a="1"/>
  <c r="I1004" i="2" s="1"/>
  <c r="L1004" i="2" s="1"/>
  <c r="B1005" i="2"/>
  <c r="I1005" i="2" s="1" a="1"/>
  <c r="I1005" i="2" s="1"/>
  <c r="L1005" i="2" s="1"/>
  <c r="B1006" i="2"/>
  <c r="I1006" i="2" s="1" a="1"/>
  <c r="I1006" i="2" s="1"/>
  <c r="L1006" i="2" s="1"/>
  <c r="B1007" i="2"/>
  <c r="I1007" i="2" s="1" a="1"/>
  <c r="I1007" i="2" s="1"/>
  <c r="L1007" i="2" s="1"/>
  <c r="B1008" i="2"/>
  <c r="B1009" i="2"/>
  <c r="I1009" i="2" s="1" a="1"/>
  <c r="I1009" i="2" s="1"/>
  <c r="L1009" i="2" s="1"/>
  <c r="B1010" i="2"/>
  <c r="B1011" i="2"/>
  <c r="I1011" i="2" s="1" a="1"/>
  <c r="I1011" i="2" s="1"/>
  <c r="L1011" i="2" s="1"/>
  <c r="B1012" i="2"/>
  <c r="B1013" i="2"/>
  <c r="B1014" i="2"/>
  <c r="B1015" i="2"/>
  <c r="I1015" i="2" s="1" a="1"/>
  <c r="I1015" i="2" s="1"/>
  <c r="L1015" i="2" s="1"/>
  <c r="B1016" i="2"/>
  <c r="I1016" i="2" s="1" a="1"/>
  <c r="I1016" i="2" s="1"/>
  <c r="L1016" i="2" s="1"/>
  <c r="B1017" i="2"/>
  <c r="I1017" i="2" s="1" a="1"/>
  <c r="I1017" i="2" s="1"/>
  <c r="L1017" i="2" s="1"/>
  <c r="B1018" i="2"/>
  <c r="I1018" i="2" s="1" a="1"/>
  <c r="I1018" i="2" s="1"/>
  <c r="L1018" i="2" s="1"/>
  <c r="B1019" i="2"/>
  <c r="I1019" i="2" s="1" a="1"/>
  <c r="I1019" i="2" s="1"/>
  <c r="L1019" i="2" s="1"/>
  <c r="B1020" i="2"/>
  <c r="I1020" i="2" s="1" a="1"/>
  <c r="I1020" i="2" s="1"/>
  <c r="L1020" i="2" s="1"/>
  <c r="B1021" i="2"/>
  <c r="I1021" i="2" s="1" a="1"/>
  <c r="I1021" i="2" s="1"/>
  <c r="L1021" i="2" s="1"/>
  <c r="B1022" i="2"/>
  <c r="I1022" i="2" s="1" a="1"/>
  <c r="I1022" i="2" s="1"/>
  <c r="L1022" i="2" s="1"/>
  <c r="B1023" i="2"/>
  <c r="I1023" i="2" s="1" a="1"/>
  <c r="I1023" i="2" s="1"/>
  <c r="L1023" i="2" s="1"/>
  <c r="B1024" i="2"/>
  <c r="I1024" i="2" s="1" a="1"/>
  <c r="I1024" i="2" s="1"/>
  <c r="L1024" i="2" s="1"/>
  <c r="B1025" i="2"/>
  <c r="I1025" i="2" s="1" a="1"/>
  <c r="I1025" i="2" s="1"/>
  <c r="L1025" i="2" s="1"/>
  <c r="B1026" i="2"/>
  <c r="I1026" i="2" s="1" a="1"/>
  <c r="I1026" i="2" s="1"/>
  <c r="L1026" i="2" s="1"/>
  <c r="B1027" i="2"/>
  <c r="I1027" i="2" s="1" a="1"/>
  <c r="I1027" i="2" s="1"/>
  <c r="L1027" i="2" s="1"/>
  <c r="B1028" i="2"/>
  <c r="I1028" i="2" s="1" a="1"/>
  <c r="I1028" i="2" s="1"/>
  <c r="L1028" i="2" s="1"/>
  <c r="B1029" i="2"/>
  <c r="I1029" i="2" s="1" a="1"/>
  <c r="I1029" i="2" s="1"/>
  <c r="L1029" i="2" s="1"/>
  <c r="B1030" i="2"/>
  <c r="I1030" i="2" s="1" a="1"/>
  <c r="I1030" i="2" s="1"/>
  <c r="L1030" i="2" s="1"/>
  <c r="B1031" i="2"/>
  <c r="I1031" i="2" s="1" a="1"/>
  <c r="I1031" i="2" s="1"/>
  <c r="L1031" i="2" s="1"/>
  <c r="B1032" i="2"/>
  <c r="I1032" i="2" s="1" a="1"/>
  <c r="I1032" i="2" s="1"/>
  <c r="L1032" i="2" s="1"/>
  <c r="B1033" i="2"/>
  <c r="I1033" i="2" s="1" a="1"/>
  <c r="I1033" i="2" s="1"/>
  <c r="L1033" i="2" s="1"/>
  <c r="B1034" i="2"/>
  <c r="B1035" i="2"/>
  <c r="I1035" i="2" s="1" a="1"/>
  <c r="I1035" i="2" s="1"/>
  <c r="L1035" i="2" s="1"/>
  <c r="B1036" i="2"/>
  <c r="I1036" i="2" s="1" a="1"/>
  <c r="I1036" i="2" s="1"/>
  <c r="L1036" i="2" s="1"/>
  <c r="B1037" i="2"/>
  <c r="I1037" i="2" s="1" a="1"/>
  <c r="I1037" i="2" s="1"/>
  <c r="L1037" i="2" s="1"/>
  <c r="B1038" i="2"/>
  <c r="B1039" i="2"/>
  <c r="I1039" i="2" s="1" a="1"/>
  <c r="I1039" i="2" s="1"/>
  <c r="L1039" i="2" s="1"/>
  <c r="B1040" i="2"/>
  <c r="I1040" i="2" s="1" a="1"/>
  <c r="I1040" i="2" s="1"/>
  <c r="L1040" i="2" s="1"/>
  <c r="B1041" i="2"/>
  <c r="I1041" i="2" s="1" a="1"/>
  <c r="I1041" i="2" s="1"/>
  <c r="L1041" i="2" s="1"/>
  <c r="B1042" i="2"/>
  <c r="I1042" i="2" s="1" a="1"/>
  <c r="I1042" i="2" s="1"/>
  <c r="L1042" i="2" s="1"/>
  <c r="B1043" i="2"/>
  <c r="I1043" i="2" s="1" a="1"/>
  <c r="I1043" i="2" s="1"/>
  <c r="L1043" i="2" s="1"/>
  <c r="B1044" i="2"/>
  <c r="I1044" i="2" s="1" a="1"/>
  <c r="I1044" i="2" s="1"/>
  <c r="L1044" i="2" s="1"/>
  <c r="B1045" i="2"/>
  <c r="I1045" i="2" s="1" a="1"/>
  <c r="I1045" i="2" s="1"/>
  <c r="L1045" i="2" s="1"/>
  <c r="B1046" i="2"/>
  <c r="B1047" i="2"/>
  <c r="B1048" i="2"/>
  <c r="I1048" i="2" s="1" a="1"/>
  <c r="I1048" i="2" s="1"/>
  <c r="L1048" i="2" s="1"/>
  <c r="B1049" i="2"/>
  <c r="I1049" i="2" s="1" a="1"/>
  <c r="I1049" i="2" s="1"/>
  <c r="L1049" i="2" s="1"/>
  <c r="B1050" i="2"/>
  <c r="I1050" i="2" s="1" a="1"/>
  <c r="I1050" i="2" s="1"/>
  <c r="L1050" i="2" s="1"/>
  <c r="B1051" i="2"/>
  <c r="B1052" i="2"/>
  <c r="B1053" i="2"/>
  <c r="B1054" i="2"/>
  <c r="I1054" i="2" s="1" a="1"/>
  <c r="I1054" i="2" s="1"/>
  <c r="L1054" i="2" s="1"/>
  <c r="B1055" i="2"/>
  <c r="B1056" i="2"/>
  <c r="B1057" i="2"/>
  <c r="I1057" i="2" s="1" a="1"/>
  <c r="I1057" i="2" s="1"/>
  <c r="L1057" i="2" s="1"/>
  <c r="B1058" i="2"/>
  <c r="B1059" i="2"/>
  <c r="I1059" i="2" s="1" a="1"/>
  <c r="I1059" i="2" s="1"/>
  <c r="L1059" i="2" s="1"/>
  <c r="B1060" i="2"/>
  <c r="I1060" i="2" s="1" a="1"/>
  <c r="I1060" i="2" s="1"/>
  <c r="L1060" i="2" s="1"/>
  <c r="B1061" i="2"/>
  <c r="I1061" i="2" s="1" a="1"/>
  <c r="I1061" i="2" s="1"/>
  <c r="L1061" i="2" s="1"/>
  <c r="B1062" i="2"/>
  <c r="I1062" i="2" s="1" a="1"/>
  <c r="I1062" i="2" s="1"/>
  <c r="L1062" i="2" s="1"/>
  <c r="B1063" i="2"/>
  <c r="B1064" i="2"/>
  <c r="B1065" i="2"/>
  <c r="B1066" i="2"/>
  <c r="I1066" i="2" s="1" a="1"/>
  <c r="I1066" i="2" s="1"/>
  <c r="L1066" i="2" s="1"/>
  <c r="B1067" i="2"/>
  <c r="B1068" i="2"/>
  <c r="I1068" i="2" s="1" a="1"/>
  <c r="I1068" i="2" s="1"/>
  <c r="L1068" i="2" s="1"/>
  <c r="B1069" i="2"/>
  <c r="I1069" i="2" s="1" a="1"/>
  <c r="I1069" i="2" s="1"/>
  <c r="L1069" i="2" s="1"/>
  <c r="B1070" i="2"/>
  <c r="I1070" i="2" s="1" a="1"/>
  <c r="I1070" i="2" s="1"/>
  <c r="L1070" i="2" s="1"/>
  <c r="B1071" i="2"/>
  <c r="I1071" i="2" s="1" a="1"/>
  <c r="I1071" i="2" s="1"/>
  <c r="L1071" i="2" s="1"/>
  <c r="B1072" i="2"/>
  <c r="I1072" i="2" s="1" a="1"/>
  <c r="I1072" i="2" s="1"/>
  <c r="L1072" i="2" s="1"/>
  <c r="B1073" i="2"/>
  <c r="I1073" i="2" s="1" a="1"/>
  <c r="I1073" i="2" s="1"/>
  <c r="L1073" i="2" s="1"/>
  <c r="B1074" i="2"/>
  <c r="B1075" i="2"/>
  <c r="I1075" i="2" s="1" a="1"/>
  <c r="I1075" i="2" s="1"/>
  <c r="L1075" i="2" s="1"/>
  <c r="B1076" i="2"/>
  <c r="I1076" i="2" s="1" a="1"/>
  <c r="I1076" i="2" s="1"/>
  <c r="L1076" i="2" s="1"/>
  <c r="B1077" i="2"/>
  <c r="I1077" i="2" s="1" a="1"/>
  <c r="I1077" i="2" s="1"/>
  <c r="L1077" i="2" s="1"/>
  <c r="B1078" i="2"/>
  <c r="I1078" i="2" s="1" a="1"/>
  <c r="I1078" i="2" s="1"/>
  <c r="L1078" i="2" s="1"/>
  <c r="B1079" i="2"/>
  <c r="I1079" i="2" s="1" a="1"/>
  <c r="I1079" i="2" s="1"/>
  <c r="L1079" i="2" s="1"/>
  <c r="B1080" i="2"/>
  <c r="I1080" i="2" s="1" a="1"/>
  <c r="I1080" i="2" s="1"/>
  <c r="L1080" i="2" s="1"/>
  <c r="B1081" i="2"/>
  <c r="I1081" i="2" s="1" a="1"/>
  <c r="I1081" i="2" s="1"/>
  <c r="L1081" i="2" s="1"/>
  <c r="B1082" i="2"/>
  <c r="I1082" i="2" s="1" a="1"/>
  <c r="I1082" i="2" s="1"/>
  <c r="L1082" i="2" s="1"/>
  <c r="B1083" i="2"/>
  <c r="I1083" i="2" s="1" a="1"/>
  <c r="I1083" i="2" s="1"/>
  <c r="L1083" i="2" s="1"/>
  <c r="B1084" i="2"/>
  <c r="I1084" i="2" s="1" a="1"/>
  <c r="I1084" i="2" s="1"/>
  <c r="L1084" i="2" s="1"/>
  <c r="B1085" i="2"/>
  <c r="I1085" i="2" s="1" a="1"/>
  <c r="I1085" i="2" s="1"/>
  <c r="L1085" i="2" s="1"/>
  <c r="B1086" i="2"/>
  <c r="I1086" i="2" s="1" a="1"/>
  <c r="I1086" i="2" s="1"/>
  <c r="L1086" i="2" s="1"/>
  <c r="B1087" i="2"/>
  <c r="I1087" i="2" s="1" a="1"/>
  <c r="I1087" i="2" s="1"/>
  <c r="L1087" i="2" s="1"/>
  <c r="B1088" i="2"/>
  <c r="I1088" i="2" s="1" a="1"/>
  <c r="I1088" i="2" s="1"/>
  <c r="L1088" i="2" s="1"/>
  <c r="B1089" i="2"/>
  <c r="I1089" i="2" s="1" a="1"/>
  <c r="I1089" i="2" s="1"/>
  <c r="L1089" i="2" s="1"/>
  <c r="B1090" i="2"/>
  <c r="I1090" i="2" s="1" a="1"/>
  <c r="I1090" i="2" s="1"/>
  <c r="L1090" i="2" s="1"/>
  <c r="B1091" i="2"/>
  <c r="B1092" i="2"/>
  <c r="B1093" i="2"/>
  <c r="B1094" i="2"/>
  <c r="B1095" i="2"/>
  <c r="I1095" i="2" s="1" a="1"/>
  <c r="I1095" i="2" s="1"/>
  <c r="L1095" i="2" s="1"/>
  <c r="B1096" i="2"/>
  <c r="I1096" i="2" s="1" a="1"/>
  <c r="I1096" i="2" s="1"/>
  <c r="L1096" i="2" s="1"/>
  <c r="B1097" i="2"/>
  <c r="I1097" i="2" s="1" a="1"/>
  <c r="I1097" i="2" s="1"/>
  <c r="L1097" i="2" s="1"/>
  <c r="B1098" i="2"/>
  <c r="B1099" i="2"/>
  <c r="B1100" i="2"/>
  <c r="B1101" i="2"/>
  <c r="B1102" i="2"/>
  <c r="I1102" i="2" s="1" a="1"/>
  <c r="I1102" i="2" s="1"/>
  <c r="L1102" i="2" s="1"/>
  <c r="B1103" i="2"/>
  <c r="I1103" i="2" s="1" a="1"/>
  <c r="I1103" i="2" s="1"/>
  <c r="L1103" i="2" s="1"/>
  <c r="B1104" i="2"/>
  <c r="I1104" i="2" s="1" a="1"/>
  <c r="I1104" i="2" s="1"/>
  <c r="L1104" i="2" s="1"/>
  <c r="B1105" i="2"/>
  <c r="B1106" i="2"/>
  <c r="B1107" i="2"/>
  <c r="B1108" i="2"/>
  <c r="I1108" i="2" s="1" a="1"/>
  <c r="I1108" i="2" s="1"/>
  <c r="L1108" i="2" s="1"/>
  <c r="B1109" i="2"/>
  <c r="I1109" i="2" s="1" a="1"/>
  <c r="I1109" i="2" s="1"/>
  <c r="L1109" i="2" s="1"/>
  <c r="B1110" i="2"/>
  <c r="I1110" i="2" s="1" a="1"/>
  <c r="I1110" i="2" s="1"/>
  <c r="L1110" i="2" s="1"/>
  <c r="B1111" i="2"/>
  <c r="B1112" i="2"/>
  <c r="B1113" i="2"/>
  <c r="I1113" i="2" s="1" a="1"/>
  <c r="I1113" i="2" s="1"/>
  <c r="L1113" i="2" s="1"/>
  <c r="B1114" i="2"/>
  <c r="I1114" i="2" s="1" a="1"/>
  <c r="I1114" i="2" s="1"/>
  <c r="L1114" i="2" s="1"/>
  <c r="B1115" i="2"/>
  <c r="B1116" i="2"/>
  <c r="B1117" i="2"/>
  <c r="B1118" i="2"/>
  <c r="B1119" i="2"/>
  <c r="B1120" i="2"/>
  <c r="B1121" i="2"/>
  <c r="B1122" i="2"/>
  <c r="B1123" i="2"/>
  <c r="B1124" i="2"/>
  <c r="B1125" i="2"/>
  <c r="I1125" i="2" s="1" a="1"/>
  <c r="I1125" i="2" s="1"/>
  <c r="L1125" i="2" s="1"/>
  <c r="B1126" i="2"/>
  <c r="I1126" i="2" s="1" a="1"/>
  <c r="I1126" i="2" s="1"/>
  <c r="L1126" i="2" s="1"/>
  <c r="B1127" i="2"/>
  <c r="I1127" i="2" s="1" a="1"/>
  <c r="I1127" i="2" s="1"/>
  <c r="L1127" i="2" s="1"/>
  <c r="B1128" i="2"/>
  <c r="I1128" i="2" s="1" a="1"/>
  <c r="I1128" i="2" s="1"/>
  <c r="L1128" i="2" s="1"/>
  <c r="B1129" i="2"/>
  <c r="I1129" i="2" s="1" a="1"/>
  <c r="I1129" i="2" s="1"/>
  <c r="L1129" i="2" s="1"/>
  <c r="B1130" i="2"/>
  <c r="I1130" i="2" s="1" a="1"/>
  <c r="I1130" i="2" s="1"/>
  <c r="L1130" i="2" s="1"/>
  <c r="B1131" i="2"/>
  <c r="I1131" i="2" s="1" a="1"/>
  <c r="I1131" i="2" s="1"/>
  <c r="L1131" i="2" s="1"/>
  <c r="B1132" i="2"/>
  <c r="I1132" i="2" s="1" a="1"/>
  <c r="I1132" i="2" s="1"/>
  <c r="L1132" i="2" s="1"/>
  <c r="B1133" i="2"/>
  <c r="B1134" i="2"/>
  <c r="I1134" i="2" s="1" a="1"/>
  <c r="I1134" i="2" s="1"/>
  <c r="L1134" i="2" s="1"/>
  <c r="B1135" i="2"/>
  <c r="B1136" i="2"/>
  <c r="B1137" i="2"/>
  <c r="B1138" i="2"/>
  <c r="I1138" i="2" s="1" a="1"/>
  <c r="I1138" i="2" s="1"/>
  <c r="L1138" i="2" s="1"/>
  <c r="B1139" i="2"/>
  <c r="B1140" i="2"/>
  <c r="B1141" i="2"/>
  <c r="B1142" i="2"/>
  <c r="B1143" i="2"/>
  <c r="I1143" i="2" s="1" a="1"/>
  <c r="I1143" i="2" s="1"/>
  <c r="L1143" i="2" s="1"/>
  <c r="B1144" i="2"/>
  <c r="I1144" i="2" s="1" a="1"/>
  <c r="I1144" i="2" s="1"/>
  <c r="L1144" i="2" s="1"/>
  <c r="B1145" i="2"/>
  <c r="I1145" i="2" s="1" a="1"/>
  <c r="I1145" i="2" s="1"/>
  <c r="L1145" i="2" s="1"/>
  <c r="B1146" i="2"/>
  <c r="B1147" i="2"/>
  <c r="B1148" i="2"/>
  <c r="B1149" i="2"/>
  <c r="I1149" i="2" s="1" a="1"/>
  <c r="I1149" i="2" s="1"/>
  <c r="L1149" i="2" s="1"/>
  <c r="B1150" i="2"/>
  <c r="I1150" i="2" s="1" a="1"/>
  <c r="I1150" i="2" s="1"/>
  <c r="L1150" i="2" s="1"/>
  <c r="B1151" i="2"/>
  <c r="B1152" i="2"/>
  <c r="B1153" i="2"/>
  <c r="B1154" i="2"/>
  <c r="I1154" i="2" s="1" a="1"/>
  <c r="I1154" i="2" s="1"/>
  <c r="L1154" i="2" s="1"/>
  <c r="B1155" i="2"/>
  <c r="B1156" i="2"/>
  <c r="B1157" i="2"/>
  <c r="B1158" i="2"/>
  <c r="B1159" i="2"/>
  <c r="B1160" i="2"/>
  <c r="B1161" i="2"/>
  <c r="B1162" i="2"/>
  <c r="I1162" i="2" s="1" a="1"/>
  <c r="I1162" i="2" s="1"/>
  <c r="L1162" i="2" s="1"/>
  <c r="B1163" i="2"/>
  <c r="I1163" i="2" s="1" a="1"/>
  <c r="I1163" i="2" s="1"/>
  <c r="L1163" i="2" s="1"/>
  <c r="B1164" i="2"/>
  <c r="B1165" i="2"/>
  <c r="I1165" i="2" s="1" a="1"/>
  <c r="I1165" i="2" s="1"/>
  <c r="L1165" i="2" s="1"/>
  <c r="B1166" i="2"/>
  <c r="B1167" i="2"/>
  <c r="B1168" i="2"/>
  <c r="I1168" i="2" s="1" a="1"/>
  <c r="I1168" i="2" s="1"/>
  <c r="L1168" i="2" s="1"/>
  <c r="B1169" i="2"/>
  <c r="B1170" i="2"/>
  <c r="I1170" i="2" s="1" a="1"/>
  <c r="I1170" i="2" s="1"/>
  <c r="L1170" i="2" s="1"/>
  <c r="B1171" i="2"/>
  <c r="B1172" i="2"/>
  <c r="B1173" i="2"/>
  <c r="B1174" i="2"/>
  <c r="I1174" i="2" s="1" a="1"/>
  <c r="I1174" i="2" s="1"/>
  <c r="L1174" i="2" s="1"/>
  <c r="B1175" i="2"/>
  <c r="B1176" i="2"/>
  <c r="B1177" i="2"/>
  <c r="B1178" i="2"/>
  <c r="B1179" i="2"/>
  <c r="B1180" i="2"/>
  <c r="I1180" i="2" s="1" a="1"/>
  <c r="I1180" i="2" s="1"/>
  <c r="L1180" i="2" s="1"/>
  <c r="B1181" i="2"/>
  <c r="I1181" i="2" s="1" a="1"/>
  <c r="I1181" i="2" s="1"/>
  <c r="L1181" i="2" s="1"/>
  <c r="B1182" i="2"/>
  <c r="B1183" i="2"/>
  <c r="B1184" i="2"/>
  <c r="B1185" i="2"/>
  <c r="B1186" i="2"/>
  <c r="I1186" i="2" s="1" a="1"/>
  <c r="I1186" i="2" s="1"/>
  <c r="L1186" i="2" s="1"/>
  <c r="B1187" i="2"/>
  <c r="B1188" i="2"/>
  <c r="B1189" i="2"/>
  <c r="B1190" i="2"/>
  <c r="I1190" i="2" s="1" a="1"/>
  <c r="I1190" i="2" s="1"/>
  <c r="L1190" i="2" s="1"/>
  <c r="B1191" i="2"/>
  <c r="B1192" i="2"/>
  <c r="B1193" i="2"/>
  <c r="B1194" i="2"/>
  <c r="I1194" i="2" s="1" a="1"/>
  <c r="I1194" i="2" s="1"/>
  <c r="L1194" i="2" s="1"/>
  <c r="B1195" i="2"/>
  <c r="B1196" i="2"/>
  <c r="B1197" i="2"/>
  <c r="B1198" i="2"/>
  <c r="I1198" i="2" s="1" a="1"/>
  <c r="I1198" i="2" s="1"/>
  <c r="L1198" i="2" s="1"/>
  <c r="B1199" i="2"/>
  <c r="I1199" i="2" s="1" a="1"/>
  <c r="I1199" i="2" s="1"/>
  <c r="L1199" i="2" s="1"/>
  <c r="B1200" i="2"/>
  <c r="B1201" i="2"/>
  <c r="B1202" i="2"/>
  <c r="B1203" i="2"/>
  <c r="B1204" i="2"/>
  <c r="I1204" i="2" s="1" a="1"/>
  <c r="I1204" i="2" s="1"/>
  <c r="L1204" i="2" s="1"/>
  <c r="B1205" i="2"/>
  <c r="B1206" i="2"/>
  <c r="B1207" i="2"/>
  <c r="B1208" i="2"/>
  <c r="B1209" i="2"/>
  <c r="B1210" i="2"/>
  <c r="I1210" i="2" s="1" a="1"/>
  <c r="I1210" i="2" s="1"/>
  <c r="L1210" i="2" s="1"/>
  <c r="B1211" i="2"/>
  <c r="B1212" i="2"/>
  <c r="B1213" i="2"/>
  <c r="B1214" i="2"/>
  <c r="I1214" i="2" s="1" a="1"/>
  <c r="I1214" i="2" s="1"/>
  <c r="L1214" i="2" s="1"/>
  <c r="B1215" i="2"/>
  <c r="B1216" i="2"/>
  <c r="B1217" i="2"/>
  <c r="I1217" i="2" s="1" a="1"/>
  <c r="I1217" i="2" s="1"/>
  <c r="L1217" i="2" s="1"/>
  <c r="B1218" i="2"/>
  <c r="B1219" i="2"/>
  <c r="B1220" i="2"/>
  <c r="B1221" i="2"/>
  <c r="B1222" i="2"/>
  <c r="I1222" i="2" s="1" a="1"/>
  <c r="I1222" i="2" s="1"/>
  <c r="L1222" i="2" s="1"/>
  <c r="B1223" i="2"/>
  <c r="B1224" i="2"/>
  <c r="I1224" i="2" s="1" a="1"/>
  <c r="I1224" i="2" s="1"/>
  <c r="L1224" i="2" s="1"/>
  <c r="B1225" i="2"/>
  <c r="B1226" i="2"/>
  <c r="B1227" i="2"/>
  <c r="B1228" i="2"/>
  <c r="B1229" i="2"/>
  <c r="B1230" i="2"/>
  <c r="I1230" i="2" s="1" a="1"/>
  <c r="I1230" i="2" s="1"/>
  <c r="L1230" i="2" s="1"/>
  <c r="B1231" i="2"/>
  <c r="B1232" i="2"/>
  <c r="B1233" i="2"/>
  <c r="B1234" i="2"/>
  <c r="I1234" i="2" s="1" a="1"/>
  <c r="I1234" i="2" s="1"/>
  <c r="L1234" i="2" s="1"/>
  <c r="B1235" i="2"/>
  <c r="I1235" i="2" s="1" a="1"/>
  <c r="I1235" i="2" s="1"/>
  <c r="L1235" i="2" s="1"/>
  <c r="B1236" i="2"/>
  <c r="I1236" i="2" s="1" a="1"/>
  <c r="I1236" i="2" s="1"/>
  <c r="L1236" i="2" s="1"/>
  <c r="B1237" i="2"/>
  <c r="B1238" i="2"/>
  <c r="B1239" i="2"/>
  <c r="B1240" i="2"/>
  <c r="B1241" i="2"/>
  <c r="I1241" i="2" s="1" a="1"/>
  <c r="I1241" i="2" s="1"/>
  <c r="L1241" i="2" s="1"/>
  <c r="B1242" i="2"/>
  <c r="B1243" i="2"/>
  <c r="B1244" i="2"/>
  <c r="I1244" i="2" s="1" a="1"/>
  <c r="I1244" i="2" s="1"/>
  <c r="L1244" i="2" s="1"/>
  <c r="B1245" i="2"/>
  <c r="B1246" i="2"/>
  <c r="B1247" i="2"/>
  <c r="B1248" i="2"/>
  <c r="B1249" i="2"/>
  <c r="B1250" i="2"/>
  <c r="I1250" i="2" s="1" a="1"/>
  <c r="I1250" i="2" s="1"/>
  <c r="L1250" i="2" s="1"/>
  <c r="B1251" i="2"/>
  <c r="B1252" i="2"/>
  <c r="B1253" i="2"/>
  <c r="B1254" i="2"/>
  <c r="I1254" i="2" s="1" a="1"/>
  <c r="I1254" i="2" s="1"/>
  <c r="L1254" i="2" s="1"/>
  <c r="B1255" i="2"/>
  <c r="I1255" i="2" s="1" a="1"/>
  <c r="I1255" i="2" s="1"/>
  <c r="L1255" i="2" s="1"/>
  <c r="B1256" i="2"/>
  <c r="I1256" i="2" s="1" a="1"/>
  <c r="I1256" i="2" s="1"/>
  <c r="L1256" i="2" s="1"/>
  <c r="B1257" i="2"/>
  <c r="B1258" i="2"/>
  <c r="B1259" i="2"/>
  <c r="B1260" i="2"/>
  <c r="B1261" i="2"/>
  <c r="I1261" i="2" s="1" a="1"/>
  <c r="I1261" i="2" s="1"/>
  <c r="L1261" i="2" s="1"/>
  <c r="B1262" i="2"/>
  <c r="B1263" i="2"/>
  <c r="B1264" i="2"/>
  <c r="B1265" i="2"/>
  <c r="B1266" i="2"/>
  <c r="B1267" i="2"/>
  <c r="B1268" i="2"/>
  <c r="B1269" i="2"/>
  <c r="B1270" i="2"/>
  <c r="I1270" i="2" s="1" a="1"/>
  <c r="I1270" i="2" s="1"/>
  <c r="L1270" i="2" s="1"/>
  <c r="B1271" i="2"/>
  <c r="B1272" i="2"/>
  <c r="B1273" i="2"/>
  <c r="B1274" i="2"/>
  <c r="I1274" i="2" s="1" a="1"/>
  <c r="I1274" i="2" s="1"/>
  <c r="L1274" i="2" s="1"/>
  <c r="B1275" i="2"/>
  <c r="I1275" i="2" s="1" a="1"/>
  <c r="I1275" i="2" s="1"/>
  <c r="L1275" i="2" s="1"/>
  <c r="B1276" i="2"/>
  <c r="I1276" i="2" s="1" a="1"/>
  <c r="I1276" i="2" s="1"/>
  <c r="L1276" i="2" s="1"/>
  <c r="B1277" i="2"/>
  <c r="B1278" i="2"/>
  <c r="B1279" i="2"/>
  <c r="B1280" i="2"/>
  <c r="B1281" i="2"/>
  <c r="I1281" i="2" s="1" a="1"/>
  <c r="I1281" i="2" s="1"/>
  <c r="L1281" i="2" s="1"/>
  <c r="B1282" i="2"/>
  <c r="B1283" i="2"/>
  <c r="B1284" i="2"/>
  <c r="B1285" i="2"/>
  <c r="J5" i="2" a="1"/>
  <c r="J5" i="2" s="1"/>
  <c r="J6" i="2" a="1"/>
  <c r="J6" i="2" s="1"/>
  <c r="J7" i="2" a="1"/>
  <c r="J7" i="2" s="1"/>
  <c r="J8" i="2" a="1"/>
  <c r="J8" i="2" s="1"/>
  <c r="J9" i="2" a="1"/>
  <c r="J9" i="2" s="1"/>
  <c r="J10" i="2" a="1"/>
  <c r="J10" i="2" s="1"/>
  <c r="J11" i="2" a="1"/>
  <c r="J11" i="2" s="1"/>
  <c r="J12" i="2" a="1"/>
  <c r="J12" i="2" s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J18" i="2" a="1"/>
  <c r="J18" i="2" s="1"/>
  <c r="J19" i="2" a="1"/>
  <c r="J19" i="2" s="1"/>
  <c r="J20" i="2" a="1"/>
  <c r="J20" i="2" s="1"/>
  <c r="J21" i="2" a="1"/>
  <c r="J21" i="2" s="1"/>
  <c r="J22" i="2" a="1"/>
  <c r="J22" i="2" s="1"/>
  <c r="J23" i="2" a="1"/>
  <c r="J23" i="2" s="1"/>
  <c r="J24" i="2" a="1"/>
  <c r="J24" i="2" s="1"/>
  <c r="J25" i="2" a="1"/>
  <c r="J25" i="2" s="1"/>
  <c r="J26" i="2" a="1"/>
  <c r="J26" i="2" s="1"/>
  <c r="J27" i="2" a="1"/>
  <c r="J27" i="2" s="1"/>
  <c r="J28" i="2" a="1"/>
  <c r="J28" i="2" s="1"/>
  <c r="J29" i="2" a="1"/>
  <c r="J29" i="2" s="1"/>
  <c r="J30" i="2" a="1"/>
  <c r="J30" i="2" s="1"/>
  <c r="J31" i="2" a="1"/>
  <c r="J31" i="2" s="1"/>
  <c r="J32" i="2" a="1"/>
  <c r="J32" i="2" s="1"/>
  <c r="J33" i="2" a="1"/>
  <c r="J33" i="2" s="1"/>
  <c r="J34" i="2" a="1"/>
  <c r="J34" i="2" s="1"/>
  <c r="J35" i="2" a="1"/>
  <c r="J35" i="2" s="1"/>
  <c r="J36" i="2" a="1"/>
  <c r="J36" i="2" s="1"/>
  <c r="J37" i="2" a="1"/>
  <c r="J37" i="2" s="1"/>
  <c r="J38" i="2" a="1"/>
  <c r="J38" i="2" s="1"/>
  <c r="J39" i="2" a="1"/>
  <c r="J39" i="2" s="1"/>
  <c r="J40" i="2" a="1"/>
  <c r="J40" i="2" s="1"/>
  <c r="J41" i="2" a="1"/>
  <c r="J41" i="2" s="1"/>
  <c r="J42" i="2" a="1"/>
  <c r="J42" i="2" s="1"/>
  <c r="J43" i="2" a="1"/>
  <c r="J43" i="2" s="1"/>
  <c r="J44" i="2" a="1"/>
  <c r="J44" i="2" s="1"/>
  <c r="J45" i="2" a="1"/>
  <c r="J45" i="2" s="1"/>
  <c r="J46" i="2" a="1"/>
  <c r="J46" i="2" s="1"/>
  <c r="J47" i="2" a="1"/>
  <c r="J47" i="2" s="1"/>
  <c r="J48" i="2" a="1"/>
  <c r="J48" i="2" s="1"/>
  <c r="J49" i="2" a="1"/>
  <c r="J49" i="2" s="1"/>
  <c r="J50" i="2" a="1"/>
  <c r="J50" i="2" s="1"/>
  <c r="J51" i="2" a="1"/>
  <c r="J51" i="2" s="1"/>
  <c r="J52" i="2" a="1"/>
  <c r="J52" i="2" s="1"/>
  <c r="J53" i="2" a="1"/>
  <c r="J53" i="2" s="1"/>
  <c r="J54" i="2" a="1"/>
  <c r="J54" i="2" s="1"/>
  <c r="J55" i="2" a="1"/>
  <c r="J55" i="2" s="1"/>
  <c r="J56" i="2" a="1"/>
  <c r="J56" i="2" s="1"/>
  <c r="J57" i="2" a="1"/>
  <c r="J57" i="2" s="1"/>
  <c r="J58" i="2" a="1"/>
  <c r="J58" i="2" s="1"/>
  <c r="J59" i="2" a="1"/>
  <c r="J59" i="2" s="1"/>
  <c r="J60" i="2" a="1"/>
  <c r="J60" i="2" s="1"/>
  <c r="J61" i="2" a="1"/>
  <c r="J61" i="2" s="1"/>
  <c r="J62" i="2" a="1"/>
  <c r="J62" i="2" s="1"/>
  <c r="J63" i="2" a="1"/>
  <c r="J63" i="2" s="1"/>
  <c r="J64" i="2" a="1"/>
  <c r="J64" i="2" s="1"/>
  <c r="J65" i="2" a="1"/>
  <c r="J65" i="2" s="1"/>
  <c r="J66" i="2" a="1"/>
  <c r="J66" i="2" s="1"/>
  <c r="J67" i="2" a="1"/>
  <c r="J67" i="2" s="1"/>
  <c r="J68" i="2" a="1"/>
  <c r="J68" i="2" s="1"/>
  <c r="J69" i="2" a="1"/>
  <c r="J69" i="2" s="1"/>
  <c r="J70" i="2" a="1"/>
  <c r="J70" i="2" s="1"/>
  <c r="J71" i="2" a="1"/>
  <c r="J71" i="2" s="1"/>
  <c r="J72" i="2" a="1"/>
  <c r="J72" i="2" s="1"/>
  <c r="J73" i="2" a="1"/>
  <c r="J73" i="2" s="1"/>
  <c r="J74" i="2" a="1"/>
  <c r="J74" i="2" s="1"/>
  <c r="J75" i="2" a="1"/>
  <c r="J75" i="2" s="1"/>
  <c r="J76" i="2" a="1"/>
  <c r="J76" i="2" s="1"/>
  <c r="J77" i="2" a="1"/>
  <c r="J77" i="2" s="1"/>
  <c r="J78" i="2" a="1"/>
  <c r="J78" i="2" s="1"/>
  <c r="J79" i="2" a="1"/>
  <c r="J79" i="2" s="1"/>
  <c r="J80" i="2" a="1"/>
  <c r="J80" i="2" s="1"/>
  <c r="J81" i="2" a="1"/>
  <c r="J81" i="2" s="1"/>
  <c r="J82" i="2" a="1"/>
  <c r="J82" i="2" s="1"/>
  <c r="J83" i="2" a="1"/>
  <c r="J83" i="2" s="1"/>
  <c r="J84" i="2" a="1"/>
  <c r="J84" i="2" s="1"/>
  <c r="J85" i="2" a="1"/>
  <c r="J85" i="2" s="1"/>
  <c r="J86" i="2" a="1"/>
  <c r="J86" i="2" s="1"/>
  <c r="J87" i="2" a="1"/>
  <c r="J87" i="2" s="1"/>
  <c r="J88" i="2" a="1"/>
  <c r="J88" i="2" s="1"/>
  <c r="J89" i="2" a="1"/>
  <c r="J89" i="2" s="1"/>
  <c r="J90" i="2" a="1"/>
  <c r="J90" i="2" s="1"/>
  <c r="J91" i="2" a="1"/>
  <c r="J91" i="2" s="1"/>
  <c r="J92" i="2" a="1"/>
  <c r="J92" i="2" s="1"/>
  <c r="J93" i="2" a="1"/>
  <c r="J93" i="2" s="1"/>
  <c r="J94" i="2" a="1"/>
  <c r="J94" i="2" s="1"/>
  <c r="J95" i="2" a="1"/>
  <c r="J95" i="2" s="1"/>
  <c r="J96" i="2" a="1"/>
  <c r="J96" i="2" s="1"/>
  <c r="J97" i="2" a="1"/>
  <c r="J97" i="2" s="1"/>
  <c r="J98" i="2" a="1"/>
  <c r="J98" i="2" s="1"/>
  <c r="J99" i="2" a="1"/>
  <c r="J99" i="2" s="1"/>
  <c r="J100" i="2" a="1"/>
  <c r="J100" i="2" s="1"/>
  <c r="J101" i="2" a="1"/>
  <c r="J101" i="2" s="1"/>
  <c r="J102" i="2" a="1"/>
  <c r="J102" i="2" s="1"/>
  <c r="J103" i="2" a="1"/>
  <c r="J103" i="2" s="1"/>
  <c r="J104" i="2" a="1"/>
  <c r="J104" i="2" s="1"/>
  <c r="J105" i="2" a="1"/>
  <c r="J105" i="2" s="1"/>
  <c r="J106" i="2" a="1"/>
  <c r="J106" i="2" s="1"/>
  <c r="J107" i="2" a="1"/>
  <c r="J107" i="2" s="1"/>
  <c r="J108" i="2" a="1"/>
  <c r="J108" i="2" s="1"/>
  <c r="J109" i="2" a="1"/>
  <c r="J109" i="2" s="1"/>
  <c r="J110" i="2" a="1"/>
  <c r="J110" i="2" s="1"/>
  <c r="J111" i="2" a="1"/>
  <c r="J111" i="2" s="1"/>
  <c r="J112" i="2" a="1"/>
  <c r="J112" i="2" s="1"/>
  <c r="J113" i="2" a="1"/>
  <c r="J113" i="2" s="1"/>
  <c r="J114" i="2" a="1"/>
  <c r="J114" i="2" s="1"/>
  <c r="J115" i="2" a="1"/>
  <c r="J115" i="2" s="1"/>
  <c r="J116" i="2" a="1"/>
  <c r="J116" i="2" s="1"/>
  <c r="J117" i="2" a="1"/>
  <c r="J117" i="2" s="1"/>
  <c r="J118" i="2" a="1"/>
  <c r="J118" i="2" s="1"/>
  <c r="J119" i="2" a="1"/>
  <c r="J119" i="2" s="1"/>
  <c r="J120" i="2" a="1"/>
  <c r="J120" i="2" s="1"/>
  <c r="J121" i="2" a="1"/>
  <c r="J121" i="2" s="1"/>
  <c r="J122" i="2" a="1"/>
  <c r="J122" i="2" s="1"/>
  <c r="J123" i="2" a="1"/>
  <c r="J123" i="2" s="1"/>
  <c r="J124" i="2" a="1"/>
  <c r="J124" i="2" s="1"/>
  <c r="J125" i="2" a="1"/>
  <c r="J125" i="2" s="1"/>
  <c r="J126" i="2" a="1"/>
  <c r="J126" i="2" s="1"/>
  <c r="J127" i="2" a="1"/>
  <c r="J127" i="2" s="1"/>
  <c r="J128" i="2" a="1"/>
  <c r="J128" i="2" s="1"/>
  <c r="J129" i="2" a="1"/>
  <c r="J129" i="2" s="1"/>
  <c r="J130" i="2" a="1"/>
  <c r="J130" i="2" s="1"/>
  <c r="J131" i="2" a="1"/>
  <c r="J131" i="2" s="1"/>
  <c r="J132" i="2" a="1"/>
  <c r="J132" i="2" s="1"/>
  <c r="J133" i="2" a="1"/>
  <c r="J133" i="2" s="1"/>
  <c r="J134" i="2" a="1"/>
  <c r="J134" i="2" s="1"/>
  <c r="J135" i="2" a="1"/>
  <c r="J135" i="2" s="1"/>
  <c r="J136" i="2" a="1"/>
  <c r="J136" i="2" s="1"/>
  <c r="J137" i="2" a="1"/>
  <c r="J137" i="2" s="1"/>
  <c r="J138" i="2" a="1"/>
  <c r="J138" i="2" s="1"/>
  <c r="J139" i="2" a="1"/>
  <c r="J139" i="2" s="1"/>
  <c r="J140" i="2" a="1"/>
  <c r="J140" i="2" s="1"/>
  <c r="J141" i="2" a="1"/>
  <c r="J141" i="2" s="1"/>
  <c r="J142" i="2" a="1"/>
  <c r="J142" i="2" s="1"/>
  <c r="J143" i="2" a="1"/>
  <c r="J143" i="2" s="1"/>
  <c r="J144" i="2" a="1"/>
  <c r="J144" i="2" s="1"/>
  <c r="J145" i="2" a="1"/>
  <c r="J145" i="2" s="1"/>
  <c r="J146" i="2" a="1"/>
  <c r="J146" i="2" s="1"/>
  <c r="J147" i="2" a="1"/>
  <c r="J147" i="2" s="1"/>
  <c r="J148" i="2" a="1"/>
  <c r="J148" i="2" s="1"/>
  <c r="J149" i="2" a="1"/>
  <c r="J149" i="2" s="1"/>
  <c r="J150" i="2" a="1"/>
  <c r="J150" i="2" s="1"/>
  <c r="J151" i="2" a="1"/>
  <c r="J151" i="2" s="1"/>
  <c r="J152" i="2" a="1"/>
  <c r="J152" i="2" s="1"/>
  <c r="J153" i="2" a="1"/>
  <c r="J153" i="2" s="1"/>
  <c r="J154" i="2" a="1"/>
  <c r="J154" i="2" s="1"/>
  <c r="J155" i="2" a="1"/>
  <c r="J155" i="2" s="1"/>
  <c r="J156" i="2" a="1"/>
  <c r="J156" i="2" s="1"/>
  <c r="J157" i="2" a="1"/>
  <c r="J157" i="2" s="1"/>
  <c r="J158" i="2" a="1"/>
  <c r="J158" i="2" s="1"/>
  <c r="J159" i="2" a="1"/>
  <c r="J159" i="2" s="1"/>
  <c r="J160" i="2" a="1"/>
  <c r="J160" i="2" s="1"/>
  <c r="J161" i="2" a="1"/>
  <c r="J161" i="2" s="1"/>
  <c r="J162" i="2" a="1"/>
  <c r="J162" i="2" s="1"/>
  <c r="J163" i="2" a="1"/>
  <c r="J163" i="2" s="1"/>
  <c r="J164" i="2" a="1"/>
  <c r="J164" i="2" s="1"/>
  <c r="J165" i="2" a="1"/>
  <c r="J165" i="2" s="1"/>
  <c r="J166" i="2" a="1"/>
  <c r="J166" i="2" s="1"/>
  <c r="J167" i="2" a="1"/>
  <c r="J167" i="2" s="1"/>
  <c r="J168" i="2" a="1"/>
  <c r="J168" i="2" s="1"/>
  <c r="J169" i="2" a="1"/>
  <c r="J169" i="2" s="1"/>
  <c r="J170" i="2" a="1"/>
  <c r="J170" i="2" s="1"/>
  <c r="J171" i="2" a="1"/>
  <c r="J171" i="2" s="1"/>
  <c r="J172" i="2" a="1"/>
  <c r="J172" i="2" s="1"/>
  <c r="J173" i="2" a="1"/>
  <c r="J173" i="2" s="1"/>
  <c r="J174" i="2" a="1"/>
  <c r="J174" i="2" s="1"/>
  <c r="J175" i="2" a="1"/>
  <c r="J175" i="2" s="1"/>
  <c r="J176" i="2" a="1"/>
  <c r="J176" i="2" s="1"/>
  <c r="J177" i="2" a="1"/>
  <c r="J177" i="2" s="1"/>
  <c r="J178" i="2" a="1"/>
  <c r="J178" i="2" s="1"/>
  <c r="J179" i="2" a="1"/>
  <c r="J179" i="2" s="1"/>
  <c r="J180" i="2" a="1"/>
  <c r="J180" i="2" s="1"/>
  <c r="J181" i="2" a="1"/>
  <c r="J181" i="2" s="1"/>
  <c r="J182" i="2" a="1"/>
  <c r="J182" i="2" s="1"/>
  <c r="J183" i="2" a="1"/>
  <c r="J183" i="2" s="1"/>
  <c r="J184" i="2" a="1"/>
  <c r="J184" i="2" s="1"/>
  <c r="J185" i="2" a="1"/>
  <c r="J185" i="2" s="1"/>
  <c r="J186" i="2" a="1"/>
  <c r="J186" i="2" s="1"/>
  <c r="J187" i="2" a="1"/>
  <c r="J187" i="2" s="1"/>
  <c r="J188" i="2" a="1"/>
  <c r="J188" i="2" s="1"/>
  <c r="J189" i="2" a="1"/>
  <c r="J189" i="2" s="1"/>
  <c r="J190" i="2" a="1"/>
  <c r="J190" i="2" s="1"/>
  <c r="J191" i="2" a="1"/>
  <c r="J191" i="2" s="1"/>
  <c r="J192" i="2" a="1"/>
  <c r="J192" i="2" s="1"/>
  <c r="J193" i="2" a="1"/>
  <c r="J193" i="2" s="1"/>
  <c r="J194" i="2" a="1"/>
  <c r="J194" i="2" s="1"/>
  <c r="J195" i="2" a="1"/>
  <c r="J195" i="2" s="1"/>
  <c r="J196" i="2" a="1"/>
  <c r="J196" i="2" s="1"/>
  <c r="J197" i="2" a="1"/>
  <c r="J197" i="2" s="1"/>
  <c r="J198" i="2" a="1"/>
  <c r="J198" i="2" s="1"/>
  <c r="J199" i="2" a="1"/>
  <c r="J199" i="2" s="1"/>
  <c r="J200" i="2" a="1"/>
  <c r="J200" i="2" s="1"/>
  <c r="J201" i="2" a="1"/>
  <c r="J201" i="2" s="1"/>
  <c r="J202" i="2" a="1"/>
  <c r="J202" i="2" s="1"/>
  <c r="J203" i="2" a="1"/>
  <c r="J203" i="2" s="1"/>
  <c r="J204" i="2" a="1"/>
  <c r="J204" i="2" s="1"/>
  <c r="J205" i="2" a="1"/>
  <c r="J205" i="2" s="1"/>
  <c r="J206" i="2" a="1"/>
  <c r="J206" i="2" s="1"/>
  <c r="J207" i="2" a="1"/>
  <c r="J207" i="2" s="1"/>
  <c r="J208" i="2" a="1"/>
  <c r="J208" i="2" s="1"/>
  <c r="J209" i="2" a="1"/>
  <c r="J209" i="2" s="1"/>
  <c r="J210" i="2" a="1"/>
  <c r="J210" i="2" s="1"/>
  <c r="J211" i="2" a="1"/>
  <c r="J211" i="2" s="1"/>
  <c r="J212" i="2" a="1"/>
  <c r="J212" i="2" s="1"/>
  <c r="J213" i="2" a="1"/>
  <c r="J213" i="2" s="1"/>
  <c r="J214" i="2" a="1"/>
  <c r="J214" i="2" s="1"/>
  <c r="J215" i="2" a="1"/>
  <c r="J215" i="2" s="1"/>
  <c r="J216" i="2" a="1"/>
  <c r="J216" i="2" s="1"/>
  <c r="J217" i="2" a="1"/>
  <c r="J217" i="2" s="1"/>
  <c r="J218" i="2" a="1"/>
  <c r="J218" i="2" s="1"/>
  <c r="J219" i="2" a="1"/>
  <c r="J219" i="2" s="1"/>
  <c r="J220" i="2" a="1"/>
  <c r="J220" i="2" s="1"/>
  <c r="J221" i="2" a="1"/>
  <c r="J221" i="2" s="1"/>
  <c r="J222" i="2" a="1"/>
  <c r="J222" i="2" s="1"/>
  <c r="J223" i="2" a="1"/>
  <c r="J223" i="2" s="1"/>
  <c r="J224" i="2" a="1"/>
  <c r="J224" i="2" s="1"/>
  <c r="J225" i="2" a="1"/>
  <c r="J225" i="2" s="1"/>
  <c r="J226" i="2" a="1"/>
  <c r="J226" i="2" s="1"/>
  <c r="J227" i="2" a="1"/>
  <c r="J227" i="2" s="1"/>
  <c r="J228" i="2" a="1"/>
  <c r="J228" i="2" s="1"/>
  <c r="J229" i="2" a="1"/>
  <c r="J229" i="2" s="1"/>
  <c r="J230" i="2" a="1"/>
  <c r="J230" i="2" s="1"/>
  <c r="J231" i="2" a="1"/>
  <c r="J231" i="2" s="1"/>
  <c r="J232" i="2" a="1"/>
  <c r="J232" i="2" s="1"/>
  <c r="J233" i="2" a="1"/>
  <c r="J233" i="2" s="1"/>
  <c r="J234" i="2" a="1"/>
  <c r="J234" i="2" s="1"/>
  <c r="J235" i="2" a="1"/>
  <c r="J235" i="2" s="1"/>
  <c r="J236" i="2" a="1"/>
  <c r="J236" i="2" s="1"/>
  <c r="J237" i="2" a="1"/>
  <c r="J237" i="2" s="1"/>
  <c r="J238" i="2" a="1"/>
  <c r="J238" i="2" s="1"/>
  <c r="J239" i="2" a="1"/>
  <c r="J239" i="2" s="1"/>
  <c r="J240" i="2" a="1"/>
  <c r="J240" i="2" s="1"/>
  <c r="J241" i="2" a="1"/>
  <c r="J241" i="2" s="1"/>
  <c r="J242" i="2" a="1"/>
  <c r="J242" i="2" s="1"/>
  <c r="J243" i="2" a="1"/>
  <c r="J243" i="2" s="1"/>
  <c r="J244" i="2" a="1"/>
  <c r="J244" i="2" s="1"/>
  <c r="J245" i="2" a="1"/>
  <c r="J245" i="2" s="1"/>
  <c r="J246" i="2" a="1"/>
  <c r="J246" i="2" s="1"/>
  <c r="J247" i="2" a="1"/>
  <c r="J247" i="2" s="1"/>
  <c r="J248" i="2" a="1"/>
  <c r="J248" i="2" s="1"/>
  <c r="J249" i="2" a="1"/>
  <c r="J249" i="2" s="1"/>
  <c r="J250" i="2" a="1"/>
  <c r="J250" i="2" s="1"/>
  <c r="J251" i="2" a="1"/>
  <c r="J251" i="2" s="1"/>
  <c r="J252" i="2" a="1"/>
  <c r="J252" i="2" s="1"/>
  <c r="J253" i="2" a="1"/>
  <c r="J253" i="2" s="1"/>
  <c r="J254" i="2" a="1"/>
  <c r="J254" i="2" s="1"/>
  <c r="J255" i="2" a="1"/>
  <c r="J255" i="2" s="1"/>
  <c r="J256" i="2" a="1"/>
  <c r="J256" i="2" s="1"/>
  <c r="J257" i="2" a="1"/>
  <c r="J257" i="2" s="1"/>
  <c r="J258" i="2" a="1"/>
  <c r="J258" i="2" s="1"/>
  <c r="J259" i="2" a="1"/>
  <c r="J259" i="2" s="1"/>
  <c r="J260" i="2" a="1"/>
  <c r="J260" i="2" s="1"/>
  <c r="J261" i="2" a="1"/>
  <c r="J261" i="2" s="1"/>
  <c r="J262" i="2" a="1"/>
  <c r="J262" i="2" s="1"/>
  <c r="J263" i="2" a="1"/>
  <c r="J263" i="2" s="1"/>
  <c r="J264" i="2" a="1"/>
  <c r="J264" i="2" s="1"/>
  <c r="J265" i="2" a="1"/>
  <c r="J265" i="2" s="1"/>
  <c r="J266" i="2" a="1"/>
  <c r="J266" i="2" s="1"/>
  <c r="J267" i="2" a="1"/>
  <c r="J267" i="2" s="1"/>
  <c r="J268" i="2" a="1"/>
  <c r="J268" i="2" s="1"/>
  <c r="J269" i="2" a="1"/>
  <c r="J269" i="2" s="1"/>
  <c r="J270" i="2" a="1"/>
  <c r="J270" i="2" s="1"/>
  <c r="J271" i="2" a="1"/>
  <c r="J271" i="2" s="1"/>
  <c r="J272" i="2" a="1"/>
  <c r="J272" i="2" s="1"/>
  <c r="J273" i="2" a="1"/>
  <c r="J273" i="2" s="1"/>
  <c r="J274" i="2" a="1"/>
  <c r="J274" i="2" s="1"/>
  <c r="J275" i="2" a="1"/>
  <c r="J275" i="2" s="1"/>
  <c r="J276" i="2" a="1"/>
  <c r="J276" i="2" s="1"/>
  <c r="J277" i="2" a="1"/>
  <c r="J277" i="2" s="1"/>
  <c r="J278" i="2" a="1"/>
  <c r="J278" i="2" s="1"/>
  <c r="J279" i="2" a="1"/>
  <c r="J279" i="2" s="1"/>
  <c r="J280" i="2" a="1"/>
  <c r="J280" i="2" s="1"/>
  <c r="J281" i="2" a="1"/>
  <c r="J281" i="2" s="1"/>
  <c r="J282" i="2" a="1"/>
  <c r="J282" i="2" s="1"/>
  <c r="J283" i="2" a="1"/>
  <c r="J283" i="2" s="1"/>
  <c r="J284" i="2" a="1"/>
  <c r="J284" i="2" s="1"/>
  <c r="J285" i="2" a="1"/>
  <c r="J285" i="2" s="1"/>
  <c r="J286" i="2" a="1"/>
  <c r="J286" i="2" s="1"/>
  <c r="J287" i="2" a="1"/>
  <c r="J287" i="2" s="1"/>
  <c r="J288" i="2" a="1"/>
  <c r="J288" i="2" s="1"/>
  <c r="J289" i="2" a="1"/>
  <c r="J289" i="2" s="1"/>
  <c r="J290" i="2" a="1"/>
  <c r="J290" i="2" s="1"/>
  <c r="J291" i="2" a="1"/>
  <c r="J291" i="2" s="1"/>
  <c r="J292" i="2" a="1"/>
  <c r="J292" i="2" s="1"/>
  <c r="J293" i="2" a="1"/>
  <c r="J293" i="2" s="1"/>
  <c r="J294" i="2" a="1"/>
  <c r="J294" i="2" s="1"/>
  <c r="J295" i="2" a="1"/>
  <c r="J295" i="2" s="1"/>
  <c r="J296" i="2" a="1"/>
  <c r="J296" i="2" s="1"/>
  <c r="J297" i="2" a="1"/>
  <c r="J297" i="2" s="1"/>
  <c r="J298" i="2" a="1"/>
  <c r="J298" i="2" s="1"/>
  <c r="J299" i="2" a="1"/>
  <c r="J299" i="2" s="1"/>
  <c r="J300" i="2" a="1"/>
  <c r="J300" i="2" s="1"/>
  <c r="J301" i="2" a="1"/>
  <c r="J301" i="2" s="1"/>
  <c r="J302" i="2" a="1"/>
  <c r="J302" i="2" s="1"/>
  <c r="J303" i="2" a="1"/>
  <c r="J303" i="2" s="1"/>
  <c r="J304" i="2" a="1"/>
  <c r="J304" i="2" s="1"/>
  <c r="J305" i="2" a="1"/>
  <c r="J305" i="2" s="1"/>
  <c r="J306" i="2" a="1"/>
  <c r="J306" i="2" s="1"/>
  <c r="J307" i="2" a="1"/>
  <c r="J307" i="2" s="1"/>
  <c r="J308" i="2" a="1"/>
  <c r="J308" i="2" s="1"/>
  <c r="J309" i="2" a="1"/>
  <c r="J309" i="2" s="1"/>
  <c r="J310" i="2" a="1"/>
  <c r="J310" i="2" s="1"/>
  <c r="J311" i="2" a="1"/>
  <c r="J311" i="2" s="1"/>
  <c r="J312" i="2" a="1"/>
  <c r="J312" i="2" s="1"/>
  <c r="J313" i="2" a="1"/>
  <c r="J313" i="2" s="1"/>
  <c r="J314" i="2" a="1"/>
  <c r="J314" i="2" s="1"/>
  <c r="J315" i="2" a="1"/>
  <c r="J315" i="2" s="1"/>
  <c r="J316" i="2" a="1"/>
  <c r="J316" i="2" s="1"/>
  <c r="J317" i="2" a="1"/>
  <c r="J317" i="2" s="1"/>
  <c r="J318" i="2" a="1"/>
  <c r="J318" i="2" s="1"/>
  <c r="J319" i="2" a="1"/>
  <c r="J319" i="2" s="1"/>
  <c r="J320" i="2" a="1"/>
  <c r="J320" i="2" s="1"/>
  <c r="J321" i="2" a="1"/>
  <c r="J321" i="2" s="1"/>
  <c r="J322" i="2" a="1"/>
  <c r="J322" i="2" s="1"/>
  <c r="J323" i="2" a="1"/>
  <c r="J323" i="2" s="1"/>
  <c r="J324" i="2" a="1"/>
  <c r="J324" i="2" s="1"/>
  <c r="J325" i="2" a="1"/>
  <c r="J325" i="2" s="1"/>
  <c r="J326" i="2" a="1"/>
  <c r="J326" i="2" s="1"/>
  <c r="J327" i="2" a="1"/>
  <c r="J327" i="2" s="1"/>
  <c r="J328" i="2" a="1"/>
  <c r="J328" i="2" s="1"/>
  <c r="J329" i="2" a="1"/>
  <c r="J329" i="2" s="1"/>
  <c r="J330" i="2" a="1"/>
  <c r="J330" i="2" s="1"/>
  <c r="J331" i="2" a="1"/>
  <c r="J331" i="2" s="1"/>
  <c r="J332" i="2" a="1"/>
  <c r="J332" i="2" s="1"/>
  <c r="J333" i="2" a="1"/>
  <c r="J333" i="2" s="1"/>
  <c r="J334" i="2" a="1"/>
  <c r="J334" i="2" s="1"/>
  <c r="J335" i="2" a="1"/>
  <c r="J335" i="2" s="1"/>
  <c r="J336" i="2" a="1"/>
  <c r="J336" i="2" s="1"/>
  <c r="J337" i="2" a="1"/>
  <c r="J337" i="2" s="1"/>
  <c r="J338" i="2" a="1"/>
  <c r="J338" i="2" s="1"/>
  <c r="J339" i="2" a="1"/>
  <c r="J339" i="2" s="1"/>
  <c r="J340" i="2" a="1"/>
  <c r="J340" i="2" s="1"/>
  <c r="J341" i="2" a="1"/>
  <c r="J341" i="2" s="1"/>
  <c r="J342" i="2" a="1"/>
  <c r="J342" i="2" s="1"/>
  <c r="J343" i="2" a="1"/>
  <c r="J343" i="2" s="1"/>
  <c r="J344" i="2" a="1"/>
  <c r="J344" i="2" s="1"/>
  <c r="J345" i="2" a="1"/>
  <c r="J345" i="2" s="1"/>
  <c r="J346" i="2" a="1"/>
  <c r="J346" i="2" s="1"/>
  <c r="J347" i="2" a="1"/>
  <c r="J347" i="2" s="1"/>
  <c r="J348" i="2" a="1"/>
  <c r="J348" i="2" s="1"/>
  <c r="J349" i="2" a="1"/>
  <c r="J349" i="2" s="1"/>
  <c r="J350" i="2" a="1"/>
  <c r="J350" i="2" s="1"/>
  <c r="J351" i="2" a="1"/>
  <c r="J351" i="2" s="1"/>
  <c r="J352" i="2" a="1"/>
  <c r="J352" i="2" s="1"/>
  <c r="J353" i="2" a="1"/>
  <c r="J353" i="2" s="1"/>
  <c r="J354" i="2" a="1"/>
  <c r="J354" i="2" s="1"/>
  <c r="J355" i="2" a="1"/>
  <c r="J355" i="2" s="1"/>
  <c r="J356" i="2" a="1"/>
  <c r="J356" i="2" s="1"/>
  <c r="J357" i="2" a="1"/>
  <c r="J357" i="2" s="1"/>
  <c r="J358" i="2" a="1"/>
  <c r="J358" i="2" s="1"/>
  <c r="J359" i="2" a="1"/>
  <c r="J359" i="2" s="1"/>
  <c r="J360" i="2" a="1"/>
  <c r="J360" i="2" s="1"/>
  <c r="J361" i="2" a="1"/>
  <c r="J361" i="2" s="1"/>
  <c r="J362" i="2" a="1"/>
  <c r="J362" i="2" s="1"/>
  <c r="J363" i="2" a="1"/>
  <c r="J363" i="2" s="1"/>
  <c r="J364" i="2" a="1"/>
  <c r="J364" i="2" s="1"/>
  <c r="J365" i="2" a="1"/>
  <c r="J365" i="2" s="1"/>
  <c r="J366" i="2" a="1"/>
  <c r="J366" i="2" s="1"/>
  <c r="J367" i="2" a="1"/>
  <c r="J367" i="2" s="1"/>
  <c r="J368" i="2" a="1"/>
  <c r="J368" i="2" s="1"/>
  <c r="J369" i="2" a="1"/>
  <c r="J369" i="2" s="1"/>
  <c r="J370" i="2" a="1"/>
  <c r="J370" i="2" s="1"/>
  <c r="J371" i="2" a="1"/>
  <c r="J371" i="2" s="1"/>
  <c r="J372" i="2" a="1"/>
  <c r="J372" i="2" s="1"/>
  <c r="J373" i="2" a="1"/>
  <c r="J373" i="2" s="1"/>
  <c r="J374" i="2" a="1"/>
  <c r="J374" i="2" s="1"/>
  <c r="J375" i="2" a="1"/>
  <c r="J375" i="2" s="1"/>
  <c r="J376" i="2" a="1"/>
  <c r="J376" i="2" s="1"/>
  <c r="J377" i="2" a="1"/>
  <c r="J377" i="2" s="1"/>
  <c r="J378" i="2" a="1"/>
  <c r="J378" i="2" s="1"/>
  <c r="J379" i="2" a="1"/>
  <c r="J379" i="2" s="1"/>
  <c r="J380" i="2" a="1"/>
  <c r="J380" i="2" s="1"/>
  <c r="J381" i="2" a="1"/>
  <c r="J381" i="2" s="1"/>
  <c r="J382" i="2" a="1"/>
  <c r="J382" i="2" s="1"/>
  <c r="J383" i="2" a="1"/>
  <c r="J383" i="2" s="1"/>
  <c r="J384" i="2" a="1"/>
  <c r="J384" i="2" s="1"/>
  <c r="J385" i="2" a="1"/>
  <c r="J385" i="2" s="1"/>
  <c r="J386" i="2" a="1"/>
  <c r="J386" i="2" s="1"/>
  <c r="J387" i="2" a="1"/>
  <c r="J387" i="2" s="1"/>
  <c r="J388" i="2" a="1"/>
  <c r="J388" i="2" s="1"/>
  <c r="J389" i="2" a="1"/>
  <c r="J389" i="2" s="1"/>
  <c r="J390" i="2" a="1"/>
  <c r="J390" i="2" s="1"/>
  <c r="J391" i="2" a="1"/>
  <c r="J391" i="2" s="1"/>
  <c r="J392" i="2" a="1"/>
  <c r="J392" i="2" s="1"/>
  <c r="J393" i="2" a="1"/>
  <c r="J393" i="2" s="1"/>
  <c r="J394" i="2" a="1"/>
  <c r="J394" i="2" s="1"/>
  <c r="J395" i="2" a="1"/>
  <c r="J395" i="2" s="1"/>
  <c r="J396" i="2" a="1"/>
  <c r="J396" i="2" s="1"/>
  <c r="J397" i="2" a="1"/>
  <c r="J397" i="2" s="1"/>
  <c r="J398" i="2" a="1"/>
  <c r="J398" i="2" s="1"/>
  <c r="J399" i="2" a="1"/>
  <c r="J399" i="2" s="1"/>
  <c r="J400" i="2" a="1"/>
  <c r="J400" i="2" s="1"/>
  <c r="J401" i="2" a="1"/>
  <c r="J401" i="2" s="1"/>
  <c r="J402" i="2" a="1"/>
  <c r="J402" i="2" s="1"/>
  <c r="J403" i="2" a="1"/>
  <c r="J403" i="2" s="1"/>
  <c r="J404" i="2" a="1"/>
  <c r="J404" i="2" s="1"/>
  <c r="J405" i="2" a="1"/>
  <c r="J405" i="2" s="1"/>
  <c r="J406" i="2" a="1"/>
  <c r="J406" i="2" s="1"/>
  <c r="J407" i="2" a="1"/>
  <c r="J407" i="2" s="1"/>
  <c r="J408" i="2" a="1"/>
  <c r="J408" i="2" s="1"/>
  <c r="J409" i="2" a="1"/>
  <c r="J409" i="2" s="1"/>
  <c r="J410" i="2" a="1"/>
  <c r="J410" i="2" s="1"/>
  <c r="J411" i="2" a="1"/>
  <c r="J411" i="2" s="1"/>
  <c r="J412" i="2" a="1"/>
  <c r="J412" i="2" s="1"/>
  <c r="J413" i="2" a="1"/>
  <c r="J413" i="2" s="1"/>
  <c r="J414" i="2" a="1"/>
  <c r="J414" i="2" s="1"/>
  <c r="J415" i="2" a="1"/>
  <c r="J415" i="2" s="1"/>
  <c r="J416" i="2" a="1"/>
  <c r="J416" i="2" s="1"/>
  <c r="J417" i="2" a="1"/>
  <c r="J417" i="2" s="1"/>
  <c r="J418" i="2" a="1"/>
  <c r="J418" i="2" s="1"/>
  <c r="J419" i="2" a="1"/>
  <c r="J419" i="2" s="1"/>
  <c r="J420" i="2" a="1"/>
  <c r="J420" i="2" s="1"/>
  <c r="J421" i="2" a="1"/>
  <c r="J421" i="2" s="1"/>
  <c r="J422" i="2" a="1"/>
  <c r="J422" i="2" s="1"/>
  <c r="J423" i="2" a="1"/>
  <c r="J423" i="2" s="1"/>
  <c r="J424" i="2" a="1"/>
  <c r="J424" i="2" s="1"/>
  <c r="J425" i="2" a="1"/>
  <c r="J425" i="2" s="1"/>
  <c r="J426" i="2" a="1"/>
  <c r="J426" i="2" s="1"/>
  <c r="J427" i="2" a="1"/>
  <c r="J427" i="2" s="1"/>
  <c r="J428" i="2" a="1"/>
  <c r="J428" i="2" s="1"/>
  <c r="J429" i="2" a="1"/>
  <c r="J429" i="2" s="1"/>
  <c r="J430" i="2" a="1"/>
  <c r="J430" i="2" s="1"/>
  <c r="J431" i="2" a="1"/>
  <c r="J431" i="2" s="1"/>
  <c r="J432" i="2" a="1"/>
  <c r="J432" i="2" s="1"/>
  <c r="J433" i="2" a="1"/>
  <c r="J433" i="2" s="1"/>
  <c r="J434" i="2" a="1"/>
  <c r="J434" i="2" s="1"/>
  <c r="J435" i="2" a="1"/>
  <c r="J435" i="2" s="1"/>
  <c r="J436" i="2" a="1"/>
  <c r="J436" i="2" s="1"/>
  <c r="J437" i="2" a="1"/>
  <c r="J437" i="2" s="1"/>
  <c r="J438" i="2" a="1"/>
  <c r="J438" i="2" s="1"/>
  <c r="J439" i="2" a="1"/>
  <c r="J439" i="2" s="1"/>
  <c r="J440" i="2" a="1"/>
  <c r="J440" i="2" s="1"/>
  <c r="J441" i="2" a="1"/>
  <c r="J441" i="2" s="1"/>
  <c r="J442" i="2" a="1"/>
  <c r="J442" i="2" s="1"/>
  <c r="J443" i="2" a="1"/>
  <c r="J443" i="2" s="1"/>
  <c r="J444" i="2" a="1"/>
  <c r="J444" i="2" s="1"/>
  <c r="J445" i="2" a="1"/>
  <c r="J445" i="2" s="1"/>
  <c r="J446" i="2" a="1"/>
  <c r="J446" i="2" s="1"/>
  <c r="J447" i="2" a="1"/>
  <c r="J447" i="2" s="1"/>
  <c r="J448" i="2" a="1"/>
  <c r="J448" i="2" s="1"/>
  <c r="J449" i="2" a="1"/>
  <c r="J449" i="2" s="1"/>
  <c r="J450" i="2" a="1"/>
  <c r="J450" i="2" s="1"/>
  <c r="J451" i="2" a="1"/>
  <c r="J451" i="2" s="1"/>
  <c r="J452" i="2" a="1"/>
  <c r="J452" i="2" s="1"/>
  <c r="J453" i="2" a="1"/>
  <c r="J453" i="2" s="1"/>
  <c r="J454" i="2" a="1"/>
  <c r="J454" i="2" s="1"/>
  <c r="J455" i="2" a="1"/>
  <c r="J455" i="2" s="1"/>
  <c r="J456" i="2" a="1"/>
  <c r="J456" i="2" s="1"/>
  <c r="J457" i="2" a="1"/>
  <c r="J457" i="2" s="1"/>
  <c r="J458" i="2" a="1"/>
  <c r="J458" i="2" s="1"/>
  <c r="J459" i="2" a="1"/>
  <c r="J459" i="2" s="1"/>
  <c r="J460" i="2" a="1"/>
  <c r="J460" i="2" s="1"/>
  <c r="J461" i="2" a="1"/>
  <c r="J461" i="2" s="1"/>
  <c r="J462" i="2" a="1"/>
  <c r="J462" i="2" s="1"/>
  <c r="J463" i="2" a="1"/>
  <c r="J463" i="2" s="1"/>
  <c r="J464" i="2" a="1"/>
  <c r="J464" i="2" s="1"/>
  <c r="J465" i="2" a="1"/>
  <c r="J465" i="2" s="1"/>
  <c r="J466" i="2" a="1"/>
  <c r="J466" i="2" s="1"/>
  <c r="J467" i="2" a="1"/>
  <c r="J467" i="2" s="1"/>
  <c r="J468" i="2" a="1"/>
  <c r="J468" i="2" s="1"/>
  <c r="J469" i="2" a="1"/>
  <c r="J469" i="2" s="1"/>
  <c r="J470" i="2" a="1"/>
  <c r="J470" i="2" s="1"/>
  <c r="J471" i="2" a="1"/>
  <c r="J471" i="2" s="1"/>
  <c r="J472" i="2" a="1"/>
  <c r="J472" i="2" s="1"/>
  <c r="J473" i="2" a="1"/>
  <c r="J473" i="2" s="1"/>
  <c r="J474" i="2" a="1"/>
  <c r="J474" i="2" s="1"/>
  <c r="J475" i="2" a="1"/>
  <c r="J475" i="2" s="1"/>
  <c r="J476" i="2" a="1"/>
  <c r="J476" i="2" s="1"/>
  <c r="J477" i="2" a="1"/>
  <c r="J477" i="2" s="1"/>
  <c r="J478" i="2" a="1"/>
  <c r="J478" i="2" s="1"/>
  <c r="J479" i="2" a="1"/>
  <c r="J479" i="2" s="1"/>
  <c r="J480" i="2" a="1"/>
  <c r="J480" i="2" s="1"/>
  <c r="J481" i="2" a="1"/>
  <c r="J481" i="2" s="1"/>
  <c r="J482" i="2" a="1"/>
  <c r="J482" i="2" s="1"/>
  <c r="J483" i="2" a="1"/>
  <c r="J483" i="2" s="1"/>
  <c r="J484" i="2" a="1"/>
  <c r="J484" i="2" s="1"/>
  <c r="J485" i="2" a="1"/>
  <c r="J485" i="2" s="1"/>
  <c r="J486" i="2" a="1"/>
  <c r="J486" i="2" s="1"/>
  <c r="J487" i="2" a="1"/>
  <c r="J487" i="2" s="1"/>
  <c r="J488" i="2" a="1"/>
  <c r="J488" i="2" s="1"/>
  <c r="J489" i="2" a="1"/>
  <c r="J489" i="2" s="1"/>
  <c r="J490" i="2" a="1"/>
  <c r="J490" i="2" s="1"/>
  <c r="J491" i="2" a="1"/>
  <c r="J491" i="2" s="1"/>
  <c r="J492" i="2" a="1"/>
  <c r="J492" i="2" s="1"/>
  <c r="J493" i="2" a="1"/>
  <c r="J493" i="2" s="1"/>
  <c r="J494" i="2" a="1"/>
  <c r="J494" i="2" s="1"/>
  <c r="J495" i="2" a="1"/>
  <c r="J495" i="2" s="1"/>
  <c r="J496" i="2" a="1"/>
  <c r="J496" i="2" s="1"/>
  <c r="J497" i="2" a="1"/>
  <c r="J497" i="2" s="1"/>
  <c r="J498" i="2" a="1"/>
  <c r="J498" i="2" s="1"/>
  <c r="J499" i="2" a="1"/>
  <c r="J499" i="2" s="1"/>
  <c r="J500" i="2" a="1"/>
  <c r="J500" i="2" s="1"/>
  <c r="J501" i="2" a="1"/>
  <c r="J501" i="2" s="1"/>
  <c r="J502" i="2" a="1"/>
  <c r="J502" i="2" s="1"/>
  <c r="J503" i="2" a="1"/>
  <c r="J503" i="2" s="1"/>
  <c r="J504" i="2" a="1"/>
  <c r="J504" i="2" s="1"/>
  <c r="J505" i="2" a="1"/>
  <c r="J505" i="2" s="1"/>
  <c r="J506" i="2" a="1"/>
  <c r="J506" i="2" s="1"/>
  <c r="J507" i="2" a="1"/>
  <c r="J507" i="2" s="1"/>
  <c r="J508" i="2" a="1"/>
  <c r="J508" i="2" s="1"/>
  <c r="J509" i="2" a="1"/>
  <c r="J509" i="2" s="1"/>
  <c r="J510" i="2" a="1"/>
  <c r="J510" i="2" s="1"/>
  <c r="J511" i="2" a="1"/>
  <c r="J511" i="2" s="1"/>
  <c r="J512" i="2" a="1"/>
  <c r="J512" i="2" s="1"/>
  <c r="J513" i="2" a="1"/>
  <c r="J513" i="2" s="1"/>
  <c r="J514" i="2" a="1"/>
  <c r="J514" i="2" s="1"/>
  <c r="J515" i="2" a="1"/>
  <c r="J515" i="2" s="1"/>
  <c r="J516" i="2" a="1"/>
  <c r="J516" i="2" s="1"/>
  <c r="J517" i="2" a="1"/>
  <c r="J517" i="2" s="1"/>
  <c r="J518" i="2" a="1"/>
  <c r="J518" i="2" s="1"/>
  <c r="J519" i="2" a="1"/>
  <c r="J519" i="2" s="1"/>
  <c r="J520" i="2" a="1"/>
  <c r="J520" i="2" s="1"/>
  <c r="J521" i="2" a="1"/>
  <c r="J521" i="2" s="1"/>
  <c r="J522" i="2" a="1"/>
  <c r="J522" i="2" s="1"/>
  <c r="J523" i="2" a="1"/>
  <c r="J523" i="2" s="1"/>
  <c r="J524" i="2" a="1"/>
  <c r="J524" i="2" s="1"/>
  <c r="J525" i="2" a="1"/>
  <c r="J525" i="2" s="1"/>
  <c r="J526" i="2" a="1"/>
  <c r="J526" i="2" s="1"/>
  <c r="J527" i="2" a="1"/>
  <c r="J527" i="2" s="1"/>
  <c r="J528" i="2" a="1"/>
  <c r="J528" i="2" s="1"/>
  <c r="J529" i="2" a="1"/>
  <c r="J529" i="2" s="1"/>
  <c r="J530" i="2" a="1"/>
  <c r="J530" i="2" s="1"/>
  <c r="J531" i="2" a="1"/>
  <c r="J531" i="2" s="1"/>
  <c r="J532" i="2" a="1"/>
  <c r="J532" i="2" s="1"/>
  <c r="J533" i="2" a="1"/>
  <c r="J533" i="2" s="1"/>
  <c r="J534" i="2" a="1"/>
  <c r="J534" i="2" s="1"/>
  <c r="J535" i="2" a="1"/>
  <c r="J535" i="2" s="1"/>
  <c r="J536" i="2" a="1"/>
  <c r="J536" i="2" s="1"/>
  <c r="J537" i="2" a="1"/>
  <c r="J537" i="2" s="1"/>
  <c r="J538" i="2" a="1"/>
  <c r="J538" i="2" s="1"/>
  <c r="J539" i="2" a="1"/>
  <c r="J539" i="2" s="1"/>
  <c r="J540" i="2" a="1"/>
  <c r="J540" i="2" s="1"/>
  <c r="J541" i="2" a="1"/>
  <c r="J541" i="2" s="1"/>
  <c r="J542" i="2" a="1"/>
  <c r="J542" i="2" s="1"/>
  <c r="J543" i="2" a="1"/>
  <c r="J543" i="2" s="1"/>
  <c r="J544" i="2" a="1"/>
  <c r="J544" i="2" s="1"/>
  <c r="J545" i="2" a="1"/>
  <c r="J545" i="2" s="1"/>
  <c r="J546" i="2" a="1"/>
  <c r="J546" i="2" s="1"/>
  <c r="J547" i="2" a="1"/>
  <c r="J547" i="2" s="1"/>
  <c r="J548" i="2" a="1"/>
  <c r="J548" i="2" s="1"/>
  <c r="J549" i="2" a="1"/>
  <c r="J549" i="2" s="1"/>
  <c r="J550" i="2" a="1"/>
  <c r="J550" i="2" s="1"/>
  <c r="J551" i="2" a="1"/>
  <c r="J551" i="2" s="1"/>
  <c r="J552" i="2" a="1"/>
  <c r="J552" i="2" s="1"/>
  <c r="J553" i="2" a="1"/>
  <c r="J553" i="2" s="1"/>
  <c r="J554" i="2" a="1"/>
  <c r="J554" i="2" s="1"/>
  <c r="J555" i="2" a="1"/>
  <c r="J555" i="2" s="1"/>
  <c r="J556" i="2" a="1"/>
  <c r="J556" i="2" s="1"/>
  <c r="J557" i="2" a="1"/>
  <c r="J557" i="2" s="1"/>
  <c r="J558" i="2" a="1"/>
  <c r="J558" i="2" s="1"/>
  <c r="J559" i="2" a="1"/>
  <c r="J559" i="2" s="1"/>
  <c r="J560" i="2" a="1"/>
  <c r="J560" i="2" s="1"/>
  <c r="J561" i="2" a="1"/>
  <c r="J561" i="2" s="1"/>
  <c r="J562" i="2" a="1"/>
  <c r="J562" i="2" s="1"/>
  <c r="J563" i="2" a="1"/>
  <c r="J563" i="2" s="1"/>
  <c r="J564" i="2" a="1"/>
  <c r="J564" i="2" s="1"/>
  <c r="J565" i="2" a="1"/>
  <c r="J565" i="2" s="1"/>
  <c r="J566" i="2" a="1"/>
  <c r="J566" i="2" s="1"/>
  <c r="J567" i="2" a="1"/>
  <c r="J567" i="2" s="1"/>
  <c r="J568" i="2" a="1"/>
  <c r="J568" i="2" s="1"/>
  <c r="J569" i="2" a="1"/>
  <c r="J569" i="2" s="1"/>
  <c r="J570" i="2" a="1"/>
  <c r="J570" i="2" s="1"/>
  <c r="J571" i="2" a="1"/>
  <c r="J571" i="2" s="1"/>
  <c r="J572" i="2" a="1"/>
  <c r="J572" i="2" s="1"/>
  <c r="J573" i="2" a="1"/>
  <c r="J573" i="2" s="1"/>
  <c r="J574" i="2" a="1"/>
  <c r="J574" i="2" s="1"/>
  <c r="J575" i="2" a="1"/>
  <c r="J575" i="2" s="1"/>
  <c r="J576" i="2" a="1"/>
  <c r="J576" i="2" s="1"/>
  <c r="J577" i="2" a="1"/>
  <c r="J577" i="2" s="1"/>
  <c r="J578" i="2" a="1"/>
  <c r="J578" i="2" s="1"/>
  <c r="J579" i="2" a="1"/>
  <c r="J579" i="2" s="1"/>
  <c r="J580" i="2" a="1"/>
  <c r="J580" i="2" s="1"/>
  <c r="J581" i="2" a="1"/>
  <c r="J581" i="2" s="1"/>
  <c r="J582" i="2" a="1"/>
  <c r="J582" i="2" s="1"/>
  <c r="J583" i="2" a="1"/>
  <c r="J583" i="2" s="1"/>
  <c r="J584" i="2" a="1"/>
  <c r="J584" i="2" s="1"/>
  <c r="J585" i="2" a="1"/>
  <c r="J585" i="2" s="1"/>
  <c r="J586" i="2" a="1"/>
  <c r="J586" i="2" s="1"/>
  <c r="J587" i="2" a="1"/>
  <c r="J587" i="2" s="1"/>
  <c r="J588" i="2" a="1"/>
  <c r="J588" i="2" s="1"/>
  <c r="J589" i="2" a="1"/>
  <c r="J589" i="2" s="1"/>
  <c r="J590" i="2" a="1"/>
  <c r="J590" i="2" s="1"/>
  <c r="J591" i="2" a="1"/>
  <c r="J591" i="2" s="1"/>
  <c r="J592" i="2" a="1"/>
  <c r="J592" i="2" s="1"/>
  <c r="J593" i="2" a="1"/>
  <c r="J593" i="2" s="1"/>
  <c r="J594" i="2" a="1"/>
  <c r="J594" i="2" s="1"/>
  <c r="J595" i="2" a="1"/>
  <c r="J595" i="2" s="1"/>
  <c r="J596" i="2" a="1"/>
  <c r="J596" i="2" s="1"/>
  <c r="J597" i="2" a="1"/>
  <c r="J597" i="2" s="1"/>
  <c r="J598" i="2" a="1"/>
  <c r="J598" i="2" s="1"/>
  <c r="J599" i="2" a="1"/>
  <c r="J599" i="2" s="1"/>
  <c r="J600" i="2" a="1"/>
  <c r="J600" i="2" s="1"/>
  <c r="J601" i="2" a="1"/>
  <c r="J601" i="2" s="1"/>
  <c r="J602" i="2" a="1"/>
  <c r="J602" i="2" s="1"/>
  <c r="J603" i="2" a="1"/>
  <c r="J603" i="2" s="1"/>
  <c r="J604" i="2" a="1"/>
  <c r="J604" i="2" s="1"/>
  <c r="J605" i="2" a="1"/>
  <c r="J605" i="2" s="1"/>
  <c r="J606" i="2" a="1"/>
  <c r="J606" i="2" s="1"/>
  <c r="J607" i="2" a="1"/>
  <c r="J607" i="2" s="1"/>
  <c r="J608" i="2" a="1"/>
  <c r="J608" i="2" s="1"/>
  <c r="J609" i="2" a="1"/>
  <c r="J609" i="2" s="1"/>
  <c r="J610" i="2" a="1"/>
  <c r="J610" i="2" s="1"/>
  <c r="J611" i="2" a="1"/>
  <c r="J611" i="2" s="1"/>
  <c r="J612" i="2" a="1"/>
  <c r="J612" i="2" s="1"/>
  <c r="J613" i="2" a="1"/>
  <c r="J613" i="2" s="1"/>
  <c r="J614" i="2" a="1"/>
  <c r="J614" i="2" s="1"/>
  <c r="J615" i="2" a="1"/>
  <c r="J615" i="2" s="1"/>
  <c r="J616" i="2" a="1"/>
  <c r="J616" i="2" s="1"/>
  <c r="J617" i="2" a="1"/>
  <c r="J617" i="2" s="1"/>
  <c r="J618" i="2" a="1"/>
  <c r="J618" i="2" s="1"/>
  <c r="J619" i="2" a="1"/>
  <c r="J619" i="2" s="1"/>
  <c r="J620" i="2" a="1"/>
  <c r="J620" i="2" s="1"/>
  <c r="J621" i="2" a="1"/>
  <c r="J621" i="2" s="1"/>
  <c r="J622" i="2" a="1"/>
  <c r="J622" i="2" s="1"/>
  <c r="J623" i="2" a="1"/>
  <c r="J623" i="2" s="1"/>
  <c r="J624" i="2" a="1"/>
  <c r="J624" i="2" s="1"/>
  <c r="J625" i="2" a="1"/>
  <c r="J625" i="2" s="1"/>
  <c r="J626" i="2" a="1"/>
  <c r="J626" i="2" s="1"/>
  <c r="J627" i="2" a="1"/>
  <c r="J627" i="2" s="1"/>
  <c r="J628" i="2" a="1"/>
  <c r="J628" i="2" s="1"/>
  <c r="J629" i="2" a="1"/>
  <c r="J629" i="2" s="1"/>
  <c r="J630" i="2" a="1"/>
  <c r="J630" i="2" s="1"/>
  <c r="J631" i="2" a="1"/>
  <c r="J631" i="2" s="1"/>
  <c r="J632" i="2" a="1"/>
  <c r="J632" i="2" s="1"/>
  <c r="J633" i="2" a="1"/>
  <c r="J633" i="2" s="1"/>
  <c r="J634" i="2" a="1"/>
  <c r="J634" i="2" s="1"/>
  <c r="J635" i="2" a="1"/>
  <c r="J635" i="2" s="1"/>
  <c r="J636" i="2" a="1"/>
  <c r="J636" i="2" s="1"/>
  <c r="J637" i="2" a="1"/>
  <c r="J637" i="2" s="1"/>
  <c r="J638" i="2" a="1"/>
  <c r="J638" i="2" s="1"/>
  <c r="J639" i="2" a="1"/>
  <c r="J639" i="2" s="1"/>
  <c r="J640" i="2" a="1"/>
  <c r="J640" i="2" s="1"/>
  <c r="J641" i="2" a="1"/>
  <c r="J641" i="2" s="1"/>
  <c r="J642" i="2" a="1"/>
  <c r="J642" i="2" s="1"/>
  <c r="J643" i="2" a="1"/>
  <c r="J643" i="2" s="1"/>
  <c r="J644" i="2" a="1"/>
  <c r="J644" i="2" s="1"/>
  <c r="J645" i="2" a="1"/>
  <c r="J645" i="2" s="1"/>
  <c r="J646" i="2" a="1"/>
  <c r="J646" i="2" s="1"/>
  <c r="J647" i="2" a="1"/>
  <c r="J647" i="2" s="1"/>
  <c r="J648" i="2" a="1"/>
  <c r="J648" i="2" s="1"/>
  <c r="J649" i="2" a="1"/>
  <c r="J649" i="2" s="1"/>
  <c r="J650" i="2" a="1"/>
  <c r="J650" i="2" s="1"/>
  <c r="J651" i="2" a="1"/>
  <c r="J651" i="2" s="1"/>
  <c r="J652" i="2" a="1"/>
  <c r="J652" i="2" s="1"/>
  <c r="J653" i="2" a="1"/>
  <c r="J653" i="2" s="1"/>
  <c r="J654" i="2" a="1"/>
  <c r="J654" i="2" s="1"/>
  <c r="J655" i="2" a="1"/>
  <c r="J655" i="2" s="1"/>
  <c r="J656" i="2" a="1"/>
  <c r="J656" i="2" s="1"/>
  <c r="J657" i="2" a="1"/>
  <c r="J657" i="2" s="1"/>
  <c r="J658" i="2" a="1"/>
  <c r="J658" i="2" s="1"/>
  <c r="J659" i="2" a="1"/>
  <c r="J659" i="2" s="1"/>
  <c r="J660" i="2" a="1"/>
  <c r="J660" i="2" s="1"/>
  <c r="J661" i="2" a="1"/>
  <c r="J661" i="2" s="1"/>
  <c r="J662" i="2" a="1"/>
  <c r="J662" i="2" s="1"/>
  <c r="J663" i="2" a="1"/>
  <c r="J663" i="2" s="1"/>
  <c r="J664" i="2" a="1"/>
  <c r="J664" i="2" s="1"/>
  <c r="J665" i="2" a="1"/>
  <c r="J665" i="2" s="1"/>
  <c r="J666" i="2" a="1"/>
  <c r="J666" i="2" s="1"/>
  <c r="J667" i="2" a="1"/>
  <c r="J667" i="2" s="1"/>
  <c r="J668" i="2" a="1"/>
  <c r="J668" i="2" s="1"/>
  <c r="J669" i="2" a="1"/>
  <c r="J669" i="2" s="1"/>
  <c r="J670" i="2" a="1"/>
  <c r="J670" i="2" s="1"/>
  <c r="J671" i="2" a="1"/>
  <c r="J671" i="2" s="1"/>
  <c r="J672" i="2" a="1"/>
  <c r="J672" i="2" s="1"/>
  <c r="J673" i="2" a="1"/>
  <c r="J673" i="2" s="1"/>
  <c r="J674" i="2" a="1"/>
  <c r="J674" i="2" s="1"/>
  <c r="J675" i="2" a="1"/>
  <c r="J675" i="2" s="1"/>
  <c r="J676" i="2" a="1"/>
  <c r="J676" i="2" s="1"/>
  <c r="J677" i="2" a="1"/>
  <c r="J677" i="2" s="1"/>
  <c r="J678" i="2" a="1"/>
  <c r="J678" i="2" s="1"/>
  <c r="J679" i="2" a="1"/>
  <c r="J679" i="2" s="1"/>
  <c r="J680" i="2" a="1"/>
  <c r="J680" i="2" s="1"/>
  <c r="J681" i="2" a="1"/>
  <c r="J681" i="2" s="1"/>
  <c r="J682" i="2" a="1"/>
  <c r="J682" i="2" s="1"/>
  <c r="J683" i="2" a="1"/>
  <c r="J683" i="2" s="1"/>
  <c r="J684" i="2" a="1"/>
  <c r="J684" i="2" s="1"/>
  <c r="J685" i="2" a="1"/>
  <c r="J685" i="2" s="1"/>
  <c r="J686" i="2" a="1"/>
  <c r="J686" i="2" s="1"/>
  <c r="J687" i="2" a="1"/>
  <c r="J687" i="2" s="1"/>
  <c r="J688" i="2" a="1"/>
  <c r="J688" i="2" s="1"/>
  <c r="J689" i="2" a="1"/>
  <c r="J689" i="2" s="1"/>
  <c r="J690" i="2" a="1"/>
  <c r="J690" i="2" s="1"/>
  <c r="J691" i="2" a="1"/>
  <c r="J691" i="2" s="1"/>
  <c r="J692" i="2" a="1"/>
  <c r="J692" i="2" s="1"/>
  <c r="J693" i="2" a="1"/>
  <c r="J693" i="2" s="1"/>
  <c r="J694" i="2" a="1"/>
  <c r="J694" i="2" s="1"/>
  <c r="J695" i="2" a="1"/>
  <c r="J695" i="2" s="1"/>
  <c r="J696" i="2" a="1"/>
  <c r="J696" i="2" s="1"/>
  <c r="J697" i="2" a="1"/>
  <c r="J697" i="2" s="1"/>
  <c r="J698" i="2" a="1"/>
  <c r="J698" i="2" s="1"/>
  <c r="J699" i="2" a="1"/>
  <c r="J699" i="2" s="1"/>
  <c r="J700" i="2" a="1"/>
  <c r="J700" i="2" s="1"/>
  <c r="J701" i="2" a="1"/>
  <c r="J701" i="2" s="1"/>
  <c r="J702" i="2" a="1"/>
  <c r="J702" i="2" s="1"/>
  <c r="J703" i="2" a="1"/>
  <c r="J703" i="2" s="1"/>
  <c r="J704" i="2" a="1"/>
  <c r="J704" i="2" s="1"/>
  <c r="J705" i="2" a="1"/>
  <c r="J705" i="2" s="1"/>
  <c r="J706" i="2" a="1"/>
  <c r="J706" i="2" s="1"/>
  <c r="J707" i="2" a="1"/>
  <c r="J707" i="2" s="1"/>
  <c r="J708" i="2" a="1"/>
  <c r="J708" i="2" s="1"/>
  <c r="J709" i="2" a="1"/>
  <c r="J709" i="2" s="1"/>
  <c r="J710" i="2" a="1"/>
  <c r="J710" i="2" s="1"/>
  <c r="J711" i="2" a="1"/>
  <c r="J711" i="2" s="1"/>
  <c r="J712" i="2" a="1"/>
  <c r="J712" i="2" s="1"/>
  <c r="J713" i="2" a="1"/>
  <c r="J713" i="2" s="1"/>
  <c r="J714" i="2" a="1"/>
  <c r="J714" i="2" s="1"/>
  <c r="J715" i="2" a="1"/>
  <c r="J715" i="2" s="1"/>
  <c r="J716" i="2" a="1"/>
  <c r="J716" i="2" s="1"/>
  <c r="J717" i="2" a="1"/>
  <c r="J717" i="2" s="1"/>
  <c r="J718" i="2" a="1"/>
  <c r="J718" i="2" s="1"/>
  <c r="J719" i="2" a="1"/>
  <c r="J719" i="2" s="1"/>
  <c r="J720" i="2" a="1"/>
  <c r="J720" i="2" s="1"/>
  <c r="J721" i="2" a="1"/>
  <c r="J721" i="2" s="1"/>
  <c r="J722" i="2" a="1"/>
  <c r="J722" i="2" s="1"/>
  <c r="J723" i="2" a="1"/>
  <c r="J723" i="2" s="1"/>
  <c r="J724" i="2" a="1"/>
  <c r="J724" i="2" s="1"/>
  <c r="J725" i="2" a="1"/>
  <c r="J725" i="2" s="1"/>
  <c r="J726" i="2" a="1"/>
  <c r="J726" i="2" s="1"/>
  <c r="J727" i="2" a="1"/>
  <c r="J727" i="2" s="1"/>
  <c r="J728" i="2" a="1"/>
  <c r="J728" i="2" s="1"/>
  <c r="J729" i="2" a="1"/>
  <c r="J729" i="2" s="1"/>
  <c r="J730" i="2" a="1"/>
  <c r="J730" i="2" s="1"/>
  <c r="J731" i="2" a="1"/>
  <c r="J731" i="2" s="1"/>
  <c r="J732" i="2" a="1"/>
  <c r="J732" i="2" s="1"/>
  <c r="J733" i="2" a="1"/>
  <c r="J733" i="2" s="1"/>
  <c r="J734" i="2" a="1"/>
  <c r="J734" i="2" s="1"/>
  <c r="J735" i="2" a="1"/>
  <c r="J735" i="2" s="1"/>
  <c r="J736" i="2" a="1"/>
  <c r="J736" i="2" s="1"/>
  <c r="J737" i="2" a="1"/>
  <c r="J737" i="2" s="1"/>
  <c r="J738" i="2" a="1"/>
  <c r="J738" i="2" s="1"/>
  <c r="J739" i="2" a="1"/>
  <c r="J739" i="2" s="1"/>
  <c r="J740" i="2" a="1"/>
  <c r="J740" i="2" s="1"/>
  <c r="J741" i="2" a="1"/>
  <c r="J741" i="2" s="1"/>
  <c r="J742" i="2" a="1"/>
  <c r="J742" i="2" s="1"/>
  <c r="J743" i="2" a="1"/>
  <c r="J743" i="2" s="1"/>
  <c r="J744" i="2" a="1"/>
  <c r="J744" i="2" s="1"/>
  <c r="J745" i="2" a="1"/>
  <c r="J745" i="2" s="1"/>
  <c r="J746" i="2" a="1"/>
  <c r="J746" i="2" s="1"/>
  <c r="J747" i="2" a="1"/>
  <c r="J747" i="2" s="1"/>
  <c r="J748" i="2" a="1"/>
  <c r="J748" i="2" s="1"/>
  <c r="J749" i="2" a="1"/>
  <c r="J749" i="2" s="1"/>
  <c r="J750" i="2" a="1"/>
  <c r="J750" i="2" s="1"/>
  <c r="J751" i="2" a="1"/>
  <c r="J751" i="2" s="1"/>
  <c r="J752" i="2" a="1"/>
  <c r="J752" i="2" s="1"/>
  <c r="J753" i="2" a="1"/>
  <c r="J753" i="2" s="1"/>
  <c r="J754" i="2" a="1"/>
  <c r="J754" i="2" s="1"/>
  <c r="J755" i="2" a="1"/>
  <c r="J755" i="2" s="1"/>
  <c r="J756" i="2" a="1"/>
  <c r="J756" i="2" s="1"/>
  <c r="J757" i="2" a="1"/>
  <c r="J757" i="2" s="1"/>
  <c r="J758" i="2" a="1"/>
  <c r="J758" i="2" s="1"/>
  <c r="J759" i="2" a="1"/>
  <c r="J759" i="2" s="1"/>
  <c r="J760" i="2" a="1"/>
  <c r="J760" i="2" s="1"/>
  <c r="J761" i="2" a="1"/>
  <c r="J761" i="2" s="1"/>
  <c r="J762" i="2" a="1"/>
  <c r="J762" i="2" s="1"/>
  <c r="J763" i="2" a="1"/>
  <c r="J763" i="2" s="1"/>
  <c r="J764" i="2" a="1"/>
  <c r="J764" i="2" s="1"/>
  <c r="J765" i="2" a="1"/>
  <c r="J765" i="2" s="1"/>
  <c r="J766" i="2" a="1"/>
  <c r="J766" i="2" s="1"/>
  <c r="J767" i="2" a="1"/>
  <c r="J767" i="2" s="1"/>
  <c r="J768" i="2" a="1"/>
  <c r="J768" i="2" s="1"/>
  <c r="J769" i="2" a="1"/>
  <c r="J769" i="2" s="1"/>
  <c r="J770" i="2" a="1"/>
  <c r="J770" i="2" s="1"/>
  <c r="J771" i="2" a="1"/>
  <c r="J771" i="2" s="1"/>
  <c r="J772" i="2" a="1"/>
  <c r="J772" i="2" s="1"/>
  <c r="J773" i="2" a="1"/>
  <c r="J773" i="2" s="1"/>
  <c r="J774" i="2" a="1"/>
  <c r="J774" i="2" s="1"/>
  <c r="J775" i="2" a="1"/>
  <c r="J775" i="2" s="1"/>
  <c r="J776" i="2" a="1"/>
  <c r="J776" i="2" s="1"/>
  <c r="J777" i="2" a="1"/>
  <c r="J777" i="2" s="1"/>
  <c r="J778" i="2" a="1"/>
  <c r="J778" i="2" s="1"/>
  <c r="J779" i="2" a="1"/>
  <c r="J779" i="2" s="1"/>
  <c r="J780" i="2" a="1"/>
  <c r="J780" i="2" s="1"/>
  <c r="J781" i="2" a="1"/>
  <c r="J781" i="2" s="1"/>
  <c r="J782" i="2" a="1"/>
  <c r="J782" i="2" s="1"/>
  <c r="J783" i="2" a="1"/>
  <c r="J783" i="2" s="1"/>
  <c r="J784" i="2" a="1"/>
  <c r="J784" i="2" s="1"/>
  <c r="J785" i="2" a="1"/>
  <c r="J785" i="2" s="1"/>
  <c r="J786" i="2" a="1"/>
  <c r="J786" i="2" s="1"/>
  <c r="J787" i="2" a="1"/>
  <c r="J787" i="2" s="1"/>
  <c r="J788" i="2" a="1"/>
  <c r="J788" i="2" s="1"/>
  <c r="J789" i="2" a="1"/>
  <c r="J789" i="2" s="1"/>
  <c r="J790" i="2" a="1"/>
  <c r="J790" i="2" s="1"/>
  <c r="J791" i="2" a="1"/>
  <c r="J791" i="2" s="1"/>
  <c r="J792" i="2" a="1"/>
  <c r="J792" i="2" s="1"/>
  <c r="J793" i="2" a="1"/>
  <c r="J793" i="2" s="1"/>
  <c r="J794" i="2" a="1"/>
  <c r="J794" i="2" s="1"/>
  <c r="J795" i="2" a="1"/>
  <c r="J795" i="2" s="1"/>
  <c r="J796" i="2" a="1"/>
  <c r="J796" i="2" s="1"/>
  <c r="J797" i="2" a="1"/>
  <c r="J797" i="2" s="1"/>
  <c r="J798" i="2" a="1"/>
  <c r="J798" i="2" s="1"/>
  <c r="J799" i="2" a="1"/>
  <c r="J799" i="2" s="1"/>
  <c r="J800" i="2" a="1"/>
  <c r="J800" i="2" s="1"/>
  <c r="J801" i="2" a="1"/>
  <c r="J801" i="2" s="1"/>
  <c r="J802" i="2" a="1"/>
  <c r="J802" i="2" s="1"/>
  <c r="J803" i="2" a="1"/>
  <c r="J803" i="2" s="1"/>
  <c r="J804" i="2" a="1"/>
  <c r="J804" i="2" s="1"/>
  <c r="J805" i="2" a="1"/>
  <c r="J805" i="2" s="1"/>
  <c r="J806" i="2" a="1"/>
  <c r="J806" i="2" s="1"/>
  <c r="J807" i="2" a="1"/>
  <c r="J807" i="2" s="1"/>
  <c r="J808" i="2" a="1"/>
  <c r="J808" i="2" s="1"/>
  <c r="J809" i="2" a="1"/>
  <c r="J809" i="2" s="1"/>
  <c r="J810" i="2" a="1"/>
  <c r="J810" i="2" s="1"/>
  <c r="J811" i="2" a="1"/>
  <c r="J811" i="2" s="1"/>
  <c r="J812" i="2" a="1"/>
  <c r="J812" i="2" s="1"/>
  <c r="J813" i="2" a="1"/>
  <c r="J813" i="2" s="1"/>
  <c r="J814" i="2" a="1"/>
  <c r="J814" i="2" s="1"/>
  <c r="J815" i="2" a="1"/>
  <c r="J815" i="2" s="1"/>
  <c r="J816" i="2" a="1"/>
  <c r="J816" i="2" s="1"/>
  <c r="J817" i="2" a="1"/>
  <c r="J817" i="2" s="1"/>
  <c r="J818" i="2" a="1"/>
  <c r="J818" i="2" s="1"/>
  <c r="J819" i="2" a="1"/>
  <c r="J819" i="2" s="1"/>
  <c r="J820" i="2" a="1"/>
  <c r="J820" i="2" s="1"/>
  <c r="J821" i="2" a="1"/>
  <c r="J821" i="2" s="1"/>
  <c r="J822" i="2" a="1"/>
  <c r="J822" i="2" s="1"/>
  <c r="J823" i="2" a="1"/>
  <c r="J823" i="2" s="1"/>
  <c r="J824" i="2" a="1"/>
  <c r="J824" i="2" s="1"/>
  <c r="J825" i="2" a="1"/>
  <c r="J825" i="2" s="1"/>
  <c r="J826" i="2" a="1"/>
  <c r="J826" i="2" s="1"/>
  <c r="J827" i="2" a="1"/>
  <c r="J827" i="2" s="1"/>
  <c r="J828" i="2" a="1"/>
  <c r="J828" i="2" s="1"/>
  <c r="J829" i="2" a="1"/>
  <c r="J829" i="2" s="1"/>
  <c r="J830" i="2" a="1"/>
  <c r="J830" i="2" s="1"/>
  <c r="J831" i="2" a="1"/>
  <c r="J831" i="2" s="1"/>
  <c r="J832" i="2" a="1"/>
  <c r="J832" i="2" s="1"/>
  <c r="J833" i="2" a="1"/>
  <c r="J833" i="2" s="1"/>
  <c r="J834" i="2" a="1"/>
  <c r="J834" i="2" s="1"/>
  <c r="J835" i="2" a="1"/>
  <c r="J835" i="2" s="1"/>
  <c r="J836" i="2" a="1"/>
  <c r="J836" i="2" s="1"/>
  <c r="J837" i="2" a="1"/>
  <c r="J837" i="2" s="1"/>
  <c r="J838" i="2" a="1"/>
  <c r="J838" i="2" s="1"/>
  <c r="J839" i="2" a="1"/>
  <c r="J839" i="2" s="1"/>
  <c r="J840" i="2" a="1"/>
  <c r="J840" i="2" s="1"/>
  <c r="J841" i="2" a="1"/>
  <c r="J841" i="2" s="1"/>
  <c r="J842" i="2" a="1"/>
  <c r="J842" i="2" s="1"/>
  <c r="J843" i="2" a="1"/>
  <c r="J843" i="2" s="1"/>
  <c r="J844" i="2" a="1"/>
  <c r="J844" i="2" s="1"/>
  <c r="J845" i="2" a="1"/>
  <c r="J845" i="2" s="1"/>
  <c r="J846" i="2" a="1"/>
  <c r="J846" i="2" s="1"/>
  <c r="J847" i="2" a="1"/>
  <c r="J847" i="2" s="1"/>
  <c r="J848" i="2" a="1"/>
  <c r="J848" i="2" s="1"/>
  <c r="J849" i="2" a="1"/>
  <c r="J849" i="2" s="1"/>
  <c r="J850" i="2" a="1"/>
  <c r="J850" i="2" s="1"/>
  <c r="J851" i="2" a="1"/>
  <c r="J851" i="2" s="1"/>
  <c r="J852" i="2" a="1"/>
  <c r="J852" i="2" s="1"/>
  <c r="J853" i="2" a="1"/>
  <c r="J853" i="2" s="1"/>
  <c r="J854" i="2" a="1"/>
  <c r="J854" i="2" s="1"/>
  <c r="J855" i="2" a="1"/>
  <c r="J855" i="2" s="1"/>
  <c r="J856" i="2" a="1"/>
  <c r="J856" i="2" s="1"/>
  <c r="J857" i="2" a="1"/>
  <c r="J857" i="2" s="1"/>
  <c r="J858" i="2" a="1"/>
  <c r="J858" i="2" s="1"/>
  <c r="J859" i="2" a="1"/>
  <c r="J859" i="2" s="1"/>
  <c r="J860" i="2" a="1"/>
  <c r="J860" i="2" s="1"/>
  <c r="J861" i="2" a="1"/>
  <c r="J861" i="2" s="1"/>
  <c r="J862" i="2" a="1"/>
  <c r="J862" i="2" s="1"/>
  <c r="J863" i="2" a="1"/>
  <c r="J863" i="2" s="1"/>
  <c r="J864" i="2" a="1"/>
  <c r="J864" i="2" s="1"/>
  <c r="J865" i="2" a="1"/>
  <c r="J865" i="2" s="1"/>
  <c r="J866" i="2" a="1"/>
  <c r="J866" i="2" s="1"/>
  <c r="J867" i="2" a="1"/>
  <c r="J867" i="2" s="1"/>
  <c r="J868" i="2" a="1"/>
  <c r="J868" i="2" s="1"/>
  <c r="J869" i="2" a="1"/>
  <c r="J869" i="2" s="1"/>
  <c r="J870" i="2" a="1"/>
  <c r="J870" i="2" s="1"/>
  <c r="J871" i="2" a="1"/>
  <c r="J871" i="2" s="1"/>
  <c r="J872" i="2" a="1"/>
  <c r="J872" i="2" s="1"/>
  <c r="J873" i="2" a="1"/>
  <c r="J873" i="2" s="1"/>
  <c r="J874" i="2" a="1"/>
  <c r="J874" i="2" s="1"/>
  <c r="J875" i="2" a="1"/>
  <c r="J875" i="2" s="1"/>
  <c r="J876" i="2" a="1"/>
  <c r="J876" i="2" s="1"/>
  <c r="J877" i="2" a="1"/>
  <c r="J877" i="2" s="1"/>
  <c r="J878" i="2" a="1"/>
  <c r="J878" i="2" s="1"/>
  <c r="J879" i="2" a="1"/>
  <c r="J879" i="2" s="1"/>
  <c r="J880" i="2" a="1"/>
  <c r="J880" i="2" s="1"/>
  <c r="J881" i="2" a="1"/>
  <c r="J881" i="2" s="1"/>
  <c r="J882" i="2" a="1"/>
  <c r="J882" i="2" s="1"/>
  <c r="J883" i="2" a="1"/>
  <c r="J883" i="2" s="1"/>
  <c r="J884" i="2" a="1"/>
  <c r="J884" i="2" s="1"/>
  <c r="J885" i="2" a="1"/>
  <c r="J885" i="2" s="1"/>
  <c r="J886" i="2" a="1"/>
  <c r="J886" i="2" s="1"/>
  <c r="J887" i="2" a="1"/>
  <c r="J887" i="2" s="1"/>
  <c r="J888" i="2" a="1"/>
  <c r="J888" i="2" s="1"/>
  <c r="J889" i="2" a="1"/>
  <c r="J889" i="2" s="1"/>
  <c r="J890" i="2" a="1"/>
  <c r="J890" i="2" s="1"/>
  <c r="J891" i="2" a="1"/>
  <c r="J891" i="2" s="1"/>
  <c r="J892" i="2" a="1"/>
  <c r="J892" i="2" s="1"/>
  <c r="J893" i="2" a="1"/>
  <c r="J893" i="2" s="1"/>
  <c r="J894" i="2" a="1"/>
  <c r="J894" i="2" s="1"/>
  <c r="J895" i="2" a="1"/>
  <c r="J895" i="2" s="1"/>
  <c r="J896" i="2" a="1"/>
  <c r="J896" i="2" s="1"/>
  <c r="J897" i="2" a="1"/>
  <c r="J897" i="2" s="1"/>
  <c r="J898" i="2" a="1"/>
  <c r="J898" i="2" s="1"/>
  <c r="J899" i="2" a="1"/>
  <c r="J899" i="2" s="1"/>
  <c r="J900" i="2" a="1"/>
  <c r="J900" i="2" s="1"/>
  <c r="J901" i="2" a="1"/>
  <c r="J901" i="2" s="1"/>
  <c r="J902" i="2" a="1"/>
  <c r="J902" i="2" s="1"/>
  <c r="J903" i="2" a="1"/>
  <c r="J903" i="2" s="1"/>
  <c r="J904" i="2" a="1"/>
  <c r="J904" i="2" s="1"/>
  <c r="J905" i="2" a="1"/>
  <c r="J905" i="2" s="1"/>
  <c r="J906" i="2" a="1"/>
  <c r="J906" i="2" s="1"/>
  <c r="J907" i="2" a="1"/>
  <c r="J907" i="2" s="1"/>
  <c r="J908" i="2" a="1"/>
  <c r="J908" i="2" s="1"/>
  <c r="J909" i="2" a="1"/>
  <c r="J909" i="2" s="1"/>
  <c r="J910" i="2" a="1"/>
  <c r="J910" i="2" s="1"/>
  <c r="J911" i="2" a="1"/>
  <c r="J911" i="2" s="1"/>
  <c r="J912" i="2" a="1"/>
  <c r="J912" i="2" s="1"/>
  <c r="J913" i="2" a="1"/>
  <c r="J913" i="2" s="1"/>
  <c r="J914" i="2" a="1"/>
  <c r="J914" i="2" s="1"/>
  <c r="J915" i="2" a="1"/>
  <c r="J915" i="2" s="1"/>
  <c r="J916" i="2" a="1"/>
  <c r="J916" i="2" s="1"/>
  <c r="J917" i="2" a="1"/>
  <c r="J917" i="2" s="1"/>
  <c r="J918" i="2" a="1"/>
  <c r="J918" i="2" s="1"/>
  <c r="J919" i="2" a="1"/>
  <c r="J919" i="2" s="1"/>
  <c r="J920" i="2" a="1"/>
  <c r="J920" i="2" s="1"/>
  <c r="J921" i="2" a="1"/>
  <c r="J921" i="2" s="1"/>
  <c r="J922" i="2" a="1"/>
  <c r="J922" i="2" s="1"/>
  <c r="J923" i="2" a="1"/>
  <c r="J923" i="2" s="1"/>
  <c r="J924" i="2" a="1"/>
  <c r="J924" i="2" s="1"/>
  <c r="J925" i="2" a="1"/>
  <c r="J925" i="2" s="1"/>
  <c r="J926" i="2" a="1"/>
  <c r="J926" i="2" s="1"/>
  <c r="J927" i="2" a="1"/>
  <c r="J927" i="2" s="1"/>
  <c r="J928" i="2" a="1"/>
  <c r="J928" i="2" s="1"/>
  <c r="J929" i="2" a="1"/>
  <c r="J929" i="2" s="1"/>
  <c r="J930" i="2" a="1"/>
  <c r="J930" i="2" s="1"/>
  <c r="J931" i="2" a="1"/>
  <c r="J931" i="2" s="1"/>
  <c r="J932" i="2" a="1"/>
  <c r="J932" i="2" s="1"/>
  <c r="J933" i="2" a="1"/>
  <c r="J933" i="2" s="1"/>
  <c r="J934" i="2" a="1"/>
  <c r="J934" i="2" s="1"/>
  <c r="J935" i="2" a="1"/>
  <c r="J935" i="2" s="1"/>
  <c r="J936" i="2" a="1"/>
  <c r="J936" i="2" s="1"/>
  <c r="J937" i="2" a="1"/>
  <c r="J937" i="2" s="1"/>
  <c r="J938" i="2" a="1"/>
  <c r="J938" i="2" s="1"/>
  <c r="J939" i="2" a="1"/>
  <c r="J939" i="2" s="1"/>
  <c r="J940" i="2" a="1"/>
  <c r="J940" i="2" s="1"/>
  <c r="J941" i="2" a="1"/>
  <c r="J941" i="2" s="1"/>
  <c r="J942" i="2" a="1"/>
  <c r="J942" i="2" s="1"/>
  <c r="J943" i="2" a="1"/>
  <c r="J943" i="2" s="1"/>
  <c r="J944" i="2" a="1"/>
  <c r="J944" i="2" s="1"/>
  <c r="J945" i="2" a="1"/>
  <c r="J945" i="2" s="1"/>
  <c r="J946" i="2" a="1"/>
  <c r="J946" i="2" s="1"/>
  <c r="J947" i="2" a="1"/>
  <c r="J947" i="2" s="1"/>
  <c r="J948" i="2" a="1"/>
  <c r="J948" i="2" s="1"/>
  <c r="J949" i="2" a="1"/>
  <c r="J949" i="2" s="1"/>
  <c r="J950" i="2" a="1"/>
  <c r="J950" i="2" s="1"/>
  <c r="J951" i="2" a="1"/>
  <c r="J951" i="2" s="1"/>
  <c r="J952" i="2" a="1"/>
  <c r="J952" i="2" s="1"/>
  <c r="J953" i="2" a="1"/>
  <c r="J953" i="2" s="1"/>
  <c r="J954" i="2" a="1"/>
  <c r="J954" i="2" s="1"/>
  <c r="J955" i="2" a="1"/>
  <c r="J955" i="2" s="1"/>
  <c r="J956" i="2" a="1"/>
  <c r="J956" i="2" s="1"/>
  <c r="J957" i="2" a="1"/>
  <c r="J957" i="2" s="1"/>
  <c r="J958" i="2" a="1"/>
  <c r="J958" i="2" s="1"/>
  <c r="J959" i="2" a="1"/>
  <c r="J959" i="2" s="1"/>
  <c r="J960" i="2" a="1"/>
  <c r="J960" i="2" s="1"/>
  <c r="J961" i="2" a="1"/>
  <c r="J961" i="2" s="1"/>
  <c r="J962" i="2" a="1"/>
  <c r="J962" i="2" s="1"/>
  <c r="J963" i="2" a="1"/>
  <c r="J963" i="2" s="1"/>
  <c r="J964" i="2" a="1"/>
  <c r="J964" i="2" s="1"/>
  <c r="J965" i="2" a="1"/>
  <c r="J965" i="2" s="1"/>
  <c r="J966" i="2" a="1"/>
  <c r="J966" i="2" s="1"/>
  <c r="J967" i="2" a="1"/>
  <c r="J967" i="2" s="1"/>
  <c r="J968" i="2" a="1"/>
  <c r="J968" i="2" s="1"/>
  <c r="J969" i="2" a="1"/>
  <c r="J969" i="2" s="1"/>
  <c r="J970" i="2" a="1"/>
  <c r="J970" i="2" s="1"/>
  <c r="J971" i="2" a="1"/>
  <c r="J971" i="2" s="1"/>
  <c r="J972" i="2" a="1"/>
  <c r="J972" i="2" s="1"/>
  <c r="J973" i="2" a="1"/>
  <c r="J973" i="2" s="1"/>
  <c r="J974" i="2" a="1"/>
  <c r="J974" i="2" s="1"/>
  <c r="J975" i="2" a="1"/>
  <c r="J975" i="2" s="1"/>
  <c r="J976" i="2" a="1"/>
  <c r="J976" i="2" s="1"/>
  <c r="J977" i="2" a="1"/>
  <c r="J977" i="2" s="1"/>
  <c r="J978" i="2" a="1"/>
  <c r="J978" i="2" s="1"/>
  <c r="J979" i="2" a="1"/>
  <c r="J979" i="2" s="1"/>
  <c r="J980" i="2" a="1"/>
  <c r="J980" i="2" s="1"/>
  <c r="J981" i="2" a="1"/>
  <c r="J981" i="2" s="1"/>
  <c r="J982" i="2" a="1"/>
  <c r="J982" i="2" s="1"/>
  <c r="J983" i="2" a="1"/>
  <c r="J983" i="2" s="1"/>
  <c r="J984" i="2" a="1"/>
  <c r="J984" i="2" s="1"/>
  <c r="J985" i="2" a="1"/>
  <c r="J985" i="2" s="1"/>
  <c r="J986" i="2" a="1"/>
  <c r="J986" i="2" s="1"/>
  <c r="J987" i="2" a="1"/>
  <c r="J987" i="2" s="1"/>
  <c r="J988" i="2" a="1"/>
  <c r="J988" i="2" s="1"/>
  <c r="J989" i="2" a="1"/>
  <c r="J989" i="2" s="1"/>
  <c r="J990" i="2" a="1"/>
  <c r="J990" i="2" s="1"/>
  <c r="J991" i="2" a="1"/>
  <c r="J991" i="2" s="1"/>
  <c r="J992" i="2" a="1"/>
  <c r="J992" i="2" s="1"/>
  <c r="J993" i="2" a="1"/>
  <c r="J993" i="2" s="1"/>
  <c r="J994" i="2" a="1"/>
  <c r="J994" i="2" s="1"/>
  <c r="J995" i="2" a="1"/>
  <c r="J995" i="2" s="1"/>
  <c r="J996" i="2" a="1"/>
  <c r="J996" i="2" s="1"/>
  <c r="J997" i="2" a="1"/>
  <c r="J997" i="2" s="1"/>
  <c r="J998" i="2" a="1"/>
  <c r="J998" i="2" s="1"/>
  <c r="J999" i="2" a="1"/>
  <c r="J999" i="2" s="1"/>
  <c r="J1000" i="2" a="1"/>
  <c r="J1000" i="2" s="1"/>
  <c r="J1001" i="2" a="1"/>
  <c r="J1001" i="2" s="1"/>
  <c r="J1002" i="2" a="1"/>
  <c r="J1002" i="2" s="1"/>
  <c r="J1003" i="2" a="1"/>
  <c r="J1003" i="2" s="1"/>
  <c r="J1004" i="2" a="1"/>
  <c r="J1004" i="2" s="1"/>
  <c r="J1005" i="2" a="1"/>
  <c r="J1005" i="2" s="1"/>
  <c r="J1006" i="2" a="1"/>
  <c r="J1006" i="2" s="1"/>
  <c r="J1007" i="2" a="1"/>
  <c r="J1007" i="2" s="1"/>
  <c r="J1008" i="2" a="1"/>
  <c r="J1008" i="2" s="1"/>
  <c r="J1009" i="2" a="1"/>
  <c r="J1009" i="2" s="1"/>
  <c r="J1010" i="2" a="1"/>
  <c r="J1010" i="2" s="1"/>
  <c r="J1011" i="2" a="1"/>
  <c r="J1011" i="2" s="1"/>
  <c r="J1012" i="2" a="1"/>
  <c r="J1012" i="2" s="1"/>
  <c r="J1013" i="2" a="1"/>
  <c r="J1013" i="2" s="1"/>
  <c r="J1014" i="2" a="1"/>
  <c r="J1014" i="2" s="1"/>
  <c r="J1015" i="2" a="1"/>
  <c r="J1015" i="2" s="1"/>
  <c r="J1016" i="2" a="1"/>
  <c r="J1016" i="2" s="1"/>
  <c r="J1017" i="2" a="1"/>
  <c r="J1017" i="2" s="1"/>
  <c r="J1018" i="2" a="1"/>
  <c r="J1018" i="2" s="1"/>
  <c r="J1019" i="2" a="1"/>
  <c r="J1019" i="2" s="1"/>
  <c r="J1020" i="2" a="1"/>
  <c r="J1020" i="2" s="1"/>
  <c r="J1021" i="2" a="1"/>
  <c r="J1021" i="2" s="1"/>
  <c r="J1022" i="2" a="1"/>
  <c r="J1022" i="2" s="1"/>
  <c r="J1023" i="2" a="1"/>
  <c r="J1023" i="2" s="1"/>
  <c r="J1024" i="2" a="1"/>
  <c r="J1024" i="2" s="1"/>
  <c r="J1025" i="2" a="1"/>
  <c r="J1025" i="2" s="1"/>
  <c r="J1026" i="2" a="1"/>
  <c r="J1026" i="2" s="1"/>
  <c r="J1027" i="2" a="1"/>
  <c r="J1027" i="2" s="1"/>
  <c r="J1028" i="2" a="1"/>
  <c r="J1028" i="2" s="1"/>
  <c r="J1029" i="2" a="1"/>
  <c r="J1029" i="2" s="1"/>
  <c r="J1030" i="2" a="1"/>
  <c r="J1030" i="2" s="1"/>
  <c r="J1031" i="2" a="1"/>
  <c r="J1031" i="2" s="1"/>
  <c r="J1032" i="2" a="1"/>
  <c r="J1032" i="2" s="1"/>
  <c r="J1033" i="2" a="1"/>
  <c r="J1033" i="2" s="1"/>
  <c r="J1034" i="2" a="1"/>
  <c r="J1034" i="2" s="1"/>
  <c r="J1035" i="2" a="1"/>
  <c r="J1035" i="2" s="1"/>
  <c r="J1036" i="2" a="1"/>
  <c r="J1036" i="2" s="1"/>
  <c r="J1037" i="2" a="1"/>
  <c r="J1037" i="2" s="1"/>
  <c r="J1038" i="2" a="1"/>
  <c r="J1038" i="2" s="1"/>
  <c r="J1039" i="2" a="1"/>
  <c r="J1039" i="2" s="1"/>
  <c r="J1040" i="2" a="1"/>
  <c r="J1040" i="2" s="1"/>
  <c r="J1041" i="2" a="1"/>
  <c r="J1041" i="2" s="1"/>
  <c r="J1042" i="2" a="1"/>
  <c r="J1042" i="2" s="1"/>
  <c r="J1043" i="2" a="1"/>
  <c r="J1043" i="2" s="1"/>
  <c r="J1044" i="2" a="1"/>
  <c r="J1044" i="2" s="1"/>
  <c r="J1045" i="2" a="1"/>
  <c r="J1045" i="2" s="1"/>
  <c r="J1046" i="2" a="1"/>
  <c r="J1046" i="2" s="1"/>
  <c r="J1047" i="2" a="1"/>
  <c r="J1047" i="2" s="1"/>
  <c r="J1048" i="2" a="1"/>
  <c r="J1048" i="2" s="1"/>
  <c r="J1049" i="2" a="1"/>
  <c r="J1049" i="2" s="1"/>
  <c r="J1050" i="2" a="1"/>
  <c r="J1050" i="2" s="1"/>
  <c r="J1051" i="2" a="1"/>
  <c r="J1051" i="2" s="1"/>
  <c r="J1052" i="2" a="1"/>
  <c r="J1052" i="2" s="1"/>
  <c r="J1053" i="2" a="1"/>
  <c r="J1053" i="2" s="1"/>
  <c r="J1054" i="2" a="1"/>
  <c r="J1054" i="2" s="1"/>
  <c r="J1055" i="2" a="1"/>
  <c r="J1055" i="2" s="1"/>
  <c r="J1056" i="2" a="1"/>
  <c r="J1056" i="2" s="1"/>
  <c r="J1057" i="2" a="1"/>
  <c r="J1057" i="2" s="1"/>
  <c r="J1058" i="2" a="1"/>
  <c r="J1058" i="2" s="1"/>
  <c r="J1059" i="2" a="1"/>
  <c r="J1059" i="2" s="1"/>
  <c r="J1060" i="2" a="1"/>
  <c r="J1060" i="2" s="1"/>
  <c r="J1061" i="2" a="1"/>
  <c r="J1061" i="2" s="1"/>
  <c r="J1062" i="2" a="1"/>
  <c r="J1062" i="2" s="1"/>
  <c r="J1063" i="2" a="1"/>
  <c r="J1063" i="2" s="1"/>
  <c r="J1064" i="2" a="1"/>
  <c r="J1064" i="2" s="1"/>
  <c r="J1065" i="2" a="1"/>
  <c r="J1065" i="2" s="1"/>
  <c r="J1066" i="2" a="1"/>
  <c r="J1066" i="2" s="1"/>
  <c r="J1067" i="2" a="1"/>
  <c r="J1067" i="2" s="1"/>
  <c r="J1068" i="2" a="1"/>
  <c r="J1068" i="2" s="1"/>
  <c r="J1069" i="2" a="1"/>
  <c r="J1069" i="2" s="1"/>
  <c r="J1070" i="2" a="1"/>
  <c r="J1070" i="2" s="1"/>
  <c r="J1071" i="2" a="1"/>
  <c r="J1071" i="2" s="1"/>
  <c r="J1072" i="2" a="1"/>
  <c r="J1072" i="2" s="1"/>
  <c r="J1073" i="2" a="1"/>
  <c r="J1073" i="2" s="1"/>
  <c r="J1074" i="2" a="1"/>
  <c r="J1074" i="2" s="1"/>
  <c r="J1075" i="2" a="1"/>
  <c r="J1075" i="2" s="1"/>
  <c r="J1076" i="2" a="1"/>
  <c r="J1076" i="2" s="1"/>
  <c r="J1077" i="2" a="1"/>
  <c r="J1077" i="2" s="1"/>
  <c r="J1078" i="2" a="1"/>
  <c r="J1078" i="2" s="1"/>
  <c r="J1079" i="2" a="1"/>
  <c r="J1079" i="2" s="1"/>
  <c r="J1080" i="2" a="1"/>
  <c r="J1080" i="2" s="1"/>
  <c r="J1081" i="2" a="1"/>
  <c r="J1081" i="2" s="1"/>
  <c r="J1082" i="2" a="1"/>
  <c r="J1082" i="2" s="1"/>
  <c r="J1083" i="2" a="1"/>
  <c r="J1083" i="2" s="1"/>
  <c r="J1084" i="2" a="1"/>
  <c r="J1084" i="2" s="1"/>
  <c r="J1085" i="2" a="1"/>
  <c r="J1085" i="2" s="1"/>
  <c r="J1086" i="2" a="1"/>
  <c r="J1086" i="2" s="1"/>
  <c r="J1087" i="2" a="1"/>
  <c r="J1087" i="2" s="1"/>
  <c r="J1088" i="2" a="1"/>
  <c r="J1088" i="2" s="1"/>
  <c r="J1089" i="2" a="1"/>
  <c r="J1089" i="2" s="1"/>
  <c r="J1090" i="2" a="1"/>
  <c r="J1090" i="2" s="1"/>
  <c r="J1091" i="2" a="1"/>
  <c r="J1091" i="2" s="1"/>
  <c r="J1092" i="2" a="1"/>
  <c r="J1092" i="2" s="1"/>
  <c r="J1093" i="2" a="1"/>
  <c r="J1093" i="2" s="1"/>
  <c r="J1094" i="2" a="1"/>
  <c r="J1094" i="2" s="1"/>
  <c r="J1095" i="2" a="1"/>
  <c r="J1095" i="2" s="1"/>
  <c r="J1096" i="2" a="1"/>
  <c r="J1096" i="2" s="1"/>
  <c r="J1097" i="2" a="1"/>
  <c r="J1097" i="2" s="1"/>
  <c r="J1098" i="2" a="1"/>
  <c r="J1098" i="2" s="1"/>
  <c r="J1099" i="2" a="1"/>
  <c r="J1099" i="2" s="1"/>
  <c r="J1100" i="2" a="1"/>
  <c r="J1100" i="2" s="1"/>
  <c r="J1101" i="2" a="1"/>
  <c r="J1101" i="2" s="1"/>
  <c r="J1102" i="2" a="1"/>
  <c r="J1102" i="2" s="1"/>
  <c r="J1103" i="2" a="1"/>
  <c r="J1103" i="2" s="1"/>
  <c r="J1104" i="2" a="1"/>
  <c r="J1104" i="2" s="1"/>
  <c r="J1105" i="2" a="1"/>
  <c r="J1105" i="2" s="1"/>
  <c r="J1106" i="2" a="1"/>
  <c r="J1106" i="2" s="1"/>
  <c r="J1107" i="2" a="1"/>
  <c r="J1107" i="2" s="1"/>
  <c r="J1108" i="2" a="1"/>
  <c r="J1108" i="2" s="1"/>
  <c r="J1109" i="2" a="1"/>
  <c r="J1109" i="2" s="1"/>
  <c r="J1110" i="2" a="1"/>
  <c r="J1110" i="2" s="1"/>
  <c r="J1111" i="2" a="1"/>
  <c r="J1111" i="2" s="1"/>
  <c r="J1112" i="2" a="1"/>
  <c r="J1112" i="2" s="1"/>
  <c r="J1113" i="2" a="1"/>
  <c r="J1113" i="2" s="1"/>
  <c r="J1114" i="2" a="1"/>
  <c r="J1114" i="2" s="1"/>
  <c r="J1115" i="2" a="1"/>
  <c r="J1115" i="2" s="1"/>
  <c r="J1116" i="2" a="1"/>
  <c r="J1116" i="2" s="1"/>
  <c r="J1117" i="2" a="1"/>
  <c r="J1117" i="2" s="1"/>
  <c r="J1118" i="2" a="1"/>
  <c r="J1118" i="2" s="1"/>
  <c r="J1119" i="2" a="1"/>
  <c r="J1119" i="2" s="1"/>
  <c r="J1120" i="2" a="1"/>
  <c r="J1120" i="2" s="1"/>
  <c r="J1121" i="2" a="1"/>
  <c r="J1121" i="2" s="1"/>
  <c r="J1122" i="2" a="1"/>
  <c r="J1122" i="2" s="1"/>
  <c r="J1123" i="2" a="1"/>
  <c r="J1123" i="2" s="1"/>
  <c r="J1124" i="2" a="1"/>
  <c r="J1124" i="2" s="1"/>
  <c r="J1125" i="2" a="1"/>
  <c r="J1125" i="2" s="1"/>
  <c r="J1126" i="2" a="1"/>
  <c r="J1126" i="2" s="1"/>
  <c r="J1127" i="2" a="1"/>
  <c r="J1127" i="2" s="1"/>
  <c r="J1128" i="2" a="1"/>
  <c r="J1128" i="2" s="1"/>
  <c r="J1129" i="2" a="1"/>
  <c r="J1129" i="2" s="1"/>
  <c r="J1130" i="2" a="1"/>
  <c r="J1130" i="2" s="1"/>
  <c r="J1131" i="2" a="1"/>
  <c r="J1131" i="2" s="1"/>
  <c r="J1132" i="2" a="1"/>
  <c r="J1132" i="2" s="1"/>
  <c r="J1133" i="2" a="1"/>
  <c r="J1133" i="2" s="1"/>
  <c r="J1134" i="2" a="1"/>
  <c r="J1134" i="2" s="1"/>
  <c r="J1135" i="2" a="1"/>
  <c r="J1135" i="2" s="1"/>
  <c r="J1136" i="2" a="1"/>
  <c r="J1136" i="2" s="1"/>
  <c r="J1137" i="2" a="1"/>
  <c r="J1137" i="2" s="1"/>
  <c r="J1138" i="2" a="1"/>
  <c r="J1138" i="2" s="1"/>
  <c r="J1139" i="2" a="1"/>
  <c r="J1139" i="2" s="1"/>
  <c r="J1140" i="2" a="1"/>
  <c r="J1140" i="2" s="1"/>
  <c r="J1141" i="2" a="1"/>
  <c r="J1141" i="2" s="1"/>
  <c r="J1142" i="2" a="1"/>
  <c r="J1142" i="2" s="1"/>
  <c r="J1143" i="2" a="1"/>
  <c r="J1143" i="2" s="1"/>
  <c r="J1144" i="2" a="1"/>
  <c r="J1144" i="2" s="1"/>
  <c r="J1145" i="2" a="1"/>
  <c r="J1145" i="2" s="1"/>
  <c r="J1146" i="2" a="1"/>
  <c r="J1146" i="2" s="1"/>
  <c r="J1147" i="2" a="1"/>
  <c r="J1147" i="2" s="1"/>
  <c r="J1148" i="2" a="1"/>
  <c r="J1148" i="2" s="1"/>
  <c r="J1149" i="2" a="1"/>
  <c r="J1149" i="2" s="1"/>
  <c r="J1150" i="2" a="1"/>
  <c r="J1150" i="2" s="1"/>
  <c r="J1151" i="2" a="1"/>
  <c r="J1151" i="2" s="1"/>
  <c r="J1152" i="2" a="1"/>
  <c r="J1152" i="2" s="1"/>
  <c r="J1153" i="2" a="1"/>
  <c r="J1153" i="2" s="1"/>
  <c r="J1154" i="2" a="1"/>
  <c r="J1154" i="2" s="1"/>
  <c r="J1155" i="2" a="1"/>
  <c r="J1155" i="2" s="1"/>
  <c r="J1156" i="2" a="1"/>
  <c r="J1156" i="2" s="1"/>
  <c r="J1157" i="2" a="1"/>
  <c r="J1157" i="2" s="1"/>
  <c r="J1158" i="2" a="1"/>
  <c r="J1158" i="2" s="1"/>
  <c r="J1159" i="2" a="1"/>
  <c r="J1159" i="2" s="1"/>
  <c r="J1160" i="2" a="1"/>
  <c r="J1160" i="2" s="1"/>
  <c r="J1161" i="2" a="1"/>
  <c r="J1161" i="2" s="1"/>
  <c r="J1162" i="2" a="1"/>
  <c r="J1162" i="2" s="1"/>
  <c r="J1163" i="2" a="1"/>
  <c r="J1163" i="2" s="1"/>
  <c r="J1164" i="2" a="1"/>
  <c r="J1164" i="2" s="1"/>
  <c r="J1165" i="2" a="1"/>
  <c r="J1165" i="2" s="1"/>
  <c r="J1166" i="2" a="1"/>
  <c r="J1166" i="2" s="1"/>
  <c r="J1167" i="2" a="1"/>
  <c r="J1167" i="2" s="1"/>
  <c r="J1168" i="2" a="1"/>
  <c r="J1168" i="2" s="1"/>
  <c r="J1169" i="2" a="1"/>
  <c r="J1169" i="2" s="1"/>
  <c r="J1170" i="2" a="1"/>
  <c r="J1170" i="2" s="1"/>
  <c r="J1171" i="2" a="1"/>
  <c r="J1171" i="2" s="1"/>
  <c r="J1172" i="2" a="1"/>
  <c r="J1172" i="2" s="1"/>
  <c r="J1173" i="2" a="1"/>
  <c r="J1173" i="2" s="1"/>
  <c r="J1174" i="2" a="1"/>
  <c r="J1174" i="2" s="1"/>
  <c r="J1175" i="2" a="1"/>
  <c r="J1175" i="2" s="1"/>
  <c r="J1176" i="2" a="1"/>
  <c r="J1176" i="2" s="1"/>
  <c r="J1177" i="2" a="1"/>
  <c r="J1177" i="2" s="1"/>
  <c r="J1178" i="2" a="1"/>
  <c r="J1178" i="2" s="1"/>
  <c r="J1179" i="2" a="1"/>
  <c r="J1179" i="2" s="1"/>
  <c r="J1180" i="2" a="1"/>
  <c r="J1180" i="2" s="1"/>
  <c r="J1181" i="2" a="1"/>
  <c r="J1181" i="2" s="1"/>
  <c r="J1182" i="2" a="1"/>
  <c r="J1182" i="2" s="1"/>
  <c r="J1183" i="2" a="1"/>
  <c r="J1183" i="2" s="1"/>
  <c r="J1184" i="2" a="1"/>
  <c r="J1184" i="2" s="1"/>
  <c r="J1185" i="2" a="1"/>
  <c r="J1185" i="2" s="1"/>
  <c r="J1186" i="2" a="1"/>
  <c r="J1186" i="2" s="1"/>
  <c r="J1187" i="2" a="1"/>
  <c r="J1187" i="2" s="1"/>
  <c r="J1188" i="2" a="1"/>
  <c r="J1188" i="2" s="1"/>
  <c r="J1189" i="2" a="1"/>
  <c r="J1189" i="2" s="1"/>
  <c r="J1190" i="2" a="1"/>
  <c r="J1190" i="2" s="1"/>
  <c r="J1191" i="2" a="1"/>
  <c r="J1191" i="2" s="1"/>
  <c r="J1192" i="2" a="1"/>
  <c r="J1192" i="2" s="1"/>
  <c r="J1193" i="2" a="1"/>
  <c r="J1193" i="2" s="1"/>
  <c r="J1194" i="2" a="1"/>
  <c r="J1194" i="2" s="1"/>
  <c r="J1195" i="2" a="1"/>
  <c r="J1195" i="2" s="1"/>
  <c r="J1196" i="2" a="1"/>
  <c r="J1196" i="2" s="1"/>
  <c r="J1197" i="2" a="1"/>
  <c r="J1197" i="2" s="1"/>
  <c r="J1198" i="2" a="1"/>
  <c r="J1198" i="2" s="1"/>
  <c r="J1199" i="2" a="1"/>
  <c r="J1199" i="2" s="1"/>
  <c r="J1200" i="2" a="1"/>
  <c r="J1200" i="2" s="1"/>
  <c r="J1201" i="2" a="1"/>
  <c r="J1201" i="2" s="1"/>
  <c r="J1202" i="2" a="1"/>
  <c r="J1202" i="2" s="1"/>
  <c r="J1203" i="2" a="1"/>
  <c r="J1203" i="2" s="1"/>
  <c r="J1204" i="2" a="1"/>
  <c r="J1204" i="2" s="1"/>
  <c r="J1205" i="2" a="1"/>
  <c r="J1205" i="2" s="1"/>
  <c r="J1206" i="2" a="1"/>
  <c r="J1206" i="2" s="1"/>
  <c r="J1207" i="2" a="1"/>
  <c r="J1207" i="2" s="1"/>
  <c r="J1208" i="2" a="1"/>
  <c r="J1208" i="2" s="1"/>
  <c r="J1209" i="2" a="1"/>
  <c r="J1209" i="2" s="1"/>
  <c r="J1210" i="2" a="1"/>
  <c r="J1210" i="2" s="1"/>
  <c r="J1211" i="2" a="1"/>
  <c r="J1211" i="2" s="1"/>
  <c r="J1212" i="2" a="1"/>
  <c r="J1212" i="2" s="1"/>
  <c r="J1213" i="2" a="1"/>
  <c r="J1213" i="2" s="1"/>
  <c r="J1214" i="2" a="1"/>
  <c r="J1214" i="2" s="1"/>
  <c r="J1215" i="2" a="1"/>
  <c r="J1215" i="2" s="1"/>
  <c r="J1216" i="2" a="1"/>
  <c r="J1216" i="2" s="1"/>
  <c r="J1217" i="2" a="1"/>
  <c r="J1217" i="2" s="1"/>
  <c r="J1218" i="2" a="1"/>
  <c r="J1218" i="2" s="1"/>
  <c r="J1219" i="2" a="1"/>
  <c r="J1219" i="2" s="1"/>
  <c r="J1220" i="2" a="1"/>
  <c r="J1220" i="2" s="1"/>
  <c r="J1221" i="2" a="1"/>
  <c r="J1221" i="2" s="1"/>
  <c r="J1222" i="2" a="1"/>
  <c r="J1222" i="2" s="1"/>
  <c r="J1223" i="2" a="1"/>
  <c r="J1223" i="2" s="1"/>
  <c r="J1224" i="2" a="1"/>
  <c r="J1224" i="2" s="1"/>
  <c r="J1225" i="2" a="1"/>
  <c r="J1225" i="2" s="1"/>
  <c r="J1226" i="2" a="1"/>
  <c r="J1226" i="2" s="1"/>
  <c r="J1227" i="2" a="1"/>
  <c r="J1227" i="2" s="1"/>
  <c r="J1228" i="2" a="1"/>
  <c r="J1228" i="2" s="1"/>
  <c r="J1229" i="2" a="1"/>
  <c r="J1229" i="2" s="1"/>
  <c r="J1230" i="2" a="1"/>
  <c r="J1230" i="2" s="1"/>
  <c r="J1231" i="2" a="1"/>
  <c r="J1231" i="2" s="1"/>
  <c r="J1232" i="2" a="1"/>
  <c r="J1232" i="2" s="1"/>
  <c r="J1233" i="2" a="1"/>
  <c r="J1233" i="2" s="1"/>
  <c r="J1234" i="2" a="1"/>
  <c r="J1234" i="2" s="1"/>
  <c r="J1235" i="2" a="1"/>
  <c r="J1235" i="2" s="1"/>
  <c r="J1236" i="2" a="1"/>
  <c r="J1236" i="2" s="1"/>
  <c r="J1237" i="2" a="1"/>
  <c r="J1237" i="2" s="1"/>
  <c r="J1238" i="2" a="1"/>
  <c r="J1238" i="2" s="1"/>
  <c r="J1239" i="2" a="1"/>
  <c r="J1239" i="2" s="1"/>
  <c r="J1240" i="2" a="1"/>
  <c r="J1240" i="2" s="1"/>
  <c r="J1241" i="2" a="1"/>
  <c r="J1241" i="2" s="1"/>
  <c r="J1242" i="2" a="1"/>
  <c r="J1242" i="2" s="1"/>
  <c r="J1243" i="2" a="1"/>
  <c r="J1243" i="2" s="1"/>
  <c r="J1244" i="2" a="1"/>
  <c r="J1244" i="2" s="1"/>
  <c r="J1245" i="2" a="1"/>
  <c r="J1245" i="2" s="1"/>
  <c r="J1246" i="2" a="1"/>
  <c r="J1246" i="2" s="1"/>
  <c r="J1247" i="2" a="1"/>
  <c r="J1247" i="2" s="1"/>
  <c r="J1248" i="2" a="1"/>
  <c r="J1248" i="2" s="1"/>
  <c r="J1249" i="2" a="1"/>
  <c r="J1249" i="2" s="1"/>
  <c r="J1250" i="2" a="1"/>
  <c r="J1250" i="2" s="1"/>
  <c r="J1251" i="2" a="1"/>
  <c r="J1251" i="2" s="1"/>
  <c r="J1252" i="2" a="1"/>
  <c r="J1252" i="2" s="1"/>
  <c r="J1253" i="2" a="1"/>
  <c r="J1253" i="2" s="1"/>
  <c r="J1254" i="2" a="1"/>
  <c r="J1254" i="2" s="1"/>
  <c r="J1255" i="2" a="1"/>
  <c r="J1255" i="2" s="1"/>
  <c r="J1256" i="2" a="1"/>
  <c r="J1256" i="2" s="1"/>
  <c r="J1257" i="2" a="1"/>
  <c r="J1257" i="2" s="1"/>
  <c r="J1258" i="2" a="1"/>
  <c r="J1258" i="2" s="1"/>
  <c r="J1259" i="2" a="1"/>
  <c r="J1259" i="2" s="1"/>
  <c r="J1260" i="2" a="1"/>
  <c r="J1260" i="2" s="1"/>
  <c r="J1261" i="2" a="1"/>
  <c r="J1261" i="2" s="1"/>
  <c r="J1262" i="2" a="1"/>
  <c r="J1262" i="2" s="1"/>
  <c r="J1263" i="2" a="1"/>
  <c r="J1263" i="2" s="1"/>
  <c r="J1264" i="2" a="1"/>
  <c r="J1264" i="2" s="1"/>
  <c r="J1265" i="2" a="1"/>
  <c r="J1265" i="2" s="1"/>
  <c r="J1266" i="2" a="1"/>
  <c r="J1266" i="2" s="1"/>
  <c r="J1267" i="2" a="1"/>
  <c r="J1267" i="2" s="1"/>
  <c r="J1268" i="2" a="1"/>
  <c r="J1268" i="2" s="1"/>
  <c r="J1269" i="2" a="1"/>
  <c r="J1269" i="2" s="1"/>
  <c r="J1270" i="2" a="1"/>
  <c r="J1270" i="2" s="1"/>
  <c r="J1271" i="2" a="1"/>
  <c r="J1271" i="2" s="1"/>
  <c r="J1272" i="2" a="1"/>
  <c r="J1272" i="2" s="1"/>
  <c r="J1273" i="2" a="1"/>
  <c r="J1273" i="2" s="1"/>
  <c r="J1274" i="2" a="1"/>
  <c r="J1274" i="2" s="1"/>
  <c r="J1275" i="2" a="1"/>
  <c r="J1275" i="2" s="1"/>
  <c r="J1276" i="2" a="1"/>
  <c r="J1276" i="2" s="1"/>
  <c r="J1277" i="2" a="1"/>
  <c r="J1277" i="2" s="1"/>
  <c r="J1278" i="2" a="1"/>
  <c r="J1278" i="2" s="1"/>
  <c r="J1279" i="2" a="1"/>
  <c r="J1279" i="2" s="1"/>
  <c r="J1280" i="2" a="1"/>
  <c r="J1280" i="2" s="1"/>
  <c r="J1281" i="2" a="1"/>
  <c r="J1281" i="2" s="1"/>
  <c r="J1282" i="2" a="1"/>
  <c r="J1282" i="2" s="1"/>
  <c r="J1283" i="2" a="1"/>
  <c r="J1283" i="2" s="1"/>
  <c r="J1284" i="2" a="1"/>
  <c r="J1284" i="2" s="1"/>
  <c r="J1285" i="2" a="1"/>
  <c r="J1285" i="2" s="1"/>
  <c r="J4" i="2" a="1"/>
  <c r="J4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8" i="2" l="1"/>
  <c r="L23" i="2"/>
  <c r="L7" i="2"/>
  <c r="L6" i="2"/>
  <c r="L3236" i="1"/>
  <c r="L36" i="2"/>
  <c r="L3087" i="1"/>
  <c r="L45" i="2"/>
  <c r="L29" i="2"/>
  <c r="L26" i="2"/>
  <c r="L3220" i="1"/>
  <c r="L2890" i="1"/>
  <c r="L2889" i="1"/>
  <c r="L3100" i="1"/>
  <c r="L12" i="2"/>
  <c r="I1124" i="2" a="1"/>
  <c r="I1124" i="2" s="1"/>
  <c r="L1124" i="2" s="1"/>
  <c r="H3567" i="1"/>
  <c r="M3567" i="1" s="1"/>
  <c r="N3567" i="1" s="1"/>
  <c r="I973" i="2" a="1"/>
  <c r="I973" i="2" s="1"/>
  <c r="L973" i="2" s="1"/>
  <c r="H3561" i="1"/>
  <c r="M3561" i="1" s="1"/>
  <c r="N3561" i="1" s="1"/>
  <c r="H3562" i="1"/>
  <c r="M3562" i="1" s="1"/>
  <c r="N3562" i="1" s="1"/>
  <c r="I972" i="2" a="1"/>
  <c r="I972" i="2" s="1"/>
  <c r="L972" i="2" s="1"/>
  <c r="H3559" i="1"/>
  <c r="M3559" i="1" s="1"/>
  <c r="N3559" i="1" s="1"/>
  <c r="H3560" i="1"/>
  <c r="M3560" i="1" s="1"/>
  <c r="N3560" i="1" s="1"/>
  <c r="I1099" i="2" a="1"/>
  <c r="I1099" i="2" s="1"/>
  <c r="L1099" i="2" s="1"/>
  <c r="H3565" i="1"/>
  <c r="M3565" i="1" s="1"/>
  <c r="N3565" i="1" s="1"/>
  <c r="H3566" i="1"/>
  <c r="M3566" i="1" s="1"/>
  <c r="N3566" i="1" s="1"/>
  <c r="I971" i="2" a="1"/>
  <c r="I971" i="2" s="1"/>
  <c r="L971" i="2" s="1"/>
  <c r="H3557" i="1"/>
  <c r="M3557" i="1" s="1"/>
  <c r="N3557" i="1" s="1"/>
  <c r="H3558" i="1"/>
  <c r="M3558" i="1" s="1"/>
  <c r="N3558" i="1" s="1"/>
  <c r="I1098" i="2" a="1"/>
  <c r="I1098" i="2" s="1"/>
  <c r="L1098" i="2" s="1"/>
  <c r="H3563" i="1"/>
  <c r="M3563" i="1" s="1"/>
  <c r="N3563" i="1" s="1"/>
  <c r="H3564" i="1"/>
  <c r="M3564" i="1" s="1"/>
  <c r="N3564" i="1" s="1"/>
  <c r="I969" i="2" a="1"/>
  <c r="I969" i="2" s="1"/>
  <c r="L969" i="2" s="1"/>
  <c r="H3555" i="1"/>
  <c r="M3555" i="1" s="1"/>
  <c r="N3555" i="1" s="1"/>
  <c r="H3556" i="1"/>
  <c r="M3556" i="1" s="1"/>
  <c r="N3556" i="1" s="1"/>
  <c r="I968" i="2" a="1"/>
  <c r="I968" i="2" s="1"/>
  <c r="L968" i="2" s="1"/>
  <c r="H3553" i="1"/>
  <c r="M3553" i="1" s="1"/>
  <c r="N3553" i="1" s="1"/>
  <c r="H3554" i="1"/>
  <c r="M3554" i="1" s="1"/>
  <c r="N3554" i="1" s="1"/>
  <c r="I966" i="2" a="1"/>
  <c r="I966" i="2" s="1"/>
  <c r="L966" i="2" s="1"/>
  <c r="H3551" i="1"/>
  <c r="M3551" i="1" s="1"/>
  <c r="N3551" i="1" s="1"/>
  <c r="H3552" i="1"/>
  <c r="M3552" i="1" s="1"/>
  <c r="N3552" i="1" s="1"/>
  <c r="M4" i="2"/>
  <c r="L4" i="2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H1365" i="2"/>
  <c r="L1365" i="2" s="1"/>
  <c r="L3472" i="1"/>
  <c r="N3472" i="1" s="1"/>
  <c r="H1299" i="2"/>
  <c r="L1299" i="2" s="1"/>
  <c r="L3386" i="1"/>
  <c r="N3386" i="1" s="1"/>
  <c r="L3385" i="1"/>
  <c r="N3385" i="1" s="1"/>
  <c r="H1392" i="2"/>
  <c r="L1392" i="2" s="1"/>
  <c r="L3336" i="1"/>
  <c r="N3336" i="1" s="1"/>
  <c r="L3335" i="1"/>
  <c r="N3335" i="1" s="1"/>
  <c r="H1326" i="2"/>
  <c r="L1326" i="2" s="1"/>
  <c r="L3500" i="1"/>
  <c r="N3500" i="1" s="1"/>
  <c r="L3495" i="1"/>
  <c r="N3495" i="1" s="1"/>
  <c r="H1324" i="2"/>
  <c r="L1324" i="2" s="1"/>
  <c r="L3496" i="1"/>
  <c r="N3496" i="1" s="1"/>
  <c r="L3448" i="1"/>
  <c r="N3448" i="1" s="1"/>
  <c r="H1354" i="2"/>
  <c r="L1354" i="2" s="1"/>
  <c r="L3447" i="1"/>
  <c r="N3447" i="1" s="1"/>
  <c r="H1384" i="2"/>
  <c r="L1384" i="2" s="1"/>
  <c r="L3320" i="1"/>
  <c r="N3320" i="1" s="1"/>
  <c r="H1333" i="2"/>
  <c r="L1333" i="2" s="1"/>
  <c r="L3514" i="1"/>
  <c r="N3514" i="1" s="1"/>
  <c r="L3513" i="1"/>
  <c r="N3513" i="1" s="1"/>
  <c r="H1426" i="2"/>
  <c r="L1426" i="2" s="1"/>
  <c r="L3415" i="1"/>
  <c r="N3415" i="1" s="1"/>
  <c r="L3416" i="1"/>
  <c r="N3416" i="1" s="1"/>
  <c r="H1376" i="2"/>
  <c r="L1376" i="2" s="1"/>
  <c r="L3303" i="1"/>
  <c r="N3303" i="1" s="1"/>
  <c r="L3304" i="1"/>
  <c r="N3304" i="1" s="1"/>
  <c r="H1310" i="2"/>
  <c r="L1310" i="2" s="1"/>
  <c r="L3408" i="1"/>
  <c r="N3408" i="1" s="1"/>
  <c r="H1308" i="2"/>
  <c r="L1308" i="2" s="1"/>
  <c r="L3403" i="1"/>
  <c r="N3403" i="1" s="1"/>
  <c r="L3404" i="1"/>
  <c r="N3404" i="1" s="1"/>
  <c r="L3523" i="1"/>
  <c r="N3523" i="1" s="1"/>
  <c r="L3524" i="1"/>
  <c r="N3524" i="1" s="1"/>
  <c r="H1338" i="2"/>
  <c r="L1338" i="2" s="1"/>
  <c r="H1368" i="2"/>
  <c r="L1368" i="2" s="1"/>
  <c r="L3477" i="1"/>
  <c r="N3477" i="1" s="1"/>
  <c r="L3478" i="1"/>
  <c r="N3478" i="1" s="1"/>
  <c r="H1317" i="2"/>
  <c r="L1317" i="2" s="1"/>
  <c r="L3355" i="1"/>
  <c r="N3355" i="1" s="1"/>
  <c r="L3356" i="1"/>
  <c r="N3356" i="1" s="1"/>
  <c r="H1394" i="2"/>
  <c r="L1394" i="2" s="1"/>
  <c r="L3339" i="1"/>
  <c r="N3339" i="1" s="1"/>
  <c r="L3340" i="1"/>
  <c r="N3340" i="1" s="1"/>
  <c r="H1360" i="2"/>
  <c r="L1360" i="2" s="1"/>
  <c r="L3460" i="1"/>
  <c r="N3460" i="1" s="1"/>
  <c r="L3459" i="1"/>
  <c r="N3459" i="1" s="1"/>
  <c r="H1294" i="2"/>
  <c r="L1294" i="2" s="1"/>
  <c r="L3376" i="1"/>
  <c r="N3376" i="1" s="1"/>
  <c r="L3371" i="1"/>
  <c r="N3371" i="1" s="1"/>
  <c r="L3372" i="1"/>
  <c r="N3372" i="1" s="1"/>
  <c r="H1292" i="2"/>
  <c r="L1292" i="2" s="1"/>
  <c r="H1322" i="2"/>
  <c r="L1322" i="2" s="1"/>
  <c r="L3366" i="1"/>
  <c r="N3366" i="1" s="1"/>
  <c r="L3365" i="1"/>
  <c r="N3365" i="1" s="1"/>
  <c r="H1352" i="2"/>
  <c r="L1352" i="2" s="1"/>
  <c r="L3443" i="1"/>
  <c r="N3443" i="1" s="1"/>
  <c r="L3444" i="1"/>
  <c r="N3444" i="1" s="1"/>
  <c r="H1301" i="2"/>
  <c r="L1301" i="2" s="1"/>
  <c r="L3389" i="1"/>
  <c r="N3389" i="1" s="1"/>
  <c r="L3390" i="1"/>
  <c r="N3390" i="1" s="1"/>
  <c r="H1378" i="2"/>
  <c r="L1378" i="2" s="1"/>
  <c r="L3307" i="1"/>
  <c r="N3307" i="1" s="1"/>
  <c r="L3308" i="1"/>
  <c r="N3308" i="1" s="1"/>
  <c r="L3504" i="1"/>
  <c r="N3504" i="1" s="1"/>
  <c r="H1328" i="2"/>
  <c r="L1328" i="2" s="1"/>
  <c r="L3503" i="1"/>
  <c r="N3503" i="1" s="1"/>
  <c r="H1421" i="2"/>
  <c r="L1421" i="2" s="1"/>
  <c r="L3532" i="1"/>
  <c r="N3532" i="1" s="1"/>
  <c r="L3531" i="1"/>
  <c r="N3531" i="1" s="1"/>
  <c r="H1435" i="2"/>
  <c r="L1435" i="2" s="1"/>
  <c r="L3433" i="1"/>
  <c r="N3433" i="1" s="1"/>
  <c r="L3399" i="1"/>
  <c r="N3399" i="1" s="1"/>
  <c r="L3400" i="1"/>
  <c r="N3400" i="1" s="1"/>
  <c r="H1306" i="2"/>
  <c r="L1306" i="2" s="1"/>
  <c r="H1336" i="2"/>
  <c r="L1336" i="2" s="1"/>
  <c r="L3519" i="1"/>
  <c r="N3519" i="1" s="1"/>
  <c r="L3520" i="1"/>
  <c r="N3520" i="1" s="1"/>
  <c r="H1396" i="2"/>
  <c r="L1396" i="2" s="1"/>
  <c r="L3343" i="1"/>
  <c r="N3343" i="1" s="1"/>
  <c r="L3344" i="1"/>
  <c r="N3344" i="1" s="1"/>
  <c r="H1362" i="2"/>
  <c r="L1362" i="2" s="1"/>
  <c r="L3465" i="1"/>
  <c r="N3465" i="1" s="1"/>
  <c r="L3466" i="1"/>
  <c r="N3466" i="1" s="1"/>
  <c r="H1312" i="2"/>
  <c r="L1312" i="2" s="1"/>
  <c r="L3412" i="1"/>
  <c r="N3412" i="1" s="1"/>
  <c r="L3411" i="1"/>
  <c r="N3411" i="1" s="1"/>
  <c r="H1389" i="2"/>
  <c r="L1389" i="2" s="1"/>
  <c r="L3329" i="1"/>
  <c r="N3329" i="1" s="1"/>
  <c r="L3330" i="1"/>
  <c r="N3330" i="1" s="1"/>
  <c r="H1403" i="2"/>
  <c r="L1403" i="2" s="1"/>
  <c r="L3435" i="1"/>
  <c r="N3435" i="1" s="1"/>
  <c r="L3539" i="1"/>
  <c r="N3539" i="1" s="1"/>
  <c r="L3540" i="1"/>
  <c r="N3540" i="1" s="1"/>
  <c r="H1290" i="2"/>
  <c r="L1290" i="2" s="1"/>
  <c r="H1320" i="2"/>
  <c r="L1320" i="2" s="1"/>
  <c r="L3361" i="1"/>
  <c r="N3361" i="1" s="1"/>
  <c r="L3362" i="1"/>
  <c r="N3362" i="1" s="1"/>
  <c r="L3541" i="1"/>
  <c r="N3541" i="1" s="1"/>
  <c r="L3542" i="1"/>
  <c r="N3542" i="1" s="1"/>
  <c r="H1430" i="2"/>
  <c r="L1430" i="2" s="1"/>
  <c r="H1380" i="2"/>
  <c r="L1380" i="2" s="1"/>
  <c r="L3311" i="1"/>
  <c r="N3311" i="1" s="1"/>
  <c r="L3312" i="1"/>
  <c r="N3312" i="1" s="1"/>
  <c r="H1330" i="2"/>
  <c r="L1330" i="2" s="1"/>
  <c r="L3507" i="1"/>
  <c r="N3507" i="1" s="1"/>
  <c r="L3508" i="1"/>
  <c r="N3508" i="1" s="1"/>
  <c r="H1296" i="2"/>
  <c r="L1296" i="2" s="1"/>
  <c r="L3380" i="1"/>
  <c r="N3380" i="1" s="1"/>
  <c r="L3379" i="1"/>
  <c r="N3379" i="1" s="1"/>
  <c r="H1373" i="2"/>
  <c r="L1373" i="2" s="1"/>
  <c r="L3487" i="1"/>
  <c r="N3487" i="1" s="1"/>
  <c r="L3488" i="1"/>
  <c r="N3488" i="1" s="1"/>
  <c r="H1387" i="2"/>
  <c r="L1387" i="2" s="1"/>
  <c r="L3326" i="1"/>
  <c r="N3326" i="1" s="1"/>
  <c r="H1433" i="2"/>
  <c r="L1433" i="2" s="1"/>
  <c r="L3489" i="1"/>
  <c r="N3489" i="1" s="1"/>
  <c r="L3490" i="1"/>
  <c r="N3490" i="1" s="1"/>
  <c r="H1304" i="2"/>
  <c r="L1304" i="2" s="1"/>
  <c r="L3396" i="1"/>
  <c r="N3396" i="1" s="1"/>
  <c r="L3421" i="1"/>
  <c r="N3421" i="1" s="1"/>
  <c r="H1398" i="2"/>
  <c r="L1398" i="2" s="1"/>
  <c r="L3422" i="1"/>
  <c r="N3422" i="1" s="1"/>
  <c r="H1364" i="2"/>
  <c r="L1364" i="2" s="1"/>
  <c r="L3469" i="1"/>
  <c r="N3469" i="1" s="1"/>
  <c r="L3470" i="1"/>
  <c r="N3470" i="1" s="1"/>
  <c r="H1314" i="2"/>
  <c r="L1314" i="2" s="1"/>
  <c r="L3349" i="1"/>
  <c r="N3349" i="1" s="1"/>
  <c r="L3350" i="1"/>
  <c r="N3350" i="1" s="1"/>
  <c r="H1423" i="2"/>
  <c r="L1423" i="2" s="1"/>
  <c r="L3461" i="1"/>
  <c r="N3461" i="1" s="1"/>
  <c r="L3462" i="1"/>
  <c r="N3462" i="1" s="1"/>
  <c r="H1357" i="2"/>
  <c r="L1357" i="2" s="1"/>
  <c r="L3453" i="1"/>
  <c r="N3453" i="1" s="1"/>
  <c r="L3454" i="1"/>
  <c r="N3454" i="1" s="1"/>
  <c r="H1371" i="2"/>
  <c r="L1371" i="2" s="1"/>
  <c r="L3484" i="1"/>
  <c r="N3484" i="1" s="1"/>
  <c r="L3483" i="1"/>
  <c r="N3483" i="1" s="1"/>
  <c r="H1401" i="2"/>
  <c r="L1401" i="2" s="1"/>
  <c r="L3429" i="1"/>
  <c r="N3429" i="1" s="1"/>
  <c r="L3430" i="1"/>
  <c r="N3430" i="1" s="1"/>
  <c r="H1288" i="2"/>
  <c r="L1288" i="2" s="1"/>
  <c r="L3536" i="1"/>
  <c r="N3536" i="1" s="1"/>
  <c r="L3535" i="1"/>
  <c r="N3535" i="1" s="1"/>
  <c r="H1382" i="2"/>
  <c r="L1382" i="2" s="1"/>
  <c r="L3316" i="1"/>
  <c r="N3316" i="1" s="1"/>
  <c r="L3315" i="1"/>
  <c r="N3315" i="1" s="1"/>
  <c r="H1332" i="2"/>
  <c r="L1332" i="2" s="1"/>
  <c r="L3511" i="1"/>
  <c r="N3511" i="1" s="1"/>
  <c r="L3512" i="1"/>
  <c r="N3512" i="1" s="1"/>
  <c r="H1298" i="2"/>
  <c r="L1298" i="2" s="1"/>
  <c r="L3383" i="1"/>
  <c r="N3383" i="1" s="1"/>
  <c r="L3384" i="1"/>
  <c r="N3384" i="1" s="1"/>
  <c r="H1391" i="2"/>
  <c r="L1391" i="2" s="1"/>
  <c r="L3333" i="1"/>
  <c r="N3333" i="1" s="1"/>
  <c r="L3334" i="1"/>
  <c r="N3334" i="1" s="1"/>
  <c r="H1341" i="2"/>
  <c r="L1341" i="2" s="1"/>
  <c r="L3529" i="1"/>
  <c r="N3529" i="1" s="1"/>
  <c r="L3530" i="1"/>
  <c r="N3530" i="1" s="1"/>
  <c r="H1355" i="2"/>
  <c r="L1355" i="2" s="1"/>
  <c r="L3450" i="1"/>
  <c r="N3450" i="1" s="1"/>
  <c r="H1385" i="2"/>
  <c r="L1385" i="2" s="1"/>
  <c r="L3321" i="1"/>
  <c r="N3321" i="1" s="1"/>
  <c r="L3322" i="1"/>
  <c r="N3322" i="1" s="1"/>
  <c r="H1431" i="2"/>
  <c r="L1431" i="2" s="1"/>
  <c r="L3543" i="1"/>
  <c r="N3543" i="1" s="1"/>
  <c r="L3544" i="1"/>
  <c r="N3544" i="1" s="1"/>
  <c r="H1366" i="2"/>
  <c r="L1366" i="2" s="1"/>
  <c r="L3473" i="1"/>
  <c r="N3473" i="1" s="1"/>
  <c r="L3474" i="1"/>
  <c r="N3474" i="1" s="1"/>
  <c r="H1316" i="2"/>
  <c r="L1316" i="2" s="1"/>
  <c r="L3354" i="1"/>
  <c r="N3354" i="1" s="1"/>
  <c r="L3353" i="1"/>
  <c r="N3353" i="1" s="1"/>
  <c r="H1425" i="2"/>
  <c r="L1425" i="2" s="1"/>
  <c r="L3413" i="1"/>
  <c r="N3413" i="1" s="1"/>
  <c r="L3414" i="1"/>
  <c r="N3414" i="1" s="1"/>
  <c r="H1375" i="2"/>
  <c r="L1375" i="2" s="1"/>
  <c r="L3301" i="1"/>
  <c r="N3301" i="1" s="1"/>
  <c r="L3302" i="1"/>
  <c r="N3302" i="1" s="1"/>
  <c r="H1325" i="2"/>
  <c r="L1325" i="2" s="1"/>
  <c r="L3497" i="1"/>
  <c r="N3497" i="1" s="1"/>
  <c r="L3498" i="1"/>
  <c r="N3498" i="1" s="1"/>
  <c r="H1339" i="2"/>
  <c r="L1339" i="2" s="1"/>
  <c r="L3526" i="1"/>
  <c r="N3526" i="1" s="1"/>
  <c r="L3525" i="1"/>
  <c r="N3525" i="1" s="1"/>
  <c r="H1369" i="2"/>
  <c r="L1369" i="2" s="1"/>
  <c r="L3480" i="1"/>
  <c r="N3480" i="1" s="1"/>
  <c r="L3479" i="1"/>
  <c r="N3479" i="1" s="1"/>
  <c r="H1399" i="2"/>
  <c r="L1399" i="2" s="1"/>
  <c r="L3424" i="1"/>
  <c r="N3424" i="1" s="1"/>
  <c r="L3423" i="1"/>
  <c r="N3423" i="1" s="1"/>
  <c r="H1350" i="2"/>
  <c r="L1350" i="2" s="1"/>
  <c r="L3439" i="1"/>
  <c r="N3439" i="1" s="1"/>
  <c r="L3440" i="1"/>
  <c r="N3440" i="1" s="1"/>
  <c r="H1300" i="2"/>
  <c r="L1300" i="2" s="1"/>
  <c r="L3387" i="1"/>
  <c r="N3387" i="1" s="1"/>
  <c r="L3388" i="1"/>
  <c r="N3388" i="1" s="1"/>
  <c r="H1393" i="2"/>
  <c r="L1393" i="2" s="1"/>
  <c r="L3337" i="1"/>
  <c r="N3337" i="1" s="1"/>
  <c r="L3338" i="1"/>
  <c r="N3338" i="1" s="1"/>
  <c r="L3457" i="1"/>
  <c r="N3457" i="1" s="1"/>
  <c r="L3458" i="1"/>
  <c r="N3458" i="1" s="1"/>
  <c r="H1359" i="2"/>
  <c r="L1359" i="2" s="1"/>
  <c r="H1309" i="2"/>
  <c r="L1309" i="2" s="1"/>
  <c r="L3405" i="1"/>
  <c r="N3405" i="1" s="1"/>
  <c r="L3406" i="1"/>
  <c r="N3406" i="1" s="1"/>
  <c r="H1323" i="2"/>
  <c r="L1323" i="2" s="1"/>
  <c r="L3494" i="1"/>
  <c r="N3494" i="1" s="1"/>
  <c r="L3493" i="1"/>
  <c r="N3493" i="1" s="1"/>
  <c r="H1353" i="2"/>
  <c r="L1353" i="2" s="1"/>
  <c r="L3445" i="1"/>
  <c r="N3445" i="1" s="1"/>
  <c r="L3446" i="1"/>
  <c r="N3446" i="1" s="1"/>
  <c r="H1383" i="2"/>
  <c r="L1383" i="2" s="1"/>
  <c r="L3317" i="1"/>
  <c r="N3317" i="1" s="1"/>
  <c r="L3318" i="1"/>
  <c r="N3318" i="1" s="1"/>
  <c r="H1334" i="2"/>
  <c r="L1334" i="2" s="1"/>
  <c r="L3515" i="1"/>
  <c r="N3515" i="1" s="1"/>
  <c r="L3516" i="1"/>
  <c r="N3516" i="1" s="1"/>
  <c r="H1427" i="2"/>
  <c r="L1427" i="2" s="1"/>
  <c r="L3417" i="1"/>
  <c r="N3417" i="1" s="1"/>
  <c r="L3418" i="1"/>
  <c r="N3418" i="1" s="1"/>
  <c r="H1377" i="2"/>
  <c r="L1377" i="2" s="1"/>
  <c r="L3305" i="1"/>
  <c r="N3305" i="1" s="1"/>
  <c r="L3306" i="1"/>
  <c r="N3306" i="1" s="1"/>
  <c r="H1327" i="2"/>
  <c r="L1327" i="2" s="1"/>
  <c r="L3501" i="1"/>
  <c r="N3501" i="1" s="1"/>
  <c r="L3502" i="1"/>
  <c r="N3502" i="1" s="1"/>
  <c r="L3373" i="1"/>
  <c r="N3373" i="1" s="1"/>
  <c r="L3374" i="1"/>
  <c r="N3374" i="1" s="1"/>
  <c r="H1293" i="2"/>
  <c r="L1293" i="2" s="1"/>
  <c r="H1307" i="2"/>
  <c r="L1307" i="2" s="1"/>
  <c r="L3402" i="1"/>
  <c r="N3402" i="1" s="1"/>
  <c r="L3522" i="1"/>
  <c r="N3522" i="1" s="1"/>
  <c r="H1337" i="2"/>
  <c r="L1337" i="2" s="1"/>
  <c r="L3521" i="1"/>
  <c r="N3521" i="1" s="1"/>
  <c r="H1367" i="2"/>
  <c r="L1367" i="2" s="1"/>
  <c r="L3476" i="1"/>
  <c r="N3476" i="1" s="1"/>
  <c r="H1318" i="2"/>
  <c r="L1318" i="2" s="1"/>
  <c r="L3358" i="1"/>
  <c r="N3358" i="1" s="1"/>
  <c r="L3357" i="1"/>
  <c r="N3357" i="1" s="1"/>
  <c r="H1395" i="2"/>
  <c r="L1395" i="2" s="1"/>
  <c r="L3341" i="1"/>
  <c r="N3341" i="1" s="1"/>
  <c r="L3342" i="1"/>
  <c r="N3342" i="1" s="1"/>
  <c r="H1361" i="2"/>
  <c r="L1361" i="2" s="1"/>
  <c r="L3463" i="1"/>
  <c r="N3463" i="1" s="1"/>
  <c r="L3464" i="1"/>
  <c r="N3464" i="1" s="1"/>
  <c r="H1311" i="2"/>
  <c r="L1311" i="2" s="1"/>
  <c r="L3409" i="1"/>
  <c r="N3409" i="1" s="1"/>
  <c r="L3410" i="1"/>
  <c r="N3410" i="1" s="1"/>
  <c r="H1404" i="2"/>
  <c r="L1404" i="2" s="1"/>
  <c r="L3437" i="1"/>
  <c r="N3437" i="1" s="1"/>
  <c r="L3438" i="1"/>
  <c r="N3438" i="1" s="1"/>
  <c r="H1291" i="2"/>
  <c r="L1291" i="2" s="1"/>
  <c r="L3370" i="1"/>
  <c r="N3370" i="1" s="1"/>
  <c r="H1321" i="2"/>
  <c r="L1321" i="2" s="1"/>
  <c r="L3363" i="1"/>
  <c r="N3363" i="1" s="1"/>
  <c r="L3364" i="1"/>
  <c r="N3364" i="1" s="1"/>
  <c r="L3441" i="1"/>
  <c r="N3441" i="1" s="1"/>
  <c r="L3442" i="1"/>
  <c r="N3442" i="1" s="1"/>
  <c r="H1351" i="2"/>
  <c r="L1351" i="2" s="1"/>
  <c r="L3391" i="1"/>
  <c r="N3391" i="1" s="1"/>
  <c r="H1302" i="2"/>
  <c r="L1302" i="2" s="1"/>
  <c r="L3392" i="1"/>
  <c r="N3392" i="1" s="1"/>
  <c r="H1379" i="2"/>
  <c r="L1379" i="2" s="1"/>
  <c r="L3310" i="1"/>
  <c r="N3310" i="1" s="1"/>
  <c r="L3309" i="1"/>
  <c r="N3309" i="1" s="1"/>
  <c r="H1329" i="2"/>
  <c r="L1329" i="2" s="1"/>
  <c r="L3506" i="1"/>
  <c r="N3506" i="1" s="1"/>
  <c r="L3505" i="1"/>
  <c r="N3505" i="1" s="1"/>
  <c r="H1295" i="2"/>
  <c r="L1295" i="2" s="1"/>
  <c r="L3378" i="1"/>
  <c r="N3378" i="1" s="1"/>
  <c r="L3377" i="1"/>
  <c r="N3377" i="1" s="1"/>
  <c r="L3328" i="1"/>
  <c r="N3328" i="1" s="1"/>
  <c r="L3327" i="1"/>
  <c r="N3327" i="1" s="1"/>
  <c r="H1388" i="2"/>
  <c r="L1388" i="2" s="1"/>
  <c r="L3426" i="1"/>
  <c r="N3426" i="1" s="1"/>
  <c r="L3425" i="1"/>
  <c r="N3425" i="1" s="1"/>
  <c r="H1434" i="2"/>
  <c r="L1434" i="2" s="1"/>
  <c r="H1305" i="2"/>
  <c r="L1305" i="2" s="1"/>
  <c r="L3397" i="1"/>
  <c r="N3397" i="1" s="1"/>
  <c r="L3398" i="1"/>
  <c r="N3398" i="1" s="1"/>
  <c r="H1335" i="2"/>
  <c r="L1335" i="2" s="1"/>
  <c r="L3518" i="1"/>
  <c r="N3518" i="1" s="1"/>
  <c r="H1429" i="2"/>
  <c r="L1429" i="2" s="1"/>
  <c r="L3491" i="1"/>
  <c r="N3491" i="1" s="1"/>
  <c r="L3492" i="1"/>
  <c r="N3492" i="1" s="1"/>
  <c r="H1363" i="2"/>
  <c r="L1363" i="2" s="1"/>
  <c r="L3468" i="1"/>
  <c r="N3468" i="1" s="1"/>
  <c r="L3467" i="1"/>
  <c r="N3467" i="1" s="1"/>
  <c r="H1313" i="2"/>
  <c r="L1313" i="2" s="1"/>
  <c r="L3348" i="1"/>
  <c r="N3348" i="1" s="1"/>
  <c r="L3347" i="1"/>
  <c r="N3347" i="1" s="1"/>
  <c r="H1390" i="2"/>
  <c r="L1390" i="2" s="1"/>
  <c r="L3331" i="1"/>
  <c r="N3331" i="1" s="1"/>
  <c r="L3332" i="1"/>
  <c r="N3332" i="1" s="1"/>
  <c r="L3485" i="1"/>
  <c r="N3485" i="1" s="1"/>
  <c r="L3486" i="1"/>
  <c r="N3486" i="1" s="1"/>
  <c r="H1372" i="2"/>
  <c r="L1372" i="2" s="1"/>
  <c r="H1402" i="2"/>
  <c r="L1402" i="2" s="1"/>
  <c r="L3432" i="1"/>
  <c r="N3432" i="1" s="1"/>
  <c r="H1289" i="2"/>
  <c r="L1289" i="2" s="1"/>
  <c r="L3538" i="1"/>
  <c r="N3538" i="1" s="1"/>
  <c r="L3537" i="1"/>
  <c r="N3537" i="1" s="1"/>
  <c r="H1319" i="2"/>
  <c r="L1319" i="2" s="1"/>
  <c r="L3359" i="1"/>
  <c r="N3359" i="1" s="1"/>
  <c r="L3360" i="1"/>
  <c r="N3360" i="1" s="1"/>
  <c r="H1397" i="2"/>
  <c r="L1397" i="2" s="1"/>
  <c r="L3420" i="1"/>
  <c r="N3420" i="1" s="1"/>
  <c r="L3419" i="1"/>
  <c r="N3419" i="1" s="1"/>
  <c r="H1331" i="2"/>
  <c r="L1331" i="2" s="1"/>
  <c r="L3509" i="1"/>
  <c r="N3509" i="1" s="1"/>
  <c r="L3510" i="1"/>
  <c r="N3510" i="1" s="1"/>
  <c r="L3381" i="1"/>
  <c r="N3381" i="1" s="1"/>
  <c r="L3382" i="1"/>
  <c r="N3382" i="1" s="1"/>
  <c r="H1297" i="2"/>
  <c r="L1297" i="2" s="1"/>
  <c r="H1374" i="2"/>
  <c r="L1374" i="2" s="1"/>
  <c r="L3300" i="1"/>
  <c r="N3300" i="1" s="1"/>
  <c r="L3299" i="1"/>
  <c r="N3299" i="1" s="1"/>
  <c r="L3452" i="1"/>
  <c r="N3452" i="1" s="1"/>
  <c r="H1356" i="2"/>
  <c r="L1356" i="2" s="1"/>
  <c r="L3451" i="1"/>
  <c r="N3451" i="1" s="1"/>
  <c r="L3323" i="1"/>
  <c r="N3323" i="1" s="1"/>
  <c r="L3324" i="1"/>
  <c r="N3324" i="1" s="1"/>
  <c r="H1386" i="2"/>
  <c r="L1386" i="2" s="1"/>
  <c r="H1432" i="2"/>
  <c r="L1432" i="2" s="1"/>
  <c r="L3368" i="1"/>
  <c r="N3368" i="1" s="1"/>
  <c r="L3367" i="1"/>
  <c r="N3367" i="1" s="1"/>
  <c r="L3394" i="1"/>
  <c r="N3394" i="1" s="1"/>
  <c r="H1303" i="2"/>
  <c r="L1303" i="2" s="1"/>
  <c r="L3393" i="1"/>
  <c r="N3393" i="1" s="1"/>
  <c r="H1381" i="2"/>
  <c r="L1381" i="2" s="1"/>
  <c r="L3314" i="1"/>
  <c r="N3314" i="1" s="1"/>
  <c r="L3313" i="1"/>
  <c r="N3313" i="1" s="1"/>
  <c r="H1315" i="2"/>
  <c r="L1315" i="2" s="1"/>
  <c r="L3352" i="1"/>
  <c r="N3352" i="1" s="1"/>
  <c r="L3351" i="1"/>
  <c r="N3351" i="1" s="1"/>
  <c r="H1424" i="2"/>
  <c r="L1424" i="2" s="1"/>
  <c r="L3345" i="1"/>
  <c r="N3345" i="1" s="1"/>
  <c r="L3346" i="1"/>
  <c r="N3346" i="1" s="1"/>
  <c r="H1358" i="2"/>
  <c r="L1358" i="2" s="1"/>
  <c r="L3455" i="1"/>
  <c r="N3455" i="1" s="1"/>
  <c r="L3456" i="1"/>
  <c r="N3456" i="1" s="1"/>
  <c r="H1340" i="2"/>
  <c r="L1340" i="2" s="1"/>
  <c r="L3527" i="1"/>
  <c r="N3527" i="1" s="1"/>
  <c r="L3528" i="1"/>
  <c r="N3528" i="1" s="1"/>
  <c r="H1370" i="2"/>
  <c r="L1370" i="2" s="1"/>
  <c r="L3481" i="1"/>
  <c r="N3481" i="1" s="1"/>
  <c r="L3482" i="1"/>
  <c r="N3482" i="1" s="1"/>
  <c r="H1400" i="2"/>
  <c r="L1400" i="2" s="1"/>
  <c r="L3428" i="1"/>
  <c r="N3428" i="1" s="1"/>
  <c r="L3427" i="1"/>
  <c r="N3427" i="1" s="1"/>
  <c r="L3533" i="1"/>
  <c r="N3533" i="1" s="1"/>
  <c r="L3534" i="1"/>
  <c r="N3534" i="1" s="1"/>
  <c r="H1287" i="2"/>
  <c r="L1287" i="2" s="1"/>
  <c r="I1074" i="2" a="1"/>
  <c r="I1074" i="2" s="1"/>
  <c r="H3245" i="1"/>
  <c r="M3245" i="1" s="1"/>
  <c r="N3245" i="1" s="1"/>
  <c r="H3246" i="1"/>
  <c r="M3246" i="1" s="1"/>
  <c r="N3246" i="1" s="1"/>
  <c r="I1067" i="2" a="1"/>
  <c r="I1067" i="2" s="1"/>
  <c r="L1067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I1063" i="2" a="1"/>
  <c r="I1063" i="2" s="1"/>
  <c r="H3239" i="1"/>
  <c r="M3239" i="1" s="1"/>
  <c r="N3239" i="1" s="1"/>
  <c r="H3240" i="1"/>
  <c r="M3240" i="1" s="1"/>
  <c r="N3240" i="1" s="1"/>
  <c r="H3220" i="1"/>
  <c r="M3220" i="1" s="1"/>
  <c r="N3220" i="1" s="1"/>
  <c r="I1093" i="2" a="1"/>
  <c r="I1093" i="2" s="1"/>
  <c r="L1093" i="2" s="1"/>
  <c r="H3237" i="1"/>
  <c r="M3237" i="1" s="1"/>
  <c r="N3237" i="1" s="1"/>
  <c r="H3238" i="1"/>
  <c r="M3238" i="1" s="1"/>
  <c r="N3238" i="1" s="1"/>
  <c r="I1092" i="2" a="1"/>
  <c r="I1092" i="2" s="1"/>
  <c r="L1092" i="2" s="1"/>
  <c r="H3235" i="1"/>
  <c r="M3235" i="1" s="1"/>
  <c r="N3235" i="1" s="1"/>
  <c r="H3236" i="1"/>
  <c r="M3236" i="1" s="1"/>
  <c r="N3236" i="1" s="1"/>
  <c r="I1091" i="2" a="1"/>
  <c r="I1091" i="2" s="1"/>
  <c r="L1091" i="2" s="1"/>
  <c r="H3233" i="1"/>
  <c r="M3233" i="1" s="1"/>
  <c r="N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I1038" i="2" a="1"/>
  <c r="I1038" i="2" s="1"/>
  <c r="L1038" i="2" s="1"/>
  <c r="H3223" i="1"/>
  <c r="M3223" i="1" s="1"/>
  <c r="N3223" i="1" s="1"/>
  <c r="H3224" i="1"/>
  <c r="M3224" i="1" s="1"/>
  <c r="N3224" i="1" s="1"/>
  <c r="I1034" i="2" a="1"/>
  <c r="I1034" i="2" s="1"/>
  <c r="L1034" i="2" s="1"/>
  <c r="H3221" i="1"/>
  <c r="M3221" i="1" s="1"/>
  <c r="H3222" i="1"/>
  <c r="M3222" i="1" s="1"/>
  <c r="I1002" i="2" a="1"/>
  <c r="I1002" i="2" s="1"/>
  <c r="L1002" i="2" s="1"/>
  <c r="H3228" i="1"/>
  <c r="M3228" i="1" s="1"/>
  <c r="N3228" i="1" s="1"/>
  <c r="H3229" i="1"/>
  <c r="M3229" i="1" s="1"/>
  <c r="N3229" i="1" s="1"/>
  <c r="I915" i="2" a="1"/>
  <c r="I915" i="2" s="1"/>
  <c r="H3225" i="1"/>
  <c r="M3225" i="1" s="1"/>
  <c r="N3225" i="1" s="1"/>
  <c r="H3226" i="1"/>
  <c r="M3226" i="1" s="1"/>
  <c r="N3226" i="1" s="1"/>
  <c r="H3227" i="1"/>
  <c r="M3227" i="1" s="1"/>
  <c r="N3227" i="1" s="1"/>
  <c r="M1236" i="2"/>
  <c r="M1204" i="2"/>
  <c r="M1108" i="2"/>
  <c r="M1076" i="2"/>
  <c r="M1060" i="2"/>
  <c r="M1044" i="2"/>
  <c r="M1028" i="2"/>
  <c r="M996" i="2"/>
  <c r="M980" i="2"/>
  <c r="M964" i="2"/>
  <c r="M916" i="2"/>
  <c r="M900" i="2"/>
  <c r="M884" i="2"/>
  <c r="M852" i="2"/>
  <c r="M836" i="2"/>
  <c r="M820" i="2"/>
  <c r="M804" i="2"/>
  <c r="M772" i="2"/>
  <c r="M756" i="2"/>
  <c r="M724" i="2"/>
  <c r="M708" i="2"/>
  <c r="M692" i="2"/>
  <c r="M676" i="2"/>
  <c r="M660" i="2"/>
  <c r="M644" i="2"/>
  <c r="M628" i="2"/>
  <c r="M612" i="2"/>
  <c r="M596" i="2"/>
  <c r="M564" i="2"/>
  <c r="M548" i="2"/>
  <c r="M532" i="2"/>
  <c r="M516" i="2"/>
  <c r="M484" i="2"/>
  <c r="M468" i="2"/>
  <c r="M452" i="2"/>
  <c r="M436" i="2"/>
  <c r="M420" i="2"/>
  <c r="M404" i="2"/>
  <c r="M388" i="2"/>
  <c r="M372" i="2"/>
  <c r="M356" i="2"/>
  <c r="M340" i="2"/>
  <c r="M324" i="2"/>
  <c r="M308" i="2"/>
  <c r="M292" i="2"/>
  <c r="M276" i="2"/>
  <c r="M260" i="2"/>
  <c r="M244" i="2"/>
  <c r="M228" i="2"/>
  <c r="M212" i="2"/>
  <c r="M196" i="2"/>
  <c r="M164" i="2"/>
  <c r="M148" i="2"/>
  <c r="M132" i="2"/>
  <c r="M116" i="2"/>
  <c r="M100" i="2"/>
  <c r="M84" i="2"/>
  <c r="M68" i="2"/>
  <c r="M52" i="2"/>
  <c r="M36" i="2"/>
  <c r="M20" i="2"/>
  <c r="M1235" i="2"/>
  <c r="M1075" i="2"/>
  <c r="M1059" i="2"/>
  <c r="M1043" i="2"/>
  <c r="M1027" i="2"/>
  <c r="M1011" i="2"/>
  <c r="M995" i="2"/>
  <c r="M979" i="2"/>
  <c r="M963" i="2"/>
  <c r="M947" i="2"/>
  <c r="M931" i="2"/>
  <c r="M867" i="2"/>
  <c r="M851" i="2"/>
  <c r="M835" i="2"/>
  <c r="M803" i="2"/>
  <c r="M771" i="2"/>
  <c r="M755" i="2"/>
  <c r="M723" i="2"/>
  <c r="M707" i="2"/>
  <c r="M691" i="2"/>
  <c r="M675" i="2"/>
  <c r="M659" i="2"/>
  <c r="M643" i="2"/>
  <c r="M627" i="2"/>
  <c r="M611" i="2"/>
  <c r="M595" i="2"/>
  <c r="M579" i="2"/>
  <c r="M563" i="2"/>
  <c r="M531" i="2"/>
  <c r="M515" i="2"/>
  <c r="M483" i="2"/>
  <c r="M451" i="2"/>
  <c r="M435" i="2"/>
  <c r="M403" i="2"/>
  <c r="M387" i="2"/>
  <c r="M371" i="2"/>
  <c r="M355" i="2"/>
  <c r="M339" i="2"/>
  <c r="M323" i="2"/>
  <c r="M307" i="2"/>
  <c r="M291" i="2"/>
  <c r="M275" i="2"/>
  <c r="M259" i="2"/>
  <c r="M243" i="2"/>
  <c r="M227" i="2"/>
  <c r="M211" i="2"/>
  <c r="M195" i="2"/>
  <c r="M179" i="2"/>
  <c r="M163" i="2"/>
  <c r="M147" i="2"/>
  <c r="M131" i="2"/>
  <c r="M115" i="2"/>
  <c r="M99" i="2"/>
  <c r="M83" i="2"/>
  <c r="M67" i="2"/>
  <c r="M51" i="2"/>
  <c r="M35" i="2"/>
  <c r="M19" i="2"/>
  <c r="M1250" i="2"/>
  <c r="M1234" i="2"/>
  <c r="M1186" i="2"/>
  <c r="M1170" i="2"/>
  <c r="M1154" i="2"/>
  <c r="M1138" i="2"/>
  <c r="M1090" i="2"/>
  <c r="M1042" i="2"/>
  <c r="M1026" i="2"/>
  <c r="M994" i="2"/>
  <c r="M978" i="2"/>
  <c r="M962" i="2"/>
  <c r="M914" i="2"/>
  <c r="M898" i="2"/>
  <c r="M882" i="2"/>
  <c r="M850" i="2"/>
  <c r="M834" i="2"/>
  <c r="M786" i="2"/>
  <c r="M770" i="2"/>
  <c r="M754" i="2"/>
  <c r="M738" i="2"/>
  <c r="M722" i="2"/>
  <c r="M706" i="2"/>
  <c r="M690" i="2"/>
  <c r="M674" i="2"/>
  <c r="M610" i="2"/>
  <c r="M578" i="2"/>
  <c r="M546" i="2"/>
  <c r="M530" i="2"/>
  <c r="M498" i="2"/>
  <c r="M482" i="2"/>
  <c r="M450" i="2"/>
  <c r="M434" i="2"/>
  <c r="M386" i="2"/>
  <c r="M370" i="2"/>
  <c r="M354" i="2"/>
  <c r="M338" i="2"/>
  <c r="M322" i="2"/>
  <c r="M306" i="2"/>
  <c r="M290" i="2"/>
  <c r="M258" i="2"/>
  <c r="M242" i="2"/>
  <c r="M226" i="2"/>
  <c r="M210" i="2"/>
  <c r="M194" i="2"/>
  <c r="M178" i="2"/>
  <c r="M162" i="2"/>
  <c r="M146" i="2"/>
  <c r="M130" i="2"/>
  <c r="M114" i="2"/>
  <c r="M98" i="2"/>
  <c r="M82" i="2"/>
  <c r="M66" i="2"/>
  <c r="M50" i="2"/>
  <c r="M34" i="2"/>
  <c r="M18" i="2"/>
  <c r="M1199" i="2"/>
  <c r="M1281" i="2"/>
  <c r="M1217" i="2"/>
  <c r="M1089" i="2"/>
  <c r="M1073" i="2"/>
  <c r="M1057" i="2"/>
  <c r="M1041" i="2"/>
  <c r="M1025" i="2"/>
  <c r="M1009" i="2"/>
  <c r="M993" i="2"/>
  <c r="M961" i="2"/>
  <c r="M913" i="2"/>
  <c r="M865" i="2"/>
  <c r="M849" i="2"/>
  <c r="M833" i="2"/>
  <c r="M785" i="2"/>
  <c r="M769" i="2"/>
  <c r="M753" i="2"/>
  <c r="M737" i="2"/>
  <c r="M705" i="2"/>
  <c r="M689" i="2"/>
  <c r="M673" i="2"/>
  <c r="M657" i="2"/>
  <c r="M625" i="2"/>
  <c r="M609" i="2"/>
  <c r="M577" i="2"/>
  <c r="M545" i="2"/>
  <c r="M529" i="2"/>
  <c r="M513" i="2"/>
  <c r="M497" i="2"/>
  <c r="M449" i="2"/>
  <c r="M417" i="2"/>
  <c r="M385" i="2"/>
  <c r="M369" i="2"/>
  <c r="M337" i="2"/>
  <c r="M321" i="2"/>
  <c r="M305" i="2"/>
  <c r="M289" i="2"/>
  <c r="M257" i="2"/>
  <c r="M241" i="2"/>
  <c r="M225" i="2"/>
  <c r="M209" i="2"/>
  <c r="M177" i="2"/>
  <c r="M161" i="2"/>
  <c r="M145" i="2"/>
  <c r="M129" i="2"/>
  <c r="M113" i="2"/>
  <c r="M97" i="2"/>
  <c r="M81" i="2"/>
  <c r="M65" i="2"/>
  <c r="M49" i="2"/>
  <c r="M17" i="2"/>
  <c r="M1168" i="2"/>
  <c r="M1104" i="2"/>
  <c r="M1088" i="2"/>
  <c r="M1072" i="2"/>
  <c r="M1040" i="2"/>
  <c r="M1024" i="2"/>
  <c r="M992" i="2"/>
  <c r="M976" i="2"/>
  <c r="M960" i="2"/>
  <c r="M944" i="2"/>
  <c r="M912" i="2"/>
  <c r="M864" i="2"/>
  <c r="M848" i="2"/>
  <c r="M832" i="2"/>
  <c r="M816" i="2"/>
  <c r="M800" i="2"/>
  <c r="M784" i="2"/>
  <c r="M752" i="2"/>
  <c r="M736" i="2"/>
  <c r="M704" i="2"/>
  <c r="M672" i="2"/>
  <c r="M656" i="2"/>
  <c r="M624" i="2"/>
  <c r="M592" i="2"/>
  <c r="M576" i="2"/>
  <c r="M544" i="2"/>
  <c r="M512" i="2"/>
  <c r="M496" i="2"/>
  <c r="M464" i="2"/>
  <c r="M448" i="2"/>
  <c r="M432" i="2"/>
  <c r="M416" i="2"/>
  <c r="M384" i="2"/>
  <c r="M368" i="2"/>
  <c r="M352" i="2"/>
  <c r="M336" i="2"/>
  <c r="M320" i="2"/>
  <c r="M304" i="2"/>
  <c r="M288" i="2"/>
  <c r="M272" i="2"/>
  <c r="M256" i="2"/>
  <c r="M240" i="2"/>
  <c r="M224" i="2"/>
  <c r="M208" i="2"/>
  <c r="M192" i="2"/>
  <c r="M176" i="2"/>
  <c r="M144" i="2"/>
  <c r="M128" i="2"/>
  <c r="M112" i="2"/>
  <c r="M96" i="2"/>
  <c r="M80" i="2"/>
  <c r="M64" i="2"/>
  <c r="M48" i="2"/>
  <c r="M32" i="2"/>
  <c r="M16" i="2"/>
  <c r="M1103" i="2"/>
  <c r="M1087" i="2"/>
  <c r="M1071" i="2"/>
  <c r="M1039" i="2"/>
  <c r="M1023" i="2"/>
  <c r="M1007" i="2"/>
  <c r="M991" i="2"/>
  <c r="M975" i="2"/>
  <c r="M959" i="2"/>
  <c r="M943" i="2"/>
  <c r="M927" i="2"/>
  <c r="M911" i="2"/>
  <c r="M895" i="2"/>
  <c r="M879" i="2"/>
  <c r="M847" i="2"/>
  <c r="M831" i="2"/>
  <c r="M815" i="2"/>
  <c r="M799" i="2"/>
  <c r="M783" i="2"/>
  <c r="M767" i="2"/>
  <c r="M751" i="2"/>
  <c r="M735" i="2"/>
  <c r="M703" i="2"/>
  <c r="M687" i="2"/>
  <c r="M671" i="2"/>
  <c r="M655" i="2"/>
  <c r="M639" i="2"/>
  <c r="M623" i="2"/>
  <c r="M591" i="2"/>
  <c r="M575" i="2"/>
  <c r="M543" i="2"/>
  <c r="M527" i="2"/>
  <c r="M511" i="2"/>
  <c r="M495" i="2"/>
  <c r="M463" i="2"/>
  <c r="M447" i="2"/>
  <c r="M431" i="2"/>
  <c r="M415" i="2"/>
  <c r="M399" i="2"/>
  <c r="M383" i="2"/>
  <c r="M367" i="2"/>
  <c r="M351" i="2"/>
  <c r="M335" i="2"/>
  <c r="M303" i="2"/>
  <c r="M287" i="2"/>
  <c r="M271" i="2"/>
  <c r="M255" i="2"/>
  <c r="M239" i="2"/>
  <c r="M223" i="2"/>
  <c r="M207" i="2"/>
  <c r="M191" i="2"/>
  <c r="M175" i="2"/>
  <c r="M143" i="2"/>
  <c r="M127" i="2"/>
  <c r="M111" i="2"/>
  <c r="M95" i="2"/>
  <c r="M63" i="2"/>
  <c r="M47" i="2"/>
  <c r="M31" i="2"/>
  <c r="M15" i="2"/>
  <c r="M1214" i="2"/>
  <c r="M1150" i="2"/>
  <c r="M1134" i="2"/>
  <c r="M1102" i="2"/>
  <c r="M1086" i="2"/>
  <c r="M1070" i="2"/>
  <c r="M1054" i="2"/>
  <c r="M1022" i="2"/>
  <c r="M1006" i="2"/>
  <c r="M990" i="2"/>
  <c r="M974" i="2"/>
  <c r="M958" i="2"/>
  <c r="M942" i="2"/>
  <c r="M926" i="2"/>
  <c r="M910" i="2"/>
  <c r="M878" i="2"/>
  <c r="M846" i="2"/>
  <c r="M830" i="2"/>
  <c r="M798" i="2"/>
  <c r="M782" i="2"/>
  <c r="M750" i="2"/>
  <c r="M686" i="2"/>
  <c r="M670" i="2"/>
  <c r="M622" i="2"/>
  <c r="M590" i="2"/>
  <c r="M526" i="2"/>
  <c r="M510" i="2"/>
  <c r="M494" i="2"/>
  <c r="M478" i="2"/>
  <c r="M462" i="2"/>
  <c r="M446" i="2"/>
  <c r="M430" i="2"/>
  <c r="M398" i="2"/>
  <c r="M382" i="2"/>
  <c r="M366" i="2"/>
  <c r="M350" i="2"/>
  <c r="M334" i="2"/>
  <c r="M302" i="2"/>
  <c r="M286" i="2"/>
  <c r="M270" i="2"/>
  <c r="M238" i="2"/>
  <c r="M222" i="2"/>
  <c r="M206" i="2"/>
  <c r="M190" i="2"/>
  <c r="M174" i="2"/>
  <c r="M158" i="2"/>
  <c r="M142" i="2"/>
  <c r="M126" i="2"/>
  <c r="M110" i="2"/>
  <c r="M94" i="2"/>
  <c r="M78" i="2"/>
  <c r="M62" i="2"/>
  <c r="M46" i="2"/>
  <c r="M30" i="2"/>
  <c r="M14" i="2"/>
  <c r="M1230" i="2"/>
  <c r="M1198" i="2"/>
  <c r="M1261" i="2"/>
  <c r="M1181" i="2"/>
  <c r="M1165" i="2"/>
  <c r="M1149" i="2"/>
  <c r="M1085" i="2"/>
  <c r="M1069" i="2"/>
  <c r="M1037" i="2"/>
  <c r="M1021" i="2"/>
  <c r="M1005" i="2"/>
  <c r="M989" i="2"/>
  <c r="M957" i="2"/>
  <c r="M941" i="2"/>
  <c r="M925" i="2"/>
  <c r="M909" i="2"/>
  <c r="M845" i="2"/>
  <c r="M829" i="2"/>
  <c r="M765" i="2"/>
  <c r="M749" i="2"/>
  <c r="M717" i="2"/>
  <c r="M701" i="2"/>
  <c r="M685" i="2"/>
  <c r="M669" i="2"/>
  <c r="M605" i="2"/>
  <c r="M589" i="2"/>
  <c r="M541" i="2"/>
  <c r="M525" i="2"/>
  <c r="M509" i="2"/>
  <c r="M445" i="2"/>
  <c r="M429" i="2"/>
  <c r="M397" i="2"/>
  <c r="M365" i="2"/>
  <c r="M349" i="2"/>
  <c r="M317" i="2"/>
  <c r="M301" i="2"/>
  <c r="M285" i="2"/>
  <c r="M269" i="2"/>
  <c r="M237" i="2"/>
  <c r="M221" i="2"/>
  <c r="M205" i="2"/>
  <c r="M189" i="2"/>
  <c r="M157" i="2"/>
  <c r="M141" i="2"/>
  <c r="M125" i="2"/>
  <c r="M109" i="2"/>
  <c r="M93" i="2"/>
  <c r="M77" i="2"/>
  <c r="M61" i="2"/>
  <c r="M45" i="2"/>
  <c r="M29" i="2"/>
  <c r="M1276" i="2"/>
  <c r="M1244" i="2"/>
  <c r="M1180" i="2"/>
  <c r="M1132" i="2"/>
  <c r="M1084" i="2"/>
  <c r="M1068" i="2"/>
  <c r="M1036" i="2"/>
  <c r="M1020" i="2"/>
  <c r="M1004" i="2"/>
  <c r="M988" i="2"/>
  <c r="M972" i="2"/>
  <c r="M956" i="2"/>
  <c r="M924" i="2"/>
  <c r="M908" i="2"/>
  <c r="M892" i="2"/>
  <c r="M876" i="2"/>
  <c r="M860" i="2"/>
  <c r="M844" i="2"/>
  <c r="M828" i="2"/>
  <c r="M812" i="2"/>
  <c r="M796" i="2"/>
  <c r="M764" i="2"/>
  <c r="M748" i="2"/>
  <c r="M732" i="2"/>
  <c r="M716" i="2"/>
  <c r="M700" i="2"/>
  <c r="M652" i="2"/>
  <c r="M636" i="2"/>
  <c r="M620" i="2"/>
  <c r="M604" i="2"/>
  <c r="M572" i="2"/>
  <c r="M556" i="2"/>
  <c r="M524" i="2"/>
  <c r="M508" i="2"/>
  <c r="M492" i="2"/>
  <c r="M476" i="2"/>
  <c r="M460" i="2"/>
  <c r="M444" i="2"/>
  <c r="M428" i="2"/>
  <c r="M412" i="2"/>
  <c r="M396" i="2"/>
  <c r="M380" i="2"/>
  <c r="M364" i="2"/>
  <c r="M348" i="2"/>
  <c r="M332" i="2"/>
  <c r="M316" i="2"/>
  <c r="M300" i="2"/>
  <c r="M284" i="2"/>
  <c r="M268" i="2"/>
  <c r="M252" i="2"/>
  <c r="M236" i="2"/>
  <c r="M220" i="2"/>
  <c r="M204" i="2"/>
  <c r="M188" i="2"/>
  <c r="M172" i="2"/>
  <c r="M156" i="2"/>
  <c r="M140" i="2"/>
  <c r="M124" i="2"/>
  <c r="M108" i="2"/>
  <c r="M92" i="2"/>
  <c r="M76" i="2"/>
  <c r="M60" i="2"/>
  <c r="M44" i="2"/>
  <c r="M28" i="2"/>
  <c r="M12" i="2"/>
  <c r="M1163" i="2"/>
  <c r="M1131" i="2"/>
  <c r="M1099" i="2"/>
  <c r="M1083" i="2"/>
  <c r="M1035" i="2"/>
  <c r="M1019" i="2"/>
  <c r="M1003" i="2"/>
  <c r="M955" i="2"/>
  <c r="M939" i="2"/>
  <c r="M923" i="2"/>
  <c r="M907" i="2"/>
  <c r="M891" i="2"/>
  <c r="M875" i="2"/>
  <c r="M827" i="2"/>
  <c r="M811" i="2"/>
  <c r="M795" i="2"/>
  <c r="M763" i="2"/>
  <c r="M731" i="2"/>
  <c r="M715" i="2"/>
  <c r="M699" i="2"/>
  <c r="M683" i="2"/>
  <c r="M651" i="2"/>
  <c r="M635" i="2"/>
  <c r="M619" i="2"/>
  <c r="M603" i="2"/>
  <c r="M587" i="2"/>
  <c r="M571" i="2"/>
  <c r="M555" i="2"/>
  <c r="M523" i="2"/>
  <c r="M507" i="2"/>
  <c r="M491" i="2"/>
  <c r="M475" i="2"/>
  <c r="M459" i="2"/>
  <c r="M443" i="2"/>
  <c r="M427" i="2"/>
  <c r="M411" i="2"/>
  <c r="M395" i="2"/>
  <c r="M379" i="2"/>
  <c r="M363" i="2"/>
  <c r="M347" i="2"/>
  <c r="M331" i="2"/>
  <c r="M315" i="2"/>
  <c r="M283" i="2"/>
  <c r="M267" i="2"/>
  <c r="M251" i="2"/>
  <c r="M235" i="2"/>
  <c r="M203" i="2"/>
  <c r="M187" i="2"/>
  <c r="M171" i="2"/>
  <c r="M155" i="2"/>
  <c r="M139" i="2"/>
  <c r="M123" i="2"/>
  <c r="M107" i="2"/>
  <c r="M91" i="2"/>
  <c r="M75" i="2"/>
  <c r="M59" i="2"/>
  <c r="M43" i="2"/>
  <c r="M27" i="2"/>
  <c r="M11" i="2"/>
  <c r="M1275" i="2"/>
  <c r="M1274" i="2"/>
  <c r="M1210" i="2"/>
  <c r="M1194" i="2"/>
  <c r="M1162" i="2"/>
  <c r="M1130" i="2"/>
  <c r="M1114" i="2"/>
  <c r="M1082" i="2"/>
  <c r="M1066" i="2"/>
  <c r="M1050" i="2"/>
  <c r="M1018" i="2"/>
  <c r="M986" i="2"/>
  <c r="M970" i="2"/>
  <c r="M954" i="2"/>
  <c r="M938" i="2"/>
  <c r="M922" i="2"/>
  <c r="M906" i="2"/>
  <c r="M890" i="2"/>
  <c r="M826" i="2"/>
  <c r="M810" i="2"/>
  <c r="M778" i="2"/>
  <c r="M730" i="2"/>
  <c r="M666" i="2"/>
  <c r="M650" i="2"/>
  <c r="M570" i="2"/>
  <c r="M554" i="2"/>
  <c r="M490" i="2"/>
  <c r="M474" i="2"/>
  <c r="M442" i="2"/>
  <c r="M426" i="2"/>
  <c r="M410" i="2"/>
  <c r="M394" i="2"/>
  <c r="M378" i="2"/>
  <c r="M362" i="2"/>
  <c r="M330" i="2"/>
  <c r="M282" i="2"/>
  <c r="M266" i="2"/>
  <c r="M250" i="2"/>
  <c r="M218" i="2"/>
  <c r="M202" i="2"/>
  <c r="M186" i="2"/>
  <c r="M170" i="2"/>
  <c r="M154" i="2"/>
  <c r="M138" i="2"/>
  <c r="M122" i="2"/>
  <c r="M106" i="2"/>
  <c r="M90" i="2"/>
  <c r="M74" i="2"/>
  <c r="M58" i="2"/>
  <c r="M42" i="2"/>
  <c r="M26" i="2"/>
  <c r="M10" i="2"/>
  <c r="M1241" i="2"/>
  <c r="M1145" i="2"/>
  <c r="M1129" i="2"/>
  <c r="M1113" i="2"/>
  <c r="M1097" i="2"/>
  <c r="M1081" i="2"/>
  <c r="M1049" i="2"/>
  <c r="M1033" i="2"/>
  <c r="M1017" i="2"/>
  <c r="M1001" i="2"/>
  <c r="M985" i="2"/>
  <c r="M969" i="2"/>
  <c r="M937" i="2"/>
  <c r="M921" i="2"/>
  <c r="M905" i="2"/>
  <c r="M889" i="2"/>
  <c r="M873" i="2"/>
  <c r="M825" i="2"/>
  <c r="M809" i="2"/>
  <c r="M793" i="2"/>
  <c r="M777" i="2"/>
  <c r="M761" i="2"/>
  <c r="M745" i="2"/>
  <c r="M729" i="2"/>
  <c r="M681" i="2"/>
  <c r="M617" i="2"/>
  <c r="M585" i="2"/>
  <c r="M569" i="2"/>
  <c r="M521" i="2"/>
  <c r="M505" i="2"/>
  <c r="M489" i="2"/>
  <c r="M457" i="2"/>
  <c r="M441" i="2"/>
  <c r="M425" i="2"/>
  <c r="M409" i="2"/>
  <c r="M377" i="2"/>
  <c r="M361" i="2"/>
  <c r="M345" i="2"/>
  <c r="M329" i="2"/>
  <c r="M297" i="2"/>
  <c r="M281" i="2"/>
  <c r="M265" i="2"/>
  <c r="M249" i="2"/>
  <c r="M233" i="2"/>
  <c r="M217" i="2"/>
  <c r="M201" i="2"/>
  <c r="M185" i="2"/>
  <c r="M169" i="2"/>
  <c r="M153" i="2"/>
  <c r="M137" i="2"/>
  <c r="M121" i="2"/>
  <c r="M105" i="2"/>
  <c r="M89" i="2"/>
  <c r="M57" i="2"/>
  <c r="M41" i="2"/>
  <c r="M25" i="2"/>
  <c r="M9" i="2"/>
  <c r="M1256" i="2"/>
  <c r="M1224" i="2"/>
  <c r="M1144" i="2"/>
  <c r="M1128" i="2"/>
  <c r="M1096" i="2"/>
  <c r="M1080" i="2"/>
  <c r="M1048" i="2"/>
  <c r="M1032" i="2"/>
  <c r="M1016" i="2"/>
  <c r="M1000" i="2"/>
  <c r="M984" i="2"/>
  <c r="M952" i="2"/>
  <c r="M936" i="2"/>
  <c r="M920" i="2"/>
  <c r="M904" i="2"/>
  <c r="M888" i="2"/>
  <c r="M872" i="2"/>
  <c r="M856" i="2"/>
  <c r="M840" i="2"/>
  <c r="M824" i="2"/>
  <c r="M808" i="2"/>
  <c r="M792" i="2"/>
  <c r="M776" i="2"/>
  <c r="M760" i="2"/>
  <c r="M728" i="2"/>
  <c r="M712" i="2"/>
  <c r="M696" i="2"/>
  <c r="M664" i="2"/>
  <c r="M648" i="2"/>
  <c r="M632" i="2"/>
  <c r="M616" i="2"/>
  <c r="M600" i="2"/>
  <c r="M584" i="2"/>
  <c r="M552" i="2"/>
  <c r="M536" i="2"/>
  <c r="M520" i="2"/>
  <c r="M504" i="2"/>
  <c r="M488" i="2"/>
  <c r="M472" i="2"/>
  <c r="M456" i="2"/>
  <c r="M440" i="2"/>
  <c r="M424" i="2"/>
  <c r="M408" i="2"/>
  <c r="M392" i="2"/>
  <c r="M376" i="2"/>
  <c r="M360" i="2"/>
  <c r="M344" i="2"/>
  <c r="M328" i="2"/>
  <c r="M312" i="2"/>
  <c r="M296" i="2"/>
  <c r="M280" i="2"/>
  <c r="M264" i="2"/>
  <c r="M248" i="2"/>
  <c r="M232" i="2"/>
  <c r="M216" i="2"/>
  <c r="M184" i="2"/>
  <c r="M168" i="2"/>
  <c r="M152" i="2"/>
  <c r="M136" i="2"/>
  <c r="M120" i="2"/>
  <c r="M104" i="2"/>
  <c r="M88" i="2"/>
  <c r="M72" i="2"/>
  <c r="M56" i="2"/>
  <c r="M40" i="2"/>
  <c r="M24" i="2"/>
  <c r="M8" i="2"/>
  <c r="M1143" i="2"/>
  <c r="M1127" i="2"/>
  <c r="M1095" i="2"/>
  <c r="M1079" i="2"/>
  <c r="M1031" i="2"/>
  <c r="M1015" i="2"/>
  <c r="M999" i="2"/>
  <c r="M983" i="2"/>
  <c r="M967" i="2"/>
  <c r="M951" i="2"/>
  <c r="M935" i="2"/>
  <c r="M919" i="2"/>
  <c r="M903" i="2"/>
  <c r="M887" i="2"/>
  <c r="M871" i="2"/>
  <c r="M855" i="2"/>
  <c r="M839" i="2"/>
  <c r="M823" i="2"/>
  <c r="M791" i="2"/>
  <c r="M775" i="2"/>
  <c r="M759" i="2"/>
  <c r="M743" i="2"/>
  <c r="M711" i="2"/>
  <c r="M695" i="2"/>
  <c r="M679" i="2"/>
  <c r="M663" i="2"/>
  <c r="M647" i="2"/>
  <c r="M631" i="2"/>
  <c r="M615" i="2"/>
  <c r="M583" i="2"/>
  <c r="M567" i="2"/>
  <c r="M551" i="2"/>
  <c r="M535" i="2"/>
  <c r="M503" i="2"/>
  <c r="M487" i="2"/>
  <c r="M471" i="2"/>
  <c r="M455" i="2"/>
  <c r="M439" i="2"/>
  <c r="M423" i="2"/>
  <c r="M391" i="2"/>
  <c r="M375" i="2"/>
  <c r="M343" i="2"/>
  <c r="M327" i="2"/>
  <c r="M311" i="2"/>
  <c r="M295" i="2"/>
  <c r="M279" i="2"/>
  <c r="M263" i="2"/>
  <c r="M247" i="2"/>
  <c r="M231" i="2"/>
  <c r="M215" i="2"/>
  <c r="M199" i="2"/>
  <c r="M183" i="2"/>
  <c r="M167" i="2"/>
  <c r="M151" i="2"/>
  <c r="M135" i="2"/>
  <c r="M119" i="2"/>
  <c r="M103" i="2"/>
  <c r="M87" i="2"/>
  <c r="M71" i="2"/>
  <c r="M55" i="2"/>
  <c r="M39" i="2"/>
  <c r="M23" i="2"/>
  <c r="M7" i="2"/>
  <c r="M1255" i="2"/>
  <c r="M1270" i="2"/>
  <c r="M1254" i="2"/>
  <c r="M1222" i="2"/>
  <c r="M1190" i="2"/>
  <c r="M1174" i="2"/>
  <c r="M1126" i="2"/>
  <c r="M1110" i="2"/>
  <c r="M1078" i="2"/>
  <c r="M1062" i="2"/>
  <c r="M1030" i="2"/>
  <c r="M998" i="2"/>
  <c r="M982" i="2"/>
  <c r="M950" i="2"/>
  <c r="M934" i="2"/>
  <c r="M918" i="2"/>
  <c r="M902" i="2"/>
  <c r="M886" i="2"/>
  <c r="M870" i="2"/>
  <c r="M822" i="2"/>
  <c r="M790" i="2"/>
  <c r="M758" i="2"/>
  <c r="M726" i="2"/>
  <c r="M710" i="2"/>
  <c r="M678" i="2"/>
  <c r="M662" i="2"/>
  <c r="M646" i="2"/>
  <c r="M630" i="2"/>
  <c r="M582" i="2"/>
  <c r="M566" i="2"/>
  <c r="M550" i="2"/>
  <c r="M518" i="2"/>
  <c r="M486" i="2"/>
  <c r="M470" i="2"/>
  <c r="M438" i="2"/>
  <c r="M406" i="2"/>
  <c r="M390" i="2"/>
  <c r="M374" i="2"/>
  <c r="M358" i="2"/>
  <c r="M342" i="2"/>
  <c r="M326" i="2"/>
  <c r="M310" i="2"/>
  <c r="M294" i="2"/>
  <c r="M278" i="2"/>
  <c r="M262" i="2"/>
  <c r="M246" i="2"/>
  <c r="M230" i="2"/>
  <c r="M198" i="2"/>
  <c r="M182" i="2"/>
  <c r="M166" i="2"/>
  <c r="M150" i="2"/>
  <c r="M134" i="2"/>
  <c r="M118" i="2"/>
  <c r="M102" i="2"/>
  <c r="M86" i="2"/>
  <c r="M70" i="2"/>
  <c r="M54" i="2"/>
  <c r="M38" i="2"/>
  <c r="M22" i="2"/>
  <c r="M6" i="2"/>
  <c r="M1125" i="2"/>
  <c r="M1109" i="2"/>
  <c r="M1077" i="2"/>
  <c r="M1061" i="2"/>
  <c r="M1045" i="2"/>
  <c r="M1029" i="2"/>
  <c r="M997" i="2"/>
  <c r="M981" i="2"/>
  <c r="M965" i="2"/>
  <c r="M949" i="2"/>
  <c r="M933" i="2"/>
  <c r="M917" i="2"/>
  <c r="M901" i="2"/>
  <c r="M885" i="2"/>
  <c r="M869" i="2"/>
  <c r="M789" i="2"/>
  <c r="M757" i="2"/>
  <c r="M725" i="2"/>
  <c r="M709" i="2"/>
  <c r="M677" i="2"/>
  <c r="M661" i="2"/>
  <c r="M645" i="2"/>
  <c r="M629" i="2"/>
  <c r="M597" i="2"/>
  <c r="M581" i="2"/>
  <c r="M565" i="2"/>
  <c r="M549" i="2"/>
  <c r="M517" i="2"/>
  <c r="M501" i="2"/>
  <c r="M485" i="2"/>
  <c r="M469" i="2"/>
  <c r="M437" i="2"/>
  <c r="M421" i="2"/>
  <c r="M405" i="2"/>
  <c r="M389" i="2"/>
  <c r="M357" i="2"/>
  <c r="M325" i="2"/>
  <c r="M309" i="2"/>
  <c r="M277" i="2"/>
  <c r="M261" i="2"/>
  <c r="M245" i="2"/>
  <c r="M229" i="2"/>
  <c r="M197" i="2"/>
  <c r="M181" i="2"/>
  <c r="M165" i="2"/>
  <c r="M149" i="2"/>
  <c r="M133" i="2"/>
  <c r="M117" i="2"/>
  <c r="M101" i="2"/>
  <c r="M85" i="2"/>
  <c r="M69" i="2"/>
  <c r="M37" i="2"/>
  <c r="M21" i="2"/>
  <c r="M5" i="2"/>
  <c r="I1284" i="2" a="1"/>
  <c r="I1284" i="2" s="1"/>
  <c r="L1284" i="2" s="1"/>
  <c r="I1268" i="2" a="1"/>
  <c r="I1268" i="2" s="1"/>
  <c r="L1268" i="2" s="1"/>
  <c r="I1252" i="2" a="1"/>
  <c r="I1252" i="2" s="1"/>
  <c r="L1252" i="2" s="1"/>
  <c r="I1220" i="2" a="1"/>
  <c r="I1220" i="2" s="1"/>
  <c r="L1220" i="2" s="1"/>
  <c r="I1188" i="2" a="1"/>
  <c r="I1188" i="2" s="1"/>
  <c r="L1188" i="2" s="1"/>
  <c r="I1172" i="2" a="1"/>
  <c r="I1172" i="2" s="1"/>
  <c r="L1172" i="2" s="1"/>
  <c r="I1156" i="2" a="1"/>
  <c r="I1156" i="2" s="1"/>
  <c r="L1156" i="2" s="1"/>
  <c r="I1140" i="2" a="1"/>
  <c r="I1140" i="2" s="1"/>
  <c r="L1140" i="2" s="1"/>
  <c r="I1012" i="2" a="1"/>
  <c r="I1012" i="2" s="1"/>
  <c r="L1012" i="2" s="1"/>
  <c r="I948" i="2" a="1"/>
  <c r="I948" i="2" s="1"/>
  <c r="L948" i="2" s="1"/>
  <c r="I932" i="2" a="1"/>
  <c r="I932" i="2" s="1"/>
  <c r="L932" i="2" s="1"/>
  <c r="I868" i="2" a="1"/>
  <c r="I868" i="2" s="1"/>
  <c r="L868" i="2" s="1"/>
  <c r="I788" i="2" a="1"/>
  <c r="I788" i="2" s="1"/>
  <c r="L788" i="2" s="1"/>
  <c r="I740" i="2" a="1"/>
  <c r="I740" i="2" s="1"/>
  <c r="L740" i="2" s="1"/>
  <c r="I580" i="2" a="1"/>
  <c r="I580" i="2" s="1"/>
  <c r="L580" i="2" s="1"/>
  <c r="I500" i="2" a="1"/>
  <c r="I500" i="2" s="1"/>
  <c r="L500" i="2" s="1"/>
  <c r="I180" i="2" a="1"/>
  <c r="I180" i="2" s="1"/>
  <c r="L180" i="2" s="1"/>
  <c r="I1283" i="2" a="1"/>
  <c r="I1283" i="2" s="1"/>
  <c r="L1283" i="2" s="1"/>
  <c r="I1267" i="2" a="1"/>
  <c r="I1267" i="2" s="1"/>
  <c r="L1267" i="2" s="1"/>
  <c r="I1251" i="2" a="1"/>
  <c r="I1251" i="2" s="1"/>
  <c r="L1251" i="2" s="1"/>
  <c r="I1219" i="2" a="1"/>
  <c r="I1219" i="2" s="1"/>
  <c r="L1219" i="2" s="1"/>
  <c r="I1203" i="2" a="1"/>
  <c r="I1203" i="2" s="1"/>
  <c r="L1203" i="2" s="1"/>
  <c r="I1187" i="2" a="1"/>
  <c r="I1187" i="2" s="1"/>
  <c r="L1187" i="2" s="1"/>
  <c r="I1171" i="2" a="1"/>
  <c r="I1171" i="2" s="1"/>
  <c r="L1171" i="2" s="1"/>
  <c r="I1155" i="2" a="1"/>
  <c r="I1155" i="2" s="1"/>
  <c r="L1155" i="2" s="1"/>
  <c r="I1139" i="2" a="1"/>
  <c r="I1139" i="2" s="1"/>
  <c r="L1139" i="2" s="1"/>
  <c r="I1123" i="2" a="1"/>
  <c r="I1123" i="2" s="1"/>
  <c r="L1123" i="2" s="1"/>
  <c r="I1107" i="2" a="1"/>
  <c r="I1107" i="2" s="1"/>
  <c r="L1107" i="2" s="1"/>
  <c r="I899" i="2" a="1"/>
  <c r="I899" i="2" s="1"/>
  <c r="L899" i="2" s="1"/>
  <c r="I883" i="2" a="1"/>
  <c r="I883" i="2" s="1"/>
  <c r="L883" i="2" s="1"/>
  <c r="I819" i="2" a="1"/>
  <c r="I819" i="2" s="1"/>
  <c r="L819" i="2" s="1"/>
  <c r="I787" i="2" a="1"/>
  <c r="I787" i="2" s="1"/>
  <c r="L787" i="2" s="1"/>
  <c r="I739" i="2" a="1"/>
  <c r="I739" i="2" s="1"/>
  <c r="L739" i="2" s="1"/>
  <c r="I547" i="2" a="1"/>
  <c r="I547" i="2" s="1"/>
  <c r="L547" i="2" s="1"/>
  <c r="I499" i="2" a="1"/>
  <c r="I499" i="2" s="1"/>
  <c r="L499" i="2" s="1"/>
  <c r="I467" i="2" a="1"/>
  <c r="I467" i="2" s="1"/>
  <c r="L467" i="2" s="1"/>
  <c r="I419" i="2" a="1"/>
  <c r="I419" i="2" s="1"/>
  <c r="L419" i="2" s="1"/>
  <c r="I1282" i="2" a="1"/>
  <c r="I1282" i="2" s="1"/>
  <c r="L1282" i="2" s="1"/>
  <c r="I1266" i="2" a="1"/>
  <c r="I1266" i="2" s="1"/>
  <c r="L1266" i="2" s="1"/>
  <c r="I1218" i="2" a="1"/>
  <c r="I1218" i="2" s="1"/>
  <c r="L1218" i="2" s="1"/>
  <c r="I1202" i="2" a="1"/>
  <c r="I1202" i="2" s="1"/>
  <c r="L1202" i="2" s="1"/>
  <c r="I1122" i="2" a="1"/>
  <c r="I1122" i="2" s="1"/>
  <c r="L1122" i="2" s="1"/>
  <c r="I1106" i="2" a="1"/>
  <c r="I1106" i="2" s="1"/>
  <c r="L1106" i="2" s="1"/>
  <c r="I1058" i="2" a="1"/>
  <c r="I1058" i="2" s="1"/>
  <c r="L1058" i="2" s="1"/>
  <c r="I1010" i="2" a="1"/>
  <c r="I1010" i="2" s="1"/>
  <c r="L1010" i="2" s="1"/>
  <c r="I946" i="2" a="1"/>
  <c r="I946" i="2" s="1"/>
  <c r="L946" i="2" s="1"/>
  <c r="I930" i="2" a="1"/>
  <c r="I930" i="2" s="1"/>
  <c r="L930" i="2" s="1"/>
  <c r="I866" i="2" a="1"/>
  <c r="I866" i="2" s="1"/>
  <c r="L866" i="2" s="1"/>
  <c r="I818" i="2" a="1"/>
  <c r="I818" i="2" s="1"/>
  <c r="L818" i="2" s="1"/>
  <c r="I802" i="2" a="1"/>
  <c r="I802" i="2" s="1"/>
  <c r="L802" i="2" s="1"/>
  <c r="I658" i="2" a="1"/>
  <c r="I658" i="2" s="1"/>
  <c r="L658" i="2" s="1"/>
  <c r="I642" i="2" a="1"/>
  <c r="I642" i="2" s="1"/>
  <c r="L642" i="2" s="1"/>
  <c r="I626" i="2" a="1"/>
  <c r="I626" i="2" s="1"/>
  <c r="L626" i="2" s="1"/>
  <c r="I594" i="2" a="1"/>
  <c r="I594" i="2" s="1"/>
  <c r="L594" i="2" s="1"/>
  <c r="I562" i="2" a="1"/>
  <c r="I562" i="2" s="1"/>
  <c r="L562" i="2" s="1"/>
  <c r="I514" i="2" a="1"/>
  <c r="I514" i="2" s="1"/>
  <c r="L514" i="2" s="1"/>
  <c r="I466" i="2" a="1"/>
  <c r="I466" i="2" s="1"/>
  <c r="L466" i="2" s="1"/>
  <c r="I418" i="2" a="1"/>
  <c r="I418" i="2" s="1"/>
  <c r="L418" i="2" s="1"/>
  <c r="I402" i="2" a="1"/>
  <c r="I402" i="2" s="1"/>
  <c r="L402" i="2" s="1"/>
  <c r="I274" i="2" a="1"/>
  <c r="I274" i="2" s="1"/>
  <c r="L274" i="2" s="1"/>
  <c r="I1265" i="2" a="1"/>
  <c r="I1265" i="2" s="1"/>
  <c r="L1265" i="2" s="1"/>
  <c r="I1249" i="2" a="1"/>
  <c r="I1249" i="2" s="1"/>
  <c r="L1249" i="2" s="1"/>
  <c r="I1233" i="2" a="1"/>
  <c r="I1233" i="2" s="1"/>
  <c r="L1233" i="2" s="1"/>
  <c r="I1201" i="2" a="1"/>
  <c r="I1201" i="2" s="1"/>
  <c r="L1201" i="2" s="1"/>
  <c r="I1185" i="2" a="1"/>
  <c r="I1185" i="2" s="1"/>
  <c r="L1185" i="2" s="1"/>
  <c r="I1169" i="2" a="1"/>
  <c r="I1169" i="2" s="1"/>
  <c r="L1169" i="2" s="1"/>
  <c r="I1153" i="2" a="1"/>
  <c r="I1153" i="2" s="1"/>
  <c r="L1153" i="2" s="1"/>
  <c r="I1137" i="2" a="1"/>
  <c r="I1137" i="2" s="1"/>
  <c r="L1137" i="2" s="1"/>
  <c r="I1121" i="2" a="1"/>
  <c r="I1121" i="2" s="1"/>
  <c r="L1121" i="2" s="1"/>
  <c r="I1105" i="2" a="1"/>
  <c r="I1105" i="2" s="1"/>
  <c r="L1105" i="2" s="1"/>
  <c r="I977" i="2" a="1"/>
  <c r="I977" i="2" s="1"/>
  <c r="L977" i="2" s="1"/>
  <c r="I945" i="2" a="1"/>
  <c r="I945" i="2" s="1"/>
  <c r="L945" i="2" s="1"/>
  <c r="I929" i="2" a="1"/>
  <c r="I929" i="2" s="1"/>
  <c r="L929" i="2" s="1"/>
  <c r="I897" i="2" a="1"/>
  <c r="I897" i="2" s="1"/>
  <c r="L897" i="2" s="1"/>
  <c r="I881" i="2" a="1"/>
  <c r="I881" i="2" s="1"/>
  <c r="L881" i="2" s="1"/>
  <c r="I817" i="2" a="1"/>
  <c r="I817" i="2" s="1"/>
  <c r="L817" i="2" s="1"/>
  <c r="I801" i="2" a="1"/>
  <c r="I801" i="2" s="1"/>
  <c r="L801" i="2" s="1"/>
  <c r="I721" i="2" a="1"/>
  <c r="I721" i="2" s="1"/>
  <c r="L721" i="2" s="1"/>
  <c r="I641" i="2" a="1"/>
  <c r="I641" i="2" s="1"/>
  <c r="L641" i="2" s="1"/>
  <c r="I593" i="2" a="1"/>
  <c r="I593" i="2" s="1"/>
  <c r="L593" i="2" s="1"/>
  <c r="I561" i="2" a="1"/>
  <c r="I561" i="2" s="1"/>
  <c r="L561" i="2" s="1"/>
  <c r="I481" i="2" a="1"/>
  <c r="I481" i="2" s="1"/>
  <c r="L481" i="2" s="1"/>
  <c r="H3215" i="1"/>
  <c r="M3215" i="1" s="1"/>
  <c r="I465" i="2" a="1"/>
  <c r="I465" i="2" s="1"/>
  <c r="L465" i="2" s="1"/>
  <c r="I433" i="2" a="1"/>
  <c r="I433" i="2" s="1"/>
  <c r="L433" i="2" s="1"/>
  <c r="I401" i="2" a="1"/>
  <c r="I401" i="2" s="1"/>
  <c r="L401" i="2" s="1"/>
  <c r="I353" i="2" a="1"/>
  <c r="I353" i="2" s="1"/>
  <c r="L353" i="2" s="1"/>
  <c r="I273" i="2" a="1"/>
  <c r="I273" i="2" s="1"/>
  <c r="L273" i="2" s="1"/>
  <c r="I193" i="2" a="1"/>
  <c r="I193" i="2" s="1"/>
  <c r="L193" i="2" s="1"/>
  <c r="I33" i="2" a="1"/>
  <c r="I33" i="2" s="1"/>
  <c r="L33" i="2" s="1"/>
  <c r="I1280" i="2" a="1"/>
  <c r="I1280" i="2" s="1"/>
  <c r="L1280" i="2" s="1"/>
  <c r="I1264" i="2" a="1"/>
  <c r="I1264" i="2" s="1"/>
  <c r="L1264" i="2" s="1"/>
  <c r="I1248" i="2" a="1"/>
  <c r="I1248" i="2" s="1"/>
  <c r="L1248" i="2" s="1"/>
  <c r="I1232" i="2" a="1"/>
  <c r="I1232" i="2" s="1"/>
  <c r="L1232" i="2" s="1"/>
  <c r="I1216" i="2" a="1"/>
  <c r="I1216" i="2" s="1"/>
  <c r="L1216" i="2" s="1"/>
  <c r="I1200" i="2" a="1"/>
  <c r="I1200" i="2" s="1"/>
  <c r="L1200" i="2" s="1"/>
  <c r="I1184" i="2" a="1"/>
  <c r="I1184" i="2" s="1"/>
  <c r="L1184" i="2" s="1"/>
  <c r="I1152" i="2" a="1"/>
  <c r="I1152" i="2" s="1"/>
  <c r="L1152" i="2" s="1"/>
  <c r="I1136" i="2" a="1"/>
  <c r="I1136" i="2" s="1"/>
  <c r="L1136" i="2" s="1"/>
  <c r="I1120" i="2" a="1"/>
  <c r="I1120" i="2" s="1"/>
  <c r="L1120" i="2" s="1"/>
  <c r="I1056" i="2" a="1"/>
  <c r="I1056" i="2" s="1"/>
  <c r="L1056" i="2" s="1"/>
  <c r="I1008" i="2" a="1"/>
  <c r="I1008" i="2" s="1"/>
  <c r="L1008" i="2" s="1"/>
  <c r="I928" i="2" a="1"/>
  <c r="I928" i="2" s="1"/>
  <c r="L928" i="2" s="1"/>
  <c r="I896" i="2" a="1"/>
  <c r="I896" i="2" s="1"/>
  <c r="L896" i="2" s="1"/>
  <c r="I880" i="2" a="1"/>
  <c r="I880" i="2" s="1"/>
  <c r="L880" i="2" s="1"/>
  <c r="I768" i="2" a="1"/>
  <c r="I768" i="2" s="1"/>
  <c r="L768" i="2" s="1"/>
  <c r="I720" i="2" a="1"/>
  <c r="I720" i="2" s="1"/>
  <c r="L720" i="2" s="1"/>
  <c r="I688" i="2" a="1"/>
  <c r="I688" i="2" s="1"/>
  <c r="L688" i="2" s="1"/>
  <c r="I640" i="2" a="1"/>
  <c r="I640" i="2" s="1"/>
  <c r="L640" i="2" s="1"/>
  <c r="I608" i="2" a="1"/>
  <c r="I608" i="2" s="1"/>
  <c r="L608" i="2" s="1"/>
  <c r="I560" i="2" a="1"/>
  <c r="I560" i="2" s="1"/>
  <c r="L560" i="2" s="1"/>
  <c r="I528" i="2" a="1"/>
  <c r="I528" i="2" s="1"/>
  <c r="L528" i="2" s="1"/>
  <c r="I480" i="2" a="1"/>
  <c r="I480" i="2" s="1"/>
  <c r="L480" i="2" s="1"/>
  <c r="I400" i="2" a="1"/>
  <c r="I400" i="2" s="1"/>
  <c r="L400" i="2" s="1"/>
  <c r="I160" i="2" a="1"/>
  <c r="I160" i="2" s="1"/>
  <c r="L160" i="2" s="1"/>
  <c r="I1279" i="2" a="1"/>
  <c r="I1279" i="2" s="1"/>
  <c r="L1279" i="2" s="1"/>
  <c r="I1263" i="2" a="1"/>
  <c r="I1263" i="2" s="1"/>
  <c r="L1263" i="2" s="1"/>
  <c r="I1247" i="2" a="1"/>
  <c r="I1247" i="2" s="1"/>
  <c r="L1247" i="2" s="1"/>
  <c r="I1231" i="2" a="1"/>
  <c r="I1231" i="2" s="1"/>
  <c r="L1231" i="2" s="1"/>
  <c r="I1215" i="2" a="1"/>
  <c r="I1215" i="2" s="1"/>
  <c r="L1215" i="2" s="1"/>
  <c r="I1183" i="2" a="1"/>
  <c r="I1183" i="2" s="1"/>
  <c r="L1183" i="2" s="1"/>
  <c r="I1167" i="2" a="1"/>
  <c r="I1167" i="2" s="1"/>
  <c r="L1167" i="2" s="1"/>
  <c r="I1151" i="2" a="1"/>
  <c r="I1151" i="2" s="1"/>
  <c r="L1151" i="2" s="1"/>
  <c r="I1135" i="2" a="1"/>
  <c r="I1135" i="2" s="1"/>
  <c r="L1135" i="2" s="1"/>
  <c r="I1119" i="2" a="1"/>
  <c r="I1119" i="2" s="1"/>
  <c r="L1119" i="2" s="1"/>
  <c r="I1055" i="2" a="1"/>
  <c r="I1055" i="2" s="1"/>
  <c r="L1055" i="2" s="1"/>
  <c r="I863" i="2" a="1"/>
  <c r="I863" i="2" s="1"/>
  <c r="L863" i="2" s="1"/>
  <c r="I719" i="2" a="1"/>
  <c r="I719" i="2" s="1"/>
  <c r="L719" i="2" s="1"/>
  <c r="I607" i="2" a="1"/>
  <c r="I607" i="2" s="1"/>
  <c r="L607" i="2" s="1"/>
  <c r="H3212" i="1"/>
  <c r="M3212" i="1" s="1"/>
  <c r="I559" i="2" a="1"/>
  <c r="I559" i="2" s="1"/>
  <c r="L559" i="2" s="1"/>
  <c r="I479" i="2" a="1"/>
  <c r="I479" i="2" s="1"/>
  <c r="L479" i="2" s="1"/>
  <c r="I319" i="2" a="1"/>
  <c r="I319" i="2" s="1"/>
  <c r="L319" i="2" s="1"/>
  <c r="I159" i="2" a="1"/>
  <c r="I159" i="2" s="1"/>
  <c r="L159" i="2" s="1"/>
  <c r="I79" i="2" a="1"/>
  <c r="I79" i="2" s="1"/>
  <c r="L79" i="2" s="1"/>
  <c r="I1278" i="2" a="1"/>
  <c r="I1278" i="2" s="1"/>
  <c r="L1278" i="2" s="1"/>
  <c r="I1262" i="2" a="1"/>
  <c r="I1262" i="2" s="1"/>
  <c r="L1262" i="2" s="1"/>
  <c r="I1246" i="2" a="1"/>
  <c r="I1246" i="2" s="1"/>
  <c r="L1246" i="2" s="1"/>
  <c r="I1182" i="2" a="1"/>
  <c r="I1182" i="2" s="1"/>
  <c r="L1182" i="2" s="1"/>
  <c r="I1166" i="2" a="1"/>
  <c r="I1166" i="2" s="1"/>
  <c r="L1166" i="2" s="1"/>
  <c r="I1118" i="2" a="1"/>
  <c r="I1118" i="2" s="1"/>
  <c r="L1118" i="2" s="1"/>
  <c r="I894" i="2" a="1"/>
  <c r="I894" i="2" s="1"/>
  <c r="L894" i="2" s="1"/>
  <c r="I862" i="2" a="1"/>
  <c r="I862" i="2" s="1"/>
  <c r="L862" i="2" s="1"/>
  <c r="I814" i="2" a="1"/>
  <c r="I814" i="2" s="1"/>
  <c r="L814" i="2" s="1"/>
  <c r="I766" i="2" a="1"/>
  <c r="I766" i="2" s="1"/>
  <c r="L766" i="2" s="1"/>
  <c r="I734" i="2" a="1"/>
  <c r="I734" i="2" s="1"/>
  <c r="L734" i="2" s="1"/>
  <c r="I718" i="2" a="1"/>
  <c r="I718" i="2" s="1"/>
  <c r="L718" i="2" s="1"/>
  <c r="I702" i="2" a="1"/>
  <c r="I702" i="2" s="1"/>
  <c r="L702" i="2" s="1"/>
  <c r="I654" i="2" a="1"/>
  <c r="I654" i="2" s="1"/>
  <c r="L654" i="2" s="1"/>
  <c r="I638" i="2" a="1"/>
  <c r="I638" i="2" s="1"/>
  <c r="L638" i="2" s="1"/>
  <c r="I606" i="2" a="1"/>
  <c r="I606" i="2" s="1"/>
  <c r="L606" i="2" s="1"/>
  <c r="I574" i="2" a="1"/>
  <c r="I574" i="2" s="1"/>
  <c r="L574" i="2" s="1"/>
  <c r="I558" i="2" a="1"/>
  <c r="I558" i="2" s="1"/>
  <c r="L558" i="2" s="1"/>
  <c r="I542" i="2" a="1"/>
  <c r="I542" i="2" s="1"/>
  <c r="L542" i="2" s="1"/>
  <c r="I414" i="2" a="1"/>
  <c r="I414" i="2" s="1"/>
  <c r="L414" i="2" s="1"/>
  <c r="I318" i="2" a="1"/>
  <c r="I318" i="2" s="1"/>
  <c r="L318" i="2" s="1"/>
  <c r="I254" i="2" a="1"/>
  <c r="I254" i="2" s="1"/>
  <c r="L254" i="2" s="1"/>
  <c r="I1277" i="2" a="1"/>
  <c r="I1277" i="2" s="1"/>
  <c r="L1277" i="2" s="1"/>
  <c r="I1245" i="2" a="1"/>
  <c r="I1245" i="2" s="1"/>
  <c r="L1245" i="2" s="1"/>
  <c r="I1229" i="2" a="1"/>
  <c r="I1229" i="2" s="1"/>
  <c r="L1229" i="2" s="1"/>
  <c r="I1213" i="2" a="1"/>
  <c r="I1213" i="2" s="1"/>
  <c r="L1213" i="2" s="1"/>
  <c r="I1197" i="2" a="1"/>
  <c r="I1197" i="2" s="1"/>
  <c r="L1197" i="2" s="1"/>
  <c r="I1133" i="2" a="1"/>
  <c r="I1133" i="2" s="1"/>
  <c r="L1133" i="2" s="1"/>
  <c r="I1117" i="2" a="1"/>
  <c r="I1117" i="2" s="1"/>
  <c r="L1117" i="2" s="1"/>
  <c r="I1101" i="2" a="1"/>
  <c r="I1101" i="2" s="1"/>
  <c r="L1101" i="2" s="1"/>
  <c r="I1053" i="2" a="1"/>
  <c r="I1053" i="2" s="1"/>
  <c r="L1053" i="2" s="1"/>
  <c r="I893" i="2" a="1"/>
  <c r="I893" i="2" s="1"/>
  <c r="L893" i="2" s="1"/>
  <c r="I877" i="2" a="1"/>
  <c r="I877" i="2" s="1"/>
  <c r="L877" i="2" s="1"/>
  <c r="I861" i="2" a="1"/>
  <c r="I861" i="2" s="1"/>
  <c r="L861" i="2" s="1"/>
  <c r="I813" i="2" a="1"/>
  <c r="I813" i="2" s="1"/>
  <c r="L813" i="2" s="1"/>
  <c r="I797" i="2" a="1"/>
  <c r="I797" i="2" s="1"/>
  <c r="L797" i="2" s="1"/>
  <c r="I781" i="2" a="1"/>
  <c r="I781" i="2" s="1"/>
  <c r="L781" i="2" s="1"/>
  <c r="I733" i="2" a="1"/>
  <c r="I733" i="2" s="1"/>
  <c r="L733" i="2" s="1"/>
  <c r="I653" i="2" a="1"/>
  <c r="I653" i="2" s="1"/>
  <c r="L653" i="2" s="1"/>
  <c r="I637" i="2" a="1"/>
  <c r="I637" i="2" s="1"/>
  <c r="L637" i="2" s="1"/>
  <c r="I621" i="2" a="1"/>
  <c r="I621" i="2" s="1"/>
  <c r="L621" i="2" s="1"/>
  <c r="I573" i="2" a="1"/>
  <c r="I573" i="2" s="1"/>
  <c r="L573" i="2" s="1"/>
  <c r="I557" i="2" a="1"/>
  <c r="I557" i="2" s="1"/>
  <c r="L557" i="2" s="1"/>
  <c r="I493" i="2" a="1"/>
  <c r="I493" i="2" s="1"/>
  <c r="L493" i="2" s="1"/>
  <c r="I477" i="2" a="1"/>
  <c r="I477" i="2" s="1"/>
  <c r="L477" i="2" s="1"/>
  <c r="I461" i="2" a="1"/>
  <c r="I461" i="2" s="1"/>
  <c r="L461" i="2" s="1"/>
  <c r="I413" i="2" a="1"/>
  <c r="I413" i="2" s="1"/>
  <c r="L413" i="2" s="1"/>
  <c r="I381" i="2" a="1"/>
  <c r="I381" i="2" s="1"/>
  <c r="L381" i="2" s="1"/>
  <c r="I333" i="2" a="1"/>
  <c r="I333" i="2" s="1"/>
  <c r="L333" i="2" s="1"/>
  <c r="I253" i="2" a="1"/>
  <c r="I253" i="2" s="1"/>
  <c r="L253" i="2" s="1"/>
  <c r="I173" i="2" a="1"/>
  <c r="I173" i="2" s="1"/>
  <c r="L173" i="2" s="1"/>
  <c r="I13" i="2" a="1"/>
  <c r="I13" i="2" s="1"/>
  <c r="L13" i="2" s="1"/>
  <c r="I1260" i="2" a="1"/>
  <c r="I1260" i="2" s="1"/>
  <c r="L1260" i="2" s="1"/>
  <c r="I1228" i="2" a="1"/>
  <c r="I1228" i="2" s="1"/>
  <c r="L1228" i="2" s="1"/>
  <c r="I1212" i="2" a="1"/>
  <c r="I1212" i="2" s="1"/>
  <c r="L1212" i="2" s="1"/>
  <c r="I1196" i="2" a="1"/>
  <c r="I1196" i="2" s="1"/>
  <c r="L1196" i="2" s="1"/>
  <c r="I1164" i="2" a="1"/>
  <c r="I1164" i="2" s="1"/>
  <c r="L1164" i="2" s="1"/>
  <c r="I1148" i="2" a="1"/>
  <c r="I1148" i="2" s="1"/>
  <c r="L1148" i="2" s="1"/>
  <c r="I1116" i="2" a="1"/>
  <c r="I1116" i="2" s="1"/>
  <c r="L1116" i="2" s="1"/>
  <c r="I1100" i="2" a="1"/>
  <c r="I1100" i="2" s="1"/>
  <c r="L1100" i="2" s="1"/>
  <c r="I1052" i="2" a="1"/>
  <c r="I1052" i="2" s="1"/>
  <c r="L1052" i="2" s="1"/>
  <c r="I940" i="2" a="1"/>
  <c r="I940" i="2" s="1"/>
  <c r="L940" i="2" s="1"/>
  <c r="I780" i="2" a="1"/>
  <c r="I780" i="2" s="1"/>
  <c r="L780" i="2" s="1"/>
  <c r="I684" i="2" a="1"/>
  <c r="I684" i="2" s="1"/>
  <c r="L684" i="2" s="1"/>
  <c r="I668" i="2" a="1"/>
  <c r="I668" i="2" s="1"/>
  <c r="L668" i="2" s="1"/>
  <c r="I588" i="2" a="1"/>
  <c r="I588" i="2" s="1"/>
  <c r="L588" i="2" s="1"/>
  <c r="I540" i="2" a="1"/>
  <c r="I540" i="2" s="1"/>
  <c r="L540" i="2" s="1"/>
  <c r="I1259" i="2" a="1"/>
  <c r="I1259" i="2" s="1"/>
  <c r="L1259" i="2" s="1"/>
  <c r="I1243" i="2" a="1"/>
  <c r="I1243" i="2" s="1"/>
  <c r="L1243" i="2" s="1"/>
  <c r="I1227" i="2" a="1"/>
  <c r="I1227" i="2" s="1"/>
  <c r="L1227" i="2" s="1"/>
  <c r="I1211" i="2" a="1"/>
  <c r="I1211" i="2" s="1"/>
  <c r="L1211" i="2" s="1"/>
  <c r="I1195" i="2" a="1"/>
  <c r="I1195" i="2" s="1"/>
  <c r="L1195" i="2" s="1"/>
  <c r="I1179" i="2" a="1"/>
  <c r="I1179" i="2" s="1"/>
  <c r="L1179" i="2" s="1"/>
  <c r="I1147" i="2" a="1"/>
  <c r="I1147" i="2" s="1"/>
  <c r="L1147" i="2" s="1"/>
  <c r="I1115" i="2" a="1"/>
  <c r="I1115" i="2" s="1"/>
  <c r="L1115" i="2" s="1"/>
  <c r="I1051" i="2" a="1"/>
  <c r="I1051" i="2" s="1"/>
  <c r="L1051" i="2" s="1"/>
  <c r="I987" i="2" a="1"/>
  <c r="I987" i="2" s="1"/>
  <c r="L987" i="2" s="1"/>
  <c r="I859" i="2" a="1"/>
  <c r="I859" i="2" s="1"/>
  <c r="L859" i="2" s="1"/>
  <c r="I843" i="2" a="1"/>
  <c r="I843" i="2" s="1"/>
  <c r="L843" i="2" s="1"/>
  <c r="I779" i="2" a="1"/>
  <c r="I779" i="2" s="1"/>
  <c r="L779" i="2" s="1"/>
  <c r="I747" i="2" a="1"/>
  <c r="I747" i="2" s="1"/>
  <c r="L747" i="2" s="1"/>
  <c r="I667" i="2" a="1"/>
  <c r="I667" i="2" s="1"/>
  <c r="L667" i="2" s="1"/>
  <c r="I539" i="2" a="1"/>
  <c r="I539" i="2" s="1"/>
  <c r="L539" i="2" s="1"/>
  <c r="I299" i="2" a="1"/>
  <c r="I299" i="2" s="1"/>
  <c r="L299" i="2" s="1"/>
  <c r="I219" i="2" a="1"/>
  <c r="I219" i="2" s="1"/>
  <c r="L219" i="2" s="1"/>
  <c r="I1258" i="2" a="1"/>
  <c r="I1258" i="2" s="1"/>
  <c r="L1258" i="2" s="1"/>
  <c r="I1242" i="2" a="1"/>
  <c r="I1242" i="2" s="1"/>
  <c r="L1242" i="2" s="1"/>
  <c r="I1226" i="2" a="1"/>
  <c r="I1226" i="2" s="1"/>
  <c r="L1226" i="2" s="1"/>
  <c r="I1178" i="2" a="1"/>
  <c r="I1178" i="2" s="1"/>
  <c r="L1178" i="2" s="1"/>
  <c r="I1146" i="2" a="1"/>
  <c r="I1146" i="2" s="1"/>
  <c r="L1146" i="2" s="1"/>
  <c r="I874" i="2" a="1"/>
  <c r="I874" i="2" s="1"/>
  <c r="L874" i="2" s="1"/>
  <c r="I858" i="2" a="1"/>
  <c r="I858" i="2" s="1"/>
  <c r="L858" i="2" s="1"/>
  <c r="I842" i="2" a="1"/>
  <c r="I842" i="2" s="1"/>
  <c r="L842" i="2" s="1"/>
  <c r="I794" i="2" a="1"/>
  <c r="I794" i="2" s="1"/>
  <c r="L794" i="2" s="1"/>
  <c r="I762" i="2" a="1"/>
  <c r="I762" i="2" s="1"/>
  <c r="L762" i="2" s="1"/>
  <c r="I746" i="2" a="1"/>
  <c r="I746" i="2" s="1"/>
  <c r="L746" i="2" s="1"/>
  <c r="I714" i="2" a="1"/>
  <c r="I714" i="2" s="1"/>
  <c r="L714" i="2" s="1"/>
  <c r="I698" i="2" a="1"/>
  <c r="I698" i="2" s="1"/>
  <c r="L698" i="2" s="1"/>
  <c r="I682" i="2" a="1"/>
  <c r="I682" i="2" s="1"/>
  <c r="L682" i="2" s="1"/>
  <c r="I634" i="2" a="1"/>
  <c r="I634" i="2" s="1"/>
  <c r="L634" i="2" s="1"/>
  <c r="I618" i="2" a="1"/>
  <c r="I618" i="2" s="1"/>
  <c r="L618" i="2" s="1"/>
  <c r="I602" i="2" a="1"/>
  <c r="I602" i="2" s="1"/>
  <c r="L602" i="2" s="1"/>
  <c r="I586" i="2" a="1"/>
  <c r="I586" i="2" s="1"/>
  <c r="L586" i="2" s="1"/>
  <c r="I538" i="2" a="1"/>
  <c r="I538" i="2" s="1"/>
  <c r="L538" i="2" s="1"/>
  <c r="I522" i="2" a="1"/>
  <c r="I522" i="2" s="1"/>
  <c r="L522" i="2" s="1"/>
  <c r="I506" i="2" a="1"/>
  <c r="I506" i="2" s="1"/>
  <c r="L506" i="2" s="1"/>
  <c r="I458" i="2" a="1"/>
  <c r="I458" i="2" s="1"/>
  <c r="L458" i="2" s="1"/>
  <c r="I346" i="2" a="1"/>
  <c r="I346" i="2" s="1"/>
  <c r="L346" i="2" s="1"/>
  <c r="I314" i="2" a="1"/>
  <c r="I314" i="2" s="1"/>
  <c r="L314" i="2" s="1"/>
  <c r="I298" i="2" a="1"/>
  <c r="I298" i="2" s="1"/>
  <c r="L298" i="2" s="1"/>
  <c r="I234" i="2" a="1"/>
  <c r="I234" i="2" s="1"/>
  <c r="L234" i="2" s="1"/>
  <c r="I1273" i="2" a="1"/>
  <c r="I1273" i="2" s="1"/>
  <c r="L1273" i="2" s="1"/>
  <c r="I1257" i="2" a="1"/>
  <c r="I1257" i="2" s="1"/>
  <c r="L1257" i="2" s="1"/>
  <c r="I1225" i="2" a="1"/>
  <c r="I1225" i="2" s="1"/>
  <c r="L1225" i="2" s="1"/>
  <c r="I1209" i="2" a="1"/>
  <c r="I1209" i="2" s="1"/>
  <c r="L1209" i="2" s="1"/>
  <c r="I1193" i="2" a="1"/>
  <c r="I1193" i="2" s="1"/>
  <c r="L1193" i="2" s="1"/>
  <c r="I1177" i="2" a="1"/>
  <c r="I1177" i="2" s="1"/>
  <c r="L1177" i="2" s="1"/>
  <c r="I1161" i="2" a="1"/>
  <c r="I1161" i="2" s="1"/>
  <c r="L1161" i="2" s="1"/>
  <c r="I1065" i="2" a="1"/>
  <c r="I1065" i="2" s="1"/>
  <c r="L1065" i="2" s="1"/>
  <c r="I953" i="2" a="1"/>
  <c r="I953" i="2" s="1"/>
  <c r="L953" i="2" s="1"/>
  <c r="I857" i="2" a="1"/>
  <c r="I857" i="2" s="1"/>
  <c r="L857" i="2" s="1"/>
  <c r="I841" i="2" a="1"/>
  <c r="I841" i="2" s="1"/>
  <c r="L841" i="2" s="1"/>
  <c r="I713" i="2" a="1"/>
  <c r="I713" i="2" s="1"/>
  <c r="L713" i="2" s="1"/>
  <c r="I697" i="2" a="1"/>
  <c r="I697" i="2" s="1"/>
  <c r="L697" i="2" s="1"/>
  <c r="I665" i="2" a="1"/>
  <c r="I665" i="2" s="1"/>
  <c r="L665" i="2" s="1"/>
  <c r="I649" i="2" a="1"/>
  <c r="I649" i="2" s="1"/>
  <c r="L649" i="2" s="1"/>
  <c r="I633" i="2" a="1"/>
  <c r="I633" i="2" s="1"/>
  <c r="L633" i="2" s="1"/>
  <c r="I601" i="2" a="1"/>
  <c r="I601" i="2" s="1"/>
  <c r="L601" i="2" s="1"/>
  <c r="I553" i="2" a="1"/>
  <c r="I553" i="2" s="1"/>
  <c r="L553" i="2" s="1"/>
  <c r="I537" i="2" a="1"/>
  <c r="I537" i="2" s="1"/>
  <c r="L537" i="2" s="1"/>
  <c r="I473" i="2" a="1"/>
  <c r="I473" i="2" s="1"/>
  <c r="L473" i="2" s="1"/>
  <c r="I393" i="2" a="1"/>
  <c r="I393" i="2" s="1"/>
  <c r="L393" i="2" s="1"/>
  <c r="I313" i="2" a="1"/>
  <c r="I313" i="2" s="1"/>
  <c r="L313" i="2" s="1"/>
  <c r="I73" i="2" a="1"/>
  <c r="I73" i="2" s="1"/>
  <c r="L73" i="2" s="1"/>
  <c r="I1272" i="2" a="1"/>
  <c r="I1272" i="2" s="1"/>
  <c r="L1272" i="2" s="1"/>
  <c r="I1240" i="2" a="1"/>
  <c r="I1240" i="2" s="1"/>
  <c r="L1240" i="2" s="1"/>
  <c r="I1208" i="2" a="1"/>
  <c r="I1208" i="2" s="1"/>
  <c r="L1208" i="2" s="1"/>
  <c r="I1192" i="2" a="1"/>
  <c r="I1192" i="2" s="1"/>
  <c r="L1192" i="2" s="1"/>
  <c r="I1176" i="2" a="1"/>
  <c r="I1176" i="2" s="1"/>
  <c r="L1176" i="2" s="1"/>
  <c r="I1160" i="2" a="1"/>
  <c r="I1160" i="2" s="1"/>
  <c r="L1160" i="2" s="1"/>
  <c r="I1112" i="2" a="1"/>
  <c r="I1112" i="2" s="1"/>
  <c r="L1112" i="2" s="1"/>
  <c r="I1064" i="2" a="1"/>
  <c r="I1064" i="2" s="1"/>
  <c r="L1064" i="2" s="1"/>
  <c r="I744" i="2" a="1"/>
  <c r="I744" i="2" s="1"/>
  <c r="L744" i="2" s="1"/>
  <c r="I680" i="2" a="1"/>
  <c r="I680" i="2" s="1"/>
  <c r="L680" i="2" s="1"/>
  <c r="I568" i="2" a="1"/>
  <c r="I568" i="2" s="1"/>
  <c r="L568" i="2" s="1"/>
  <c r="I200" i="2" a="1"/>
  <c r="I200" i="2" s="1"/>
  <c r="L200" i="2" s="1"/>
  <c r="I1271" i="2" a="1"/>
  <c r="I1271" i="2" s="1"/>
  <c r="L1271" i="2" s="1"/>
  <c r="I1239" i="2" a="1"/>
  <c r="I1239" i="2" s="1"/>
  <c r="L1239" i="2" s="1"/>
  <c r="I1223" i="2" a="1"/>
  <c r="I1223" i="2" s="1"/>
  <c r="L1223" i="2" s="1"/>
  <c r="I1207" i="2" a="1"/>
  <c r="I1207" i="2" s="1"/>
  <c r="L1207" i="2" s="1"/>
  <c r="I1191" i="2" a="1"/>
  <c r="I1191" i="2" s="1"/>
  <c r="L1191" i="2" s="1"/>
  <c r="I1175" i="2" a="1"/>
  <c r="I1175" i="2" s="1"/>
  <c r="L1175" i="2" s="1"/>
  <c r="I1159" i="2" a="1"/>
  <c r="I1159" i="2" s="1"/>
  <c r="L1159" i="2" s="1"/>
  <c r="I1111" i="2" a="1"/>
  <c r="I1111" i="2" s="1"/>
  <c r="L1111" i="2" s="1"/>
  <c r="I1047" i="2" a="1"/>
  <c r="I1047" i="2" s="1"/>
  <c r="L1047" i="2" s="1"/>
  <c r="I807" i="2" a="1"/>
  <c r="I807" i="2" s="1"/>
  <c r="L807" i="2" s="1"/>
  <c r="I727" i="2" a="1"/>
  <c r="I727" i="2" s="1"/>
  <c r="L727" i="2" s="1"/>
  <c r="I599" i="2" a="1"/>
  <c r="I599" i="2" s="1"/>
  <c r="L599" i="2" s="1"/>
  <c r="I519" i="2" a="1"/>
  <c r="I519" i="2" s="1"/>
  <c r="L519" i="2" s="1"/>
  <c r="I407" i="2" a="1"/>
  <c r="I407" i="2" s="1"/>
  <c r="L407" i="2" s="1"/>
  <c r="I359" i="2" a="1"/>
  <c r="I359" i="2" s="1"/>
  <c r="L359" i="2" s="1"/>
  <c r="I1238" i="2" a="1"/>
  <c r="I1238" i="2" s="1"/>
  <c r="L1238" i="2" s="1"/>
  <c r="I1206" i="2" a="1"/>
  <c r="I1206" i="2" s="1"/>
  <c r="L1206" i="2" s="1"/>
  <c r="I1158" i="2" a="1"/>
  <c r="I1158" i="2" s="1"/>
  <c r="L1158" i="2" s="1"/>
  <c r="I1142" i="2" a="1"/>
  <c r="I1142" i="2" s="1"/>
  <c r="L1142" i="2" s="1"/>
  <c r="I1094" i="2" a="1"/>
  <c r="I1094" i="2" s="1"/>
  <c r="L1094" i="2" s="1"/>
  <c r="I1046" i="2" a="1"/>
  <c r="I1046" i="2" s="1"/>
  <c r="L1046" i="2" s="1"/>
  <c r="I1014" i="2" a="1"/>
  <c r="I1014" i="2" s="1"/>
  <c r="L1014" i="2" s="1"/>
  <c r="I854" i="2" a="1"/>
  <c r="I854" i="2" s="1"/>
  <c r="L854" i="2" s="1"/>
  <c r="I838" i="2" a="1"/>
  <c r="I838" i="2" s="1"/>
  <c r="L838" i="2" s="1"/>
  <c r="I806" i="2" a="1"/>
  <c r="I806" i="2" s="1"/>
  <c r="L806" i="2" s="1"/>
  <c r="I774" i="2" a="1"/>
  <c r="I774" i="2" s="1"/>
  <c r="L774" i="2" s="1"/>
  <c r="I742" i="2" a="1"/>
  <c r="I742" i="2" s="1"/>
  <c r="L742" i="2" s="1"/>
  <c r="I694" i="2" a="1"/>
  <c r="I694" i="2" s="1"/>
  <c r="L694" i="2" s="1"/>
  <c r="I614" i="2" a="1"/>
  <c r="I614" i="2" s="1"/>
  <c r="L614" i="2" s="1"/>
  <c r="I598" i="2" a="1"/>
  <c r="I598" i="2" s="1"/>
  <c r="L598" i="2" s="1"/>
  <c r="I534" i="2" a="1"/>
  <c r="I534" i="2" s="1"/>
  <c r="L534" i="2" s="1"/>
  <c r="I502" i="2" a="1"/>
  <c r="I502" i="2" s="1"/>
  <c r="L502" i="2" s="1"/>
  <c r="I454" i="2" a="1"/>
  <c r="I454" i="2" s="1"/>
  <c r="L454" i="2" s="1"/>
  <c r="I422" i="2" a="1"/>
  <c r="I422" i="2" s="1"/>
  <c r="L422" i="2" s="1"/>
  <c r="I214" i="2" a="1"/>
  <c r="I214" i="2" s="1"/>
  <c r="L214" i="2" s="1"/>
  <c r="I1285" i="2" a="1"/>
  <c r="I1285" i="2" s="1"/>
  <c r="L1285" i="2" s="1"/>
  <c r="I1269" i="2" a="1"/>
  <c r="I1269" i="2" s="1"/>
  <c r="L1269" i="2" s="1"/>
  <c r="I1253" i="2" a="1"/>
  <c r="I1253" i="2" s="1"/>
  <c r="L1253" i="2" s="1"/>
  <c r="I1237" i="2" a="1"/>
  <c r="I1237" i="2" s="1"/>
  <c r="L1237" i="2" s="1"/>
  <c r="I1221" i="2" a="1"/>
  <c r="I1221" i="2" s="1"/>
  <c r="L1221" i="2" s="1"/>
  <c r="I1205" i="2" a="1"/>
  <c r="I1205" i="2" s="1"/>
  <c r="L1205" i="2" s="1"/>
  <c r="I1189" i="2" a="1"/>
  <c r="I1189" i="2" s="1"/>
  <c r="L1189" i="2" s="1"/>
  <c r="I1173" i="2" a="1"/>
  <c r="I1173" i="2" s="1"/>
  <c r="L1173" i="2" s="1"/>
  <c r="I1157" i="2" a="1"/>
  <c r="I1157" i="2" s="1"/>
  <c r="L1157" i="2" s="1"/>
  <c r="I1141" i="2" a="1"/>
  <c r="I1141" i="2" s="1"/>
  <c r="L1141" i="2" s="1"/>
  <c r="I1013" i="2" a="1"/>
  <c r="I1013" i="2" s="1"/>
  <c r="L1013" i="2" s="1"/>
  <c r="I853" i="2" a="1"/>
  <c r="I853" i="2" s="1"/>
  <c r="L853" i="2" s="1"/>
  <c r="I837" i="2" a="1"/>
  <c r="I837" i="2" s="1"/>
  <c r="L837" i="2" s="1"/>
  <c r="I821" i="2" a="1"/>
  <c r="I821" i="2" s="1"/>
  <c r="L821" i="2" s="1"/>
  <c r="I805" i="2" a="1"/>
  <c r="I805" i="2" s="1"/>
  <c r="L805" i="2" s="1"/>
  <c r="I773" i="2" a="1"/>
  <c r="I773" i="2" s="1"/>
  <c r="L773" i="2" s="1"/>
  <c r="I741" i="2" a="1"/>
  <c r="I741" i="2" s="1"/>
  <c r="L741" i="2" s="1"/>
  <c r="I693" i="2" a="1"/>
  <c r="I693" i="2" s="1"/>
  <c r="L693" i="2" s="1"/>
  <c r="I613" i="2" a="1"/>
  <c r="I613" i="2" s="1"/>
  <c r="L613" i="2" s="1"/>
  <c r="I533" i="2" a="1"/>
  <c r="I533" i="2" s="1"/>
  <c r="L533" i="2" s="1"/>
  <c r="I453" i="2" a="1"/>
  <c r="I453" i="2" s="1"/>
  <c r="L453" i="2" s="1"/>
  <c r="I373" i="2" a="1"/>
  <c r="I373" i="2" s="1"/>
  <c r="L373" i="2" s="1"/>
  <c r="I341" i="2" a="1"/>
  <c r="I341" i="2" s="1"/>
  <c r="L341" i="2" s="1"/>
  <c r="I293" i="2" a="1"/>
  <c r="I293" i="2" s="1"/>
  <c r="L293" i="2" s="1"/>
  <c r="I213" i="2" a="1"/>
  <c r="I213" i="2" s="1"/>
  <c r="L213" i="2" s="1"/>
  <c r="I53" i="2" a="1"/>
  <c r="I53" i="2" s="1"/>
  <c r="L53" i="2" s="1"/>
  <c r="H3066" i="1"/>
  <c r="M3066" i="1" s="1"/>
  <c r="L3216" i="1"/>
  <c r="L3217" i="1"/>
  <c r="L3215" i="1"/>
  <c r="L3214" i="1"/>
  <c r="L3219" i="1"/>
  <c r="L3218" i="1"/>
  <c r="L3212" i="1"/>
  <c r="H3213" i="1"/>
  <c r="M3213" i="1" s="1"/>
  <c r="N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K1275" i="2" a="1"/>
  <c r="K1275" i="2" s="1"/>
  <c r="H2775" i="1"/>
  <c r="K1244" i="2" a="1"/>
  <c r="K1244" i="2" s="1"/>
  <c r="H2162" i="1"/>
  <c r="H2245" i="1"/>
  <c r="K1224" i="2" a="1"/>
  <c r="K1224" i="2" s="1"/>
  <c r="H2753" i="1"/>
  <c r="K1204" i="2" a="1"/>
  <c r="K1204" i="2" s="1"/>
  <c r="H2125" i="1"/>
  <c r="K1194" i="2" a="1"/>
  <c r="K1194" i="2" s="1"/>
  <c r="H2117" i="1"/>
  <c r="K1168" i="2" a="1"/>
  <c r="K1168" i="2" s="1"/>
  <c r="K1165" i="2" a="1"/>
  <c r="K1165" i="2" s="1"/>
  <c r="H2719" i="1"/>
  <c r="H2824" i="1"/>
  <c r="M2824" i="1" s="1"/>
  <c r="H2409" i="1"/>
  <c r="H2407" i="1"/>
  <c r="K1126" i="2" a="1"/>
  <c r="K1126" i="2" s="1"/>
  <c r="K1125" i="2" a="1"/>
  <c r="K1125" i="2" s="1"/>
  <c r="H2449" i="1"/>
  <c r="K1109" i="2" a="1"/>
  <c r="K1109" i="2" s="1"/>
  <c r="K1108" i="2" a="1"/>
  <c r="K1108" i="2" s="1"/>
  <c r="K1103" i="2" a="1"/>
  <c r="K1103" i="2" s="1"/>
  <c r="K1099" i="2" a="1"/>
  <c r="K1099" i="2" s="1"/>
  <c r="H1807" i="1"/>
  <c r="H3132" i="1"/>
  <c r="M3132" i="1" s="1"/>
  <c r="H3125" i="1"/>
  <c r="M3125" i="1" s="1"/>
  <c r="H3123" i="1"/>
  <c r="M3123" i="1" s="1"/>
  <c r="K1088" i="2" a="1"/>
  <c r="K1088" i="2" s="1"/>
  <c r="K1084" i="2" a="1"/>
  <c r="K1084" i="2" s="1"/>
  <c r="K1080" i="2" a="1"/>
  <c r="K1080" i="2" s="1"/>
  <c r="H3099" i="1"/>
  <c r="M3099" i="1" s="1"/>
  <c r="H3093" i="1"/>
  <c r="M3093" i="1" s="1"/>
  <c r="H3091" i="1"/>
  <c r="M3091" i="1" s="1"/>
  <c r="H3089" i="1"/>
  <c r="M3089" i="1" s="1"/>
  <c r="K1070" i="2" a="1"/>
  <c r="K1070" i="2" s="1"/>
  <c r="K1068" i="2" a="1"/>
  <c r="K1068" i="2" s="1"/>
  <c r="K1067" i="2" a="1"/>
  <c r="K1067" i="2" s="1"/>
  <c r="K1065" i="2" a="1"/>
  <c r="K1065" i="2" s="1"/>
  <c r="K1064" i="2" a="1"/>
  <c r="K1064" i="2" s="1"/>
  <c r="K1062" i="2" a="1"/>
  <c r="K1062" i="2" s="1"/>
  <c r="H2965" i="1"/>
  <c r="M2965" i="1" s="1"/>
  <c r="H2388" i="1"/>
  <c r="K1050" i="2" a="1"/>
  <c r="K1050" i="2" s="1"/>
  <c r="K1047" i="2" a="1"/>
  <c r="K1047" i="2" s="1"/>
  <c r="H2896" i="1"/>
  <c r="M2896" i="1" s="1"/>
  <c r="H2890" i="1"/>
  <c r="M2890" i="1" s="1"/>
  <c r="K1041" i="2" a="1"/>
  <c r="K1041" i="2" s="1"/>
  <c r="K1040" i="2" a="1"/>
  <c r="K1040" i="2" s="1"/>
  <c r="H2874" i="1"/>
  <c r="M2874" i="1" s="1"/>
  <c r="H2866" i="1"/>
  <c r="M2866" i="1" s="1"/>
  <c r="K1029" i="2" a="1"/>
  <c r="K1029" i="2" s="1"/>
  <c r="H2860" i="1"/>
  <c r="M2860" i="1" s="1"/>
  <c r="H2858" i="1"/>
  <c r="M2858" i="1" s="1"/>
  <c r="K1025" i="2" a="1"/>
  <c r="K1025" i="2" s="1"/>
  <c r="K1016" i="2" a="1"/>
  <c r="K1016" i="2" s="1"/>
  <c r="K1014" i="2" a="1"/>
  <c r="K1014" i="2" s="1"/>
  <c r="K1011" i="2" a="1"/>
  <c r="K1011" i="2" s="1"/>
  <c r="K1008" i="2" a="1"/>
  <c r="K1008" i="2" s="1"/>
  <c r="K1004" i="2" a="1"/>
  <c r="K1004" i="2" s="1"/>
  <c r="H2944" i="1"/>
  <c r="M2944" i="1" s="1"/>
  <c r="H1930" i="1"/>
  <c r="K996" i="2" a="1"/>
  <c r="K996" i="2" s="1"/>
  <c r="H2928" i="1"/>
  <c r="M2928" i="1" s="1"/>
  <c r="H2920" i="1"/>
  <c r="M2920" i="1" s="1"/>
  <c r="K989" i="2" a="1"/>
  <c r="K989" i="2" s="1"/>
  <c r="K988" i="2" a="1"/>
  <c r="K988" i="2" s="1"/>
  <c r="K984" i="2" a="1"/>
  <c r="K984" i="2" s="1"/>
  <c r="K981" i="2" a="1"/>
  <c r="K981" i="2" s="1"/>
  <c r="K976" i="2" a="1"/>
  <c r="K976" i="2" s="1"/>
  <c r="K975" i="2" a="1"/>
  <c r="K975" i="2" s="1"/>
  <c r="K974" i="2" a="1"/>
  <c r="K974" i="2" s="1"/>
  <c r="H3011" i="1"/>
  <c r="M3011" i="1" s="1"/>
  <c r="H3005" i="1"/>
  <c r="M3005" i="1" s="1"/>
  <c r="H1839" i="1"/>
  <c r="K968" i="2" a="1"/>
  <c r="K968" i="2" s="1"/>
  <c r="K963" i="2" a="1"/>
  <c r="K963" i="2" s="1"/>
  <c r="K962" i="2" a="1"/>
  <c r="K962" i="2" s="1"/>
  <c r="K961" i="2" a="1"/>
  <c r="K961" i="2" s="1"/>
  <c r="H2474" i="1"/>
  <c r="H2508" i="1"/>
  <c r="K954" i="2" a="1"/>
  <c r="K954" i="2" s="1"/>
  <c r="H3190" i="1"/>
  <c r="M3190" i="1" s="1"/>
  <c r="K951" i="2" a="1"/>
  <c r="K951" i="2" s="1"/>
  <c r="H2433" i="1"/>
  <c r="H3188" i="1"/>
  <c r="M3188" i="1" s="1"/>
  <c r="H3186" i="1"/>
  <c r="M3186" i="1" s="1"/>
  <c r="H2422" i="1"/>
  <c r="H3182" i="1"/>
  <c r="M3182" i="1" s="1"/>
  <c r="H3135" i="1"/>
  <c r="M3135" i="1" s="1"/>
  <c r="K932" i="2" a="1"/>
  <c r="K932" i="2" s="1"/>
  <c r="H3076" i="1"/>
  <c r="M3076" i="1" s="1"/>
  <c r="K929" i="2" a="1"/>
  <c r="K929" i="2" s="1"/>
  <c r="K928" i="2" a="1"/>
  <c r="K928" i="2" s="1"/>
  <c r="K925" i="2" a="1"/>
  <c r="K925" i="2" s="1"/>
  <c r="K924" i="2" a="1"/>
  <c r="K924" i="2" s="1"/>
  <c r="K923" i="2" a="1"/>
  <c r="K923" i="2" s="1"/>
  <c r="H3054" i="1"/>
  <c r="M3054" i="1" s="1"/>
  <c r="H1887" i="1"/>
  <c r="H2708" i="1"/>
  <c r="H2706" i="1"/>
  <c r="K912" i="2" a="1"/>
  <c r="K912" i="2" s="1"/>
  <c r="H3040" i="1"/>
  <c r="M3040" i="1" s="1"/>
  <c r="H3038" i="1"/>
  <c r="M3038" i="1" s="1"/>
  <c r="K909" i="2" a="1"/>
  <c r="K909" i="2" s="1"/>
  <c r="K905" i="2" a="1"/>
  <c r="K905" i="2" s="1"/>
  <c r="K904" i="2" a="1"/>
  <c r="K904" i="2" s="1"/>
  <c r="K903" i="2" a="1"/>
  <c r="K903" i="2" s="1"/>
  <c r="H3020" i="1"/>
  <c r="M3020" i="1" s="1"/>
  <c r="K898" i="2" a="1"/>
  <c r="K898" i="2" s="1"/>
  <c r="H2376" i="1"/>
  <c r="H2652" i="1"/>
  <c r="K892" i="2" a="1"/>
  <c r="K892" i="2" s="1"/>
  <c r="K890" i="2" a="1"/>
  <c r="K890" i="2" s="1"/>
  <c r="K889" i="2" a="1"/>
  <c r="K889" i="2" s="1"/>
  <c r="K887" i="2" a="1"/>
  <c r="K887" i="2" s="1"/>
  <c r="K886" i="2" a="1"/>
  <c r="K886" i="2" s="1"/>
  <c r="K885" i="2" a="1"/>
  <c r="K885" i="2" s="1"/>
  <c r="K884" i="2" a="1"/>
  <c r="K884" i="2" s="1"/>
  <c r="K882" i="2" a="1"/>
  <c r="K882" i="2" s="1"/>
  <c r="K879" i="2" a="1"/>
  <c r="K879" i="2" s="1"/>
  <c r="H1551" i="1"/>
  <c r="H2650" i="1"/>
  <c r="K870" i="2" a="1"/>
  <c r="K870" i="2" s="1"/>
  <c r="K869" i="2" a="1"/>
  <c r="K869" i="2" s="1"/>
  <c r="K867" i="2" a="1"/>
  <c r="K867" i="2" s="1"/>
  <c r="K865" i="2" a="1"/>
  <c r="K865" i="2" s="1"/>
  <c r="K864" i="2" a="1"/>
  <c r="K864" i="2" s="1"/>
  <c r="K850" i="2" a="1"/>
  <c r="K850" i="2" s="1"/>
  <c r="K849" i="2" a="1"/>
  <c r="K849" i="2" s="1"/>
  <c r="K848" i="2" a="1"/>
  <c r="K848" i="2" s="1"/>
  <c r="K847" i="2" a="1"/>
  <c r="K847" i="2" s="1"/>
  <c r="K846" i="2" a="1"/>
  <c r="K846" i="2" s="1"/>
  <c r="K845" i="2" a="1"/>
  <c r="K845" i="2" s="1"/>
  <c r="K844" i="2" a="1"/>
  <c r="K844" i="2" s="1"/>
  <c r="K840" i="2" a="1"/>
  <c r="K840" i="2" s="1"/>
  <c r="K839" i="2" a="1"/>
  <c r="K839" i="2" s="1"/>
  <c r="K834" i="2" a="1"/>
  <c r="K834" i="2" s="1"/>
  <c r="K833" i="2" a="1"/>
  <c r="K833" i="2" s="1"/>
  <c r="K830" i="2" a="1"/>
  <c r="K830" i="2" s="1"/>
  <c r="H3181" i="1"/>
  <c r="M3181" i="1" s="1"/>
  <c r="H3180" i="1"/>
  <c r="M3180" i="1" s="1"/>
  <c r="N3180" i="1" s="1"/>
  <c r="K826" i="2" a="1"/>
  <c r="K826" i="2" s="1"/>
  <c r="K825" i="2" a="1"/>
  <c r="K825" i="2" s="1"/>
  <c r="K824" i="2" a="1"/>
  <c r="K824" i="2" s="1"/>
  <c r="K823" i="2" a="1"/>
  <c r="K823" i="2" s="1"/>
  <c r="K822" i="2" a="1"/>
  <c r="K822" i="2" s="1"/>
  <c r="H2325" i="1"/>
  <c r="K810" i="2" a="1"/>
  <c r="K810" i="2" s="1"/>
  <c r="K809" i="2" a="1"/>
  <c r="K809" i="2" s="1"/>
  <c r="K808" i="2" a="1"/>
  <c r="K808" i="2" s="1"/>
  <c r="K804" i="2" a="1"/>
  <c r="K804" i="2" s="1"/>
  <c r="K803" i="2" a="1"/>
  <c r="K803" i="2" s="1"/>
  <c r="K799" i="2" a="1"/>
  <c r="K799" i="2" s="1"/>
  <c r="K798" i="2" a="1"/>
  <c r="K798" i="2" s="1"/>
  <c r="H3173" i="1"/>
  <c r="M3173" i="1" s="1"/>
  <c r="K789" i="2" a="1"/>
  <c r="K789" i="2" s="1"/>
  <c r="K786" i="2" a="1"/>
  <c r="K786" i="2" s="1"/>
  <c r="K785" i="2" a="1"/>
  <c r="K785" i="2" s="1"/>
  <c r="K784" i="2" a="1"/>
  <c r="K784" i="2" s="1"/>
  <c r="K783" i="2" a="1"/>
  <c r="K783" i="2" s="1"/>
  <c r="K782" i="2" a="1"/>
  <c r="K782" i="2" s="1"/>
  <c r="K778" i="2" a="1"/>
  <c r="K778" i="2" s="1"/>
  <c r="K777" i="2" a="1"/>
  <c r="K777" i="2" s="1"/>
  <c r="K769" i="2" a="1"/>
  <c r="K769" i="2" s="1"/>
  <c r="K767" i="2" a="1"/>
  <c r="K767" i="2" s="1"/>
  <c r="K765" i="2" a="1"/>
  <c r="K765" i="2" s="1"/>
  <c r="K764" i="2" a="1"/>
  <c r="K764" i="2" s="1"/>
  <c r="K763" i="2" a="1"/>
  <c r="K763" i="2" s="1"/>
  <c r="K761" i="2" a="1"/>
  <c r="K761" i="2" s="1"/>
  <c r="K760" i="2" a="1"/>
  <c r="K760" i="2" s="1"/>
  <c r="H3168" i="1"/>
  <c r="M3168" i="1" s="1"/>
  <c r="H3166" i="1"/>
  <c r="M3166" i="1" s="1"/>
  <c r="N3166" i="1" s="1"/>
  <c r="K757" i="2" a="1"/>
  <c r="K757" i="2" s="1"/>
  <c r="K754" i="2" a="1"/>
  <c r="K754" i="2" s="1"/>
  <c r="H3177" i="1"/>
  <c r="M3177" i="1" s="1"/>
  <c r="N3177" i="1" s="1"/>
  <c r="K750" i="2" a="1"/>
  <c r="K750" i="2" s="1"/>
  <c r="K749" i="2" a="1"/>
  <c r="K749" i="2" s="1"/>
  <c r="K748" i="2" a="1"/>
  <c r="K748" i="2" s="1"/>
  <c r="K745" i="2" a="1"/>
  <c r="K745" i="2" s="1"/>
  <c r="K743" i="2" a="1"/>
  <c r="K743" i="2" s="1"/>
  <c r="H1375" i="1"/>
  <c r="K730" i="2" a="1"/>
  <c r="K730" i="2" s="1"/>
  <c r="K729" i="2" a="1"/>
  <c r="K729" i="2" s="1"/>
  <c r="K726" i="2" a="1"/>
  <c r="K726" i="2" s="1"/>
  <c r="K725" i="2" a="1"/>
  <c r="K725" i="2" s="1"/>
  <c r="K722" i="2" a="1"/>
  <c r="K722" i="2" s="1"/>
  <c r="K717" i="2" a="1"/>
  <c r="K717" i="2" s="1"/>
  <c r="K712" i="2" a="1"/>
  <c r="K712" i="2" s="1"/>
  <c r="K710" i="2" a="1"/>
  <c r="K710" i="2" s="1"/>
  <c r="K709" i="2" a="1"/>
  <c r="K709" i="2" s="1"/>
  <c r="K706" i="2" a="1"/>
  <c r="K706" i="2" s="1"/>
  <c r="K705" i="2" a="1"/>
  <c r="K705" i="2" s="1"/>
  <c r="K704" i="2" a="1"/>
  <c r="K704" i="2" s="1"/>
  <c r="K703" i="2" a="1"/>
  <c r="K703" i="2" s="1"/>
  <c r="K701" i="2" a="1"/>
  <c r="K701" i="2" s="1"/>
  <c r="K700" i="2" a="1"/>
  <c r="K700" i="2" s="1"/>
  <c r="K699" i="2" a="1"/>
  <c r="K699" i="2" s="1"/>
  <c r="K689" i="2" a="1"/>
  <c r="K689" i="2" s="1"/>
  <c r="K687" i="2" a="1"/>
  <c r="K687" i="2" s="1"/>
  <c r="K686" i="2" a="1"/>
  <c r="K686" i="2" s="1"/>
  <c r="K685" i="2" a="1"/>
  <c r="K685" i="2" s="1"/>
  <c r="K681" i="2" a="1"/>
  <c r="K681" i="2" s="1"/>
  <c r="K677" i="2" a="1"/>
  <c r="K677" i="2" s="1"/>
  <c r="K674" i="2" a="1"/>
  <c r="K674" i="2" s="1"/>
  <c r="K673" i="2" a="1"/>
  <c r="K673" i="2" s="1"/>
  <c r="K670" i="2" a="1"/>
  <c r="K670" i="2" s="1"/>
  <c r="K669" i="2" a="1"/>
  <c r="K669" i="2" s="1"/>
  <c r="K666" i="2" a="1"/>
  <c r="K666" i="2" s="1"/>
  <c r="K664" i="2" a="1"/>
  <c r="K664" i="2" s="1"/>
  <c r="K662" i="2" a="1"/>
  <c r="K662" i="2" s="1"/>
  <c r="K661" i="2" a="1"/>
  <c r="K661" i="2" s="1"/>
  <c r="K660" i="2" a="1"/>
  <c r="K660" i="2" s="1"/>
  <c r="K659" i="2" a="1"/>
  <c r="K659" i="2" s="1"/>
  <c r="K657" i="2" a="1"/>
  <c r="K657" i="2" s="1"/>
  <c r="K656" i="2" a="1"/>
  <c r="K656" i="2" s="1"/>
  <c r="K655" i="2" a="1"/>
  <c r="K655" i="2" s="1"/>
  <c r="K650" i="2" a="1"/>
  <c r="K650" i="2" s="1"/>
  <c r="K647" i="2" a="1"/>
  <c r="K647" i="2" s="1"/>
  <c r="K646" i="2" a="1"/>
  <c r="K646" i="2" s="1"/>
  <c r="K645" i="2" a="1"/>
  <c r="K645" i="2" s="1"/>
  <c r="K644" i="2" a="1"/>
  <c r="K644" i="2" s="1"/>
  <c r="K643" i="2" a="1"/>
  <c r="K643" i="2" s="1"/>
  <c r="K639" i="2" a="1"/>
  <c r="K639" i="2" s="1"/>
  <c r="K636" i="2" a="1"/>
  <c r="K636" i="2" s="1"/>
  <c r="K632" i="2" a="1"/>
  <c r="K632" i="2" s="1"/>
  <c r="K629" i="2" a="1"/>
  <c r="K629" i="2" s="1"/>
  <c r="K628" i="2" a="1"/>
  <c r="K628" i="2" s="1"/>
  <c r="K627" i="2" a="1"/>
  <c r="K627" i="2" s="1"/>
  <c r="K625" i="2" a="1"/>
  <c r="K625" i="2" s="1"/>
  <c r="K624" i="2" a="1"/>
  <c r="K624" i="2" s="1"/>
  <c r="K622" i="2" a="1"/>
  <c r="K622" i="2" s="1"/>
  <c r="K620" i="2" a="1"/>
  <c r="K620" i="2" s="1"/>
  <c r="K619" i="2" a="1"/>
  <c r="K619" i="2" s="1"/>
  <c r="K609" i="2" a="1"/>
  <c r="K609" i="2" s="1"/>
  <c r="K605" i="2" a="1"/>
  <c r="K605" i="2" s="1"/>
  <c r="K604" i="2" a="1"/>
  <c r="K604" i="2" s="1"/>
  <c r="K603" i="2" a="1"/>
  <c r="K603" i="2" s="1"/>
  <c r="K600" i="2" a="1"/>
  <c r="K600" i="2" s="1"/>
  <c r="K597" i="2" a="1"/>
  <c r="K597" i="2" s="1"/>
  <c r="K592" i="2" a="1"/>
  <c r="K592" i="2" s="1"/>
  <c r="K590" i="2" a="1"/>
  <c r="K590" i="2" s="1"/>
  <c r="K589" i="2" a="1"/>
  <c r="K589" i="2" s="1"/>
  <c r="K587" i="2" a="1"/>
  <c r="K587" i="2" s="1"/>
  <c r="K585" i="2" a="1"/>
  <c r="K585" i="2" s="1"/>
  <c r="K584" i="2" a="1"/>
  <c r="K584" i="2" s="1"/>
  <c r="K583" i="2" a="1"/>
  <c r="K583" i="2" s="1"/>
  <c r="K581" i="2" a="1"/>
  <c r="K581" i="2" s="1"/>
  <c r="K578" i="2" a="1"/>
  <c r="K578" i="2" s="1"/>
  <c r="K577" i="2" a="1"/>
  <c r="K577" i="2" s="1"/>
  <c r="K575" i="2" a="1"/>
  <c r="K575" i="2" s="1"/>
  <c r="K571" i="2" a="1"/>
  <c r="K571" i="2" s="1"/>
  <c r="K570" i="2" a="1"/>
  <c r="K570" i="2" s="1"/>
  <c r="K569" i="2" a="1"/>
  <c r="K569" i="2" s="1"/>
  <c r="K567" i="2" a="1"/>
  <c r="K567" i="2" s="1"/>
  <c r="K566" i="2" a="1"/>
  <c r="K566" i="2" s="1"/>
  <c r="K565" i="2" a="1"/>
  <c r="K565" i="2" s="1"/>
  <c r="K564" i="2" a="1"/>
  <c r="K564" i="2" s="1"/>
  <c r="K563" i="2" a="1"/>
  <c r="K563" i="2" s="1"/>
  <c r="K559" i="2" a="1"/>
  <c r="K559" i="2" s="1"/>
  <c r="K555" i="2" a="1"/>
  <c r="K555" i="2" s="1"/>
  <c r="H3163" i="1"/>
  <c r="M3163" i="1" s="1"/>
  <c r="N3163" i="1" s="1"/>
  <c r="K552" i="2" a="1"/>
  <c r="K552" i="2" s="1"/>
  <c r="K551" i="2" a="1"/>
  <c r="K551" i="2" s="1"/>
  <c r="K550" i="2" a="1"/>
  <c r="K550" i="2" s="1"/>
  <c r="K549" i="2" a="1"/>
  <c r="K549" i="2" s="1"/>
  <c r="K548" i="2" a="1"/>
  <c r="K548" i="2" s="1"/>
  <c r="K546" i="2" a="1"/>
  <c r="K546" i="2" s="1"/>
  <c r="K545" i="2" a="1"/>
  <c r="K545" i="2" s="1"/>
  <c r="K544" i="2" a="1"/>
  <c r="K544" i="2" s="1"/>
  <c r="K543" i="2" a="1"/>
  <c r="K543" i="2" s="1"/>
  <c r="K532" i="2" a="1"/>
  <c r="K532" i="2" s="1"/>
  <c r="K530" i="2" a="1"/>
  <c r="K530" i="2" s="1"/>
  <c r="K529" i="2" a="1"/>
  <c r="K529" i="2" s="1"/>
  <c r="K526" i="2" a="1"/>
  <c r="K526" i="2" s="1"/>
  <c r="K525" i="2" a="1"/>
  <c r="K525" i="2" s="1"/>
  <c r="K524" i="2" a="1"/>
  <c r="K524" i="2" s="1"/>
  <c r="K523" i="2" a="1"/>
  <c r="K523" i="2" s="1"/>
  <c r="K521" i="2" a="1"/>
  <c r="K521" i="2" s="1"/>
  <c r="K520" i="2" a="1"/>
  <c r="K520" i="2" s="1"/>
  <c r="K518" i="2" a="1"/>
  <c r="K518" i="2" s="1"/>
  <c r="K517" i="2" a="1"/>
  <c r="K517" i="2" s="1"/>
  <c r="K509" i="2" a="1"/>
  <c r="K509" i="2" s="1"/>
  <c r="K507" i="2" a="1"/>
  <c r="K507" i="2" s="1"/>
  <c r="K505" i="2" a="1"/>
  <c r="K505" i="2" s="1"/>
  <c r="K504" i="2" a="1"/>
  <c r="K504" i="2" s="1"/>
  <c r="K503" i="2" a="1"/>
  <c r="K503" i="2" s="1"/>
  <c r="K501" i="2" a="1"/>
  <c r="K501" i="2" s="1"/>
  <c r="K498" i="2" a="1"/>
  <c r="K498" i="2" s="1"/>
  <c r="K497" i="2" a="1"/>
  <c r="K497" i="2" s="1"/>
  <c r="K495" i="2" a="1"/>
  <c r="K495" i="2" s="1"/>
  <c r="K490" i="2" a="1"/>
  <c r="K490" i="2" s="1"/>
  <c r="K489" i="2" a="1"/>
  <c r="K489" i="2" s="1"/>
  <c r="K487" i="2" a="1"/>
  <c r="K487" i="2" s="1"/>
  <c r="K486" i="2" a="1"/>
  <c r="K486" i="2" s="1"/>
  <c r="K485" i="2" a="1"/>
  <c r="K485" i="2" s="1"/>
  <c r="K484" i="2" a="1"/>
  <c r="K484" i="2" s="1"/>
  <c r="K483" i="2" a="1"/>
  <c r="K483" i="2" s="1"/>
  <c r="K482" i="2" a="1"/>
  <c r="K482" i="2" s="1"/>
  <c r="K478" i="2" a="1"/>
  <c r="K478" i="2" s="1"/>
  <c r="K476" i="2" a="1"/>
  <c r="K476" i="2" s="1"/>
  <c r="K475" i="2" a="1"/>
  <c r="K475" i="2" s="1"/>
  <c r="K472" i="2" a="1"/>
  <c r="K472" i="2" s="1"/>
  <c r="K470" i="2" a="1"/>
  <c r="K470" i="2" s="1"/>
  <c r="K469" i="2" a="1"/>
  <c r="K469" i="2" s="1"/>
  <c r="K468" i="2" a="1"/>
  <c r="K468" i="2" s="1"/>
  <c r="K465" i="2" a="1"/>
  <c r="K465" i="2" s="1"/>
  <c r="K464" i="2" a="1"/>
  <c r="K464" i="2" s="1"/>
  <c r="K463" i="2" a="1"/>
  <c r="K463" i="2" s="1"/>
  <c r="K462" i="2" a="1"/>
  <c r="K462" i="2" s="1"/>
  <c r="K460" i="2" a="1"/>
  <c r="K460" i="2" s="1"/>
  <c r="K459" i="2" a="1"/>
  <c r="K459" i="2" s="1"/>
  <c r="K456" i="2" a="1"/>
  <c r="K456" i="2" s="1"/>
  <c r="K455" i="2" a="1"/>
  <c r="K455" i="2" s="1"/>
  <c r="K450" i="2" a="1"/>
  <c r="K450" i="2" s="1"/>
  <c r="K449" i="2" a="1"/>
  <c r="K449" i="2" s="1"/>
  <c r="K448" i="2" a="1"/>
  <c r="K448" i="2" s="1"/>
  <c r="K447" i="2" a="1"/>
  <c r="K447" i="2" s="1"/>
  <c r="K446" i="2" a="1"/>
  <c r="K446" i="2" s="1"/>
  <c r="K445" i="2" a="1"/>
  <c r="K445" i="2" s="1"/>
  <c r="K444" i="2" a="1"/>
  <c r="K444" i="2" s="1"/>
  <c r="K443" i="2" a="1"/>
  <c r="K443" i="2" s="1"/>
  <c r="K442" i="2" a="1"/>
  <c r="K442" i="2" s="1"/>
  <c r="K441" i="2" a="1"/>
  <c r="K441" i="2" s="1"/>
  <c r="K440" i="2" a="1"/>
  <c r="K440" i="2" s="1"/>
  <c r="K439" i="2" a="1"/>
  <c r="K439" i="2" s="1"/>
  <c r="K438" i="2" a="1"/>
  <c r="K438" i="2" s="1"/>
  <c r="K437" i="2" a="1"/>
  <c r="K437" i="2" s="1"/>
  <c r="K436" i="2" a="1"/>
  <c r="K436" i="2" s="1"/>
  <c r="K435" i="2" a="1"/>
  <c r="K435" i="2" s="1"/>
  <c r="K432" i="2" a="1"/>
  <c r="K432" i="2" s="1"/>
  <c r="K431" i="2" a="1"/>
  <c r="K431" i="2" s="1"/>
  <c r="K430" i="2" a="1"/>
  <c r="K430" i="2" s="1"/>
  <c r="K429" i="2" a="1"/>
  <c r="K429" i="2" s="1"/>
  <c r="K428" i="2" a="1"/>
  <c r="K428" i="2" s="1"/>
  <c r="K427" i="2" a="1"/>
  <c r="K427" i="2" s="1"/>
  <c r="K426" i="2" a="1"/>
  <c r="K426" i="2" s="1"/>
  <c r="K425" i="2" a="1"/>
  <c r="K425" i="2" s="1"/>
  <c r="K424" i="2" a="1"/>
  <c r="K424" i="2" s="1"/>
  <c r="K423" i="2" a="1"/>
  <c r="K423" i="2" s="1"/>
  <c r="K420" i="2" a="1"/>
  <c r="K420" i="2" s="1"/>
  <c r="K417" i="2" a="1"/>
  <c r="K417" i="2" s="1"/>
  <c r="K415" i="2" a="1"/>
  <c r="K415" i="2" s="1"/>
  <c r="K412" i="2" a="1"/>
  <c r="K412" i="2" s="1"/>
  <c r="K410" i="2" a="1"/>
  <c r="K410" i="2" s="1"/>
  <c r="K409" i="2" a="1"/>
  <c r="K409" i="2" s="1"/>
  <c r="K408" i="2" a="1"/>
  <c r="K408" i="2" s="1"/>
  <c r="K406" i="2" a="1"/>
  <c r="K406" i="2" s="1"/>
  <c r="K405" i="2" a="1"/>
  <c r="K405" i="2" s="1"/>
  <c r="K404" i="2" a="1"/>
  <c r="K404" i="2" s="1"/>
  <c r="K403" i="2" a="1"/>
  <c r="K403" i="2" s="1"/>
  <c r="K399" i="2" a="1"/>
  <c r="K399" i="2" s="1"/>
  <c r="K398" i="2" a="1"/>
  <c r="K398" i="2" s="1"/>
  <c r="K397" i="2" a="1"/>
  <c r="K397" i="2" s="1"/>
  <c r="K395" i="2" a="1"/>
  <c r="K395" i="2" s="1"/>
  <c r="K394" i="2" a="1"/>
  <c r="K394" i="2" s="1"/>
  <c r="K391" i="2" a="1"/>
  <c r="K391" i="2" s="1"/>
  <c r="K390" i="2" a="1"/>
  <c r="K390" i="2" s="1"/>
  <c r="K389" i="2" a="1"/>
  <c r="K389" i="2" s="1"/>
  <c r="K387" i="2" a="1"/>
  <c r="K387" i="2" s="1"/>
  <c r="K386" i="2" a="1"/>
  <c r="K386" i="2" s="1"/>
  <c r="K385" i="2" a="1"/>
  <c r="K385" i="2" s="1"/>
  <c r="K384" i="2" a="1"/>
  <c r="K384" i="2" s="1"/>
  <c r="K383" i="2" a="1"/>
  <c r="K383" i="2" s="1"/>
  <c r="K382" i="2" a="1"/>
  <c r="K382" i="2" s="1"/>
  <c r="K379" i="2" a="1"/>
  <c r="K379" i="2" s="1"/>
  <c r="K378" i="2" a="1"/>
  <c r="K378" i="2" s="1"/>
  <c r="K375" i="2" a="1"/>
  <c r="K375" i="2" s="1"/>
  <c r="K374" i="2" a="1"/>
  <c r="K374" i="2" s="1"/>
  <c r="K371" i="2" a="1"/>
  <c r="K371" i="2" s="1"/>
  <c r="K370" i="2" a="1"/>
  <c r="K370" i="2" s="1"/>
  <c r="K369" i="2" a="1"/>
  <c r="K369" i="2" s="1"/>
  <c r="K368" i="2" a="1"/>
  <c r="K368" i="2" s="1"/>
  <c r="K367" i="2" a="1"/>
  <c r="K367" i="2" s="1"/>
  <c r="K366" i="2" a="1"/>
  <c r="K366" i="2" s="1"/>
  <c r="K365" i="2" a="1"/>
  <c r="K365" i="2" s="1"/>
  <c r="K364" i="2" a="1"/>
  <c r="K364" i="2" s="1"/>
  <c r="K363" i="2" a="1"/>
  <c r="K363" i="2" s="1"/>
  <c r="K362" i="2" a="1"/>
  <c r="K362" i="2" s="1"/>
  <c r="K361" i="2" a="1"/>
  <c r="K361" i="2" s="1"/>
  <c r="K360" i="2" a="1"/>
  <c r="K360" i="2" s="1"/>
  <c r="K358" i="2" a="1"/>
  <c r="K358" i="2" s="1"/>
  <c r="K357" i="2" a="1"/>
  <c r="K357" i="2" s="1"/>
  <c r="K355" i="2" a="1"/>
  <c r="K355" i="2" s="1"/>
  <c r="K354" i="2" a="1"/>
  <c r="K354" i="2" s="1"/>
  <c r="K352" i="2" a="1"/>
  <c r="K352" i="2" s="1"/>
  <c r="K350" i="2" a="1"/>
  <c r="K350" i="2" s="1"/>
  <c r="K349" i="2" a="1"/>
  <c r="K349" i="2" s="1"/>
  <c r="K347" i="2" a="1"/>
  <c r="K347" i="2" s="1"/>
  <c r="K344" i="2" a="1"/>
  <c r="K344" i="2" s="1"/>
  <c r="K343" i="2" a="1"/>
  <c r="K343" i="2" s="1"/>
  <c r="K342" i="2" a="1"/>
  <c r="K342" i="2" s="1"/>
  <c r="K340" i="2" a="1"/>
  <c r="K340" i="2" s="1"/>
  <c r="K339" i="2" a="1"/>
  <c r="K339" i="2" s="1"/>
  <c r="K338" i="2" a="1"/>
  <c r="K338" i="2" s="1"/>
  <c r="K336" i="2" a="1"/>
  <c r="K336" i="2" s="1"/>
  <c r="K335" i="2" a="1"/>
  <c r="K335" i="2" s="1"/>
  <c r="K334" i="2" a="1"/>
  <c r="K334" i="2" s="1"/>
  <c r="K330" i="2" a="1"/>
  <c r="K330" i="2" s="1"/>
  <c r="K329" i="2" a="1"/>
  <c r="K329" i="2" s="1"/>
  <c r="K328" i="2" a="1"/>
  <c r="K328" i="2" s="1"/>
  <c r="K327" i="2" a="1"/>
  <c r="K327" i="2" s="1"/>
  <c r="K326" i="2" a="1"/>
  <c r="K326" i="2" s="1"/>
  <c r="K325" i="2" a="1"/>
  <c r="K325" i="2" s="1"/>
  <c r="K324" i="2" a="1"/>
  <c r="K324" i="2" s="1"/>
  <c r="K323" i="2" a="1"/>
  <c r="K323" i="2" s="1"/>
  <c r="K321" i="2" a="1"/>
  <c r="K321" i="2" s="1"/>
  <c r="K320" i="2" a="1"/>
  <c r="K320" i="2" s="1"/>
  <c r="K317" i="2" a="1"/>
  <c r="K317" i="2" s="1"/>
  <c r="K316" i="2" a="1"/>
  <c r="K316" i="2" s="1"/>
  <c r="K315" i="2" a="1"/>
  <c r="K315" i="2" s="1"/>
  <c r="K311" i="2" a="1"/>
  <c r="K311" i="2" s="1"/>
  <c r="K310" i="2" a="1"/>
  <c r="K310" i="2" s="1"/>
  <c r="K309" i="2" a="1"/>
  <c r="K309" i="2" s="1"/>
  <c r="K308" i="2" a="1"/>
  <c r="K308" i="2" s="1"/>
  <c r="K307" i="2" a="1"/>
  <c r="K307" i="2" s="1"/>
  <c r="K306" i="2" a="1"/>
  <c r="K306" i="2" s="1"/>
  <c r="K305" i="2" a="1"/>
  <c r="K305" i="2" s="1"/>
  <c r="K304" i="2" a="1"/>
  <c r="K304" i="2" s="1"/>
  <c r="K303" i="2" a="1"/>
  <c r="K303" i="2" s="1"/>
  <c r="K301" i="2" a="1"/>
  <c r="K301" i="2" s="1"/>
  <c r="K300" i="2" a="1"/>
  <c r="K300" i="2" s="1"/>
  <c r="K297" i="2" a="1"/>
  <c r="K297" i="2" s="1"/>
  <c r="K295" i="2" a="1"/>
  <c r="K295" i="2" s="1"/>
  <c r="K294" i="2" a="1"/>
  <c r="K294" i="2" s="1"/>
  <c r="K292" i="2" a="1"/>
  <c r="K292" i="2" s="1"/>
  <c r="K291" i="2" a="1"/>
  <c r="K291" i="2" s="1"/>
  <c r="K290" i="2" a="1"/>
  <c r="K290" i="2" s="1"/>
  <c r="K289" i="2" a="1"/>
  <c r="K289" i="2" s="1"/>
  <c r="K288" i="2" a="1"/>
  <c r="K288" i="2" s="1"/>
  <c r="K287" i="2" a="1"/>
  <c r="K287" i="2" s="1"/>
  <c r="K286" i="2" a="1"/>
  <c r="K286" i="2" s="1"/>
  <c r="K285" i="2" a="1"/>
  <c r="K285" i="2" s="1"/>
  <c r="K284" i="2" a="1"/>
  <c r="K284" i="2" s="1"/>
  <c r="K283" i="2" a="1"/>
  <c r="K283" i="2" s="1"/>
  <c r="K282" i="2" a="1"/>
  <c r="K282" i="2" s="1"/>
  <c r="K281" i="2" a="1"/>
  <c r="K281" i="2" s="1"/>
  <c r="K280" i="2" a="1"/>
  <c r="K280" i="2" s="1"/>
  <c r="K279" i="2" a="1"/>
  <c r="K279" i="2" s="1"/>
  <c r="K278" i="2" a="1"/>
  <c r="K278" i="2" s="1"/>
  <c r="H2569" i="1"/>
  <c r="K276" i="2" a="1"/>
  <c r="K276" i="2" s="1"/>
  <c r="K275" i="2" a="1"/>
  <c r="K275" i="2" s="1"/>
  <c r="K272" i="2" a="1"/>
  <c r="K272" i="2" s="1"/>
  <c r="K271" i="2" a="1"/>
  <c r="K271" i="2" s="1"/>
  <c r="K270" i="2" a="1"/>
  <c r="K270" i="2" s="1"/>
  <c r="K269" i="2" a="1"/>
  <c r="K269" i="2" s="1"/>
  <c r="K268" i="2" a="1"/>
  <c r="K268" i="2" s="1"/>
  <c r="K267" i="2" a="1"/>
  <c r="K267" i="2" s="1"/>
  <c r="K266" i="2" a="1"/>
  <c r="K266" i="2" s="1"/>
  <c r="K265" i="2" a="1"/>
  <c r="K265" i="2" s="1"/>
  <c r="K264" i="2" a="1"/>
  <c r="K264" i="2" s="1"/>
  <c r="K263" i="2" a="1"/>
  <c r="K263" i="2" s="1"/>
  <c r="K260" i="2" a="1"/>
  <c r="K260" i="2" s="1"/>
  <c r="K259" i="2" a="1"/>
  <c r="K259" i="2" s="1"/>
  <c r="K258" i="2" a="1"/>
  <c r="K258" i="2" s="1"/>
  <c r="K257" i="2" a="1"/>
  <c r="K257" i="2" s="1"/>
  <c r="K255" i="2" a="1"/>
  <c r="K255" i="2" s="1"/>
  <c r="K252" i="2" a="1"/>
  <c r="K252" i="2" s="1"/>
  <c r="K251" i="2" a="1"/>
  <c r="K251" i="2" s="1"/>
  <c r="K250" i="2" a="1"/>
  <c r="K250" i="2" s="1"/>
  <c r="K249" i="2" a="1"/>
  <c r="K249" i="2" s="1"/>
  <c r="K248" i="2" a="1"/>
  <c r="K248" i="2" s="1"/>
  <c r="K247" i="2" a="1"/>
  <c r="K247" i="2" s="1"/>
  <c r="K246" i="2" a="1"/>
  <c r="K246" i="2" s="1"/>
  <c r="K245" i="2" a="1"/>
  <c r="K245" i="2" s="1"/>
  <c r="K244" i="2" a="1"/>
  <c r="K244" i="2" s="1"/>
  <c r="K243" i="2" a="1"/>
  <c r="K243" i="2" s="1"/>
  <c r="K242" i="2" a="1"/>
  <c r="K242" i="2" s="1"/>
  <c r="K240" i="2" a="1"/>
  <c r="K240" i="2" s="1"/>
  <c r="K239" i="2" a="1"/>
  <c r="K239" i="2" s="1"/>
  <c r="K238" i="2" a="1"/>
  <c r="K238" i="2" s="1"/>
  <c r="K235" i="2" a="1"/>
  <c r="K235" i="2" s="1"/>
  <c r="K233" i="2" a="1"/>
  <c r="K233" i="2" s="1"/>
  <c r="K232" i="2" a="1"/>
  <c r="K232" i="2" s="1"/>
  <c r="K230" i="2" a="1"/>
  <c r="K230" i="2" s="1"/>
  <c r="K229" i="2" a="1"/>
  <c r="K229" i="2" s="1"/>
  <c r="K228" i="2" a="1"/>
  <c r="K228" i="2" s="1"/>
  <c r="K227" i="2" a="1"/>
  <c r="K227" i="2" s="1"/>
  <c r="K226" i="2" a="1"/>
  <c r="K226" i="2" s="1"/>
  <c r="K224" i="2" a="1"/>
  <c r="K224" i="2" s="1"/>
  <c r="K223" i="2" a="1"/>
  <c r="K223" i="2" s="1"/>
  <c r="K222" i="2" a="1"/>
  <c r="K222" i="2" s="1"/>
  <c r="K221" i="2" a="1"/>
  <c r="K221" i="2" s="1"/>
  <c r="K220" i="2" a="1"/>
  <c r="K220" i="2" s="1"/>
  <c r="K218" i="2" a="1"/>
  <c r="K218" i="2" s="1"/>
  <c r="K217" i="2" a="1"/>
  <c r="K217" i="2" s="1"/>
  <c r="K216" i="2" a="1"/>
  <c r="K216" i="2" s="1"/>
  <c r="K215" i="2" a="1"/>
  <c r="K215" i="2" s="1"/>
  <c r="K212" i="2" a="1"/>
  <c r="K212" i="2" s="1"/>
  <c r="K211" i="2" a="1"/>
  <c r="K211" i="2" s="1"/>
  <c r="K210" i="2" a="1"/>
  <c r="K210" i="2" s="1"/>
  <c r="K209" i="2" a="1"/>
  <c r="K209" i="2" s="1"/>
  <c r="K208" i="2" a="1"/>
  <c r="K208" i="2" s="1"/>
  <c r="K207" i="2" a="1"/>
  <c r="K207" i="2" s="1"/>
  <c r="K206" i="2" a="1"/>
  <c r="K206" i="2" s="1"/>
  <c r="K205" i="2" a="1"/>
  <c r="K205" i="2" s="1"/>
  <c r="K204" i="2" a="1"/>
  <c r="K204" i="2" s="1"/>
  <c r="K203" i="2" a="1"/>
  <c r="K203" i="2" s="1"/>
  <c r="K202" i="2" a="1"/>
  <c r="K202" i="2" s="1"/>
  <c r="K201" i="2" a="1"/>
  <c r="K201" i="2" s="1"/>
  <c r="K199" i="2" a="1"/>
  <c r="K199" i="2" s="1"/>
  <c r="K197" i="2" a="1"/>
  <c r="K197" i="2" s="1"/>
  <c r="K196" i="2" a="1"/>
  <c r="K196" i="2" s="1"/>
  <c r="K195" i="2" a="1"/>
  <c r="K195" i="2" s="1"/>
  <c r="K194" i="2" a="1"/>
  <c r="K194" i="2" s="1"/>
  <c r="K192" i="2" a="1"/>
  <c r="K192" i="2" s="1"/>
  <c r="K191" i="2" a="1"/>
  <c r="K191" i="2" s="1"/>
  <c r="K190" i="2" a="1"/>
  <c r="K190" i="2" s="1"/>
  <c r="K189" i="2" a="1"/>
  <c r="K189" i="2" s="1"/>
  <c r="K188" i="2" a="1"/>
  <c r="K188" i="2" s="1"/>
  <c r="K186" i="2" a="1"/>
  <c r="K186" i="2" s="1"/>
  <c r="K185" i="2" a="1"/>
  <c r="K185" i="2" s="1"/>
  <c r="K184" i="2" a="1"/>
  <c r="K184" i="2" s="1"/>
  <c r="K183" i="2" a="1"/>
  <c r="K183" i="2" s="1"/>
  <c r="K182" i="2" a="1"/>
  <c r="K182" i="2" s="1"/>
  <c r="K181" i="2" a="1"/>
  <c r="K181" i="2" s="1"/>
  <c r="K179" i="2" a="1"/>
  <c r="K179" i="2" s="1"/>
  <c r="K178" i="2" a="1"/>
  <c r="K178" i="2" s="1"/>
  <c r="K177" i="2" a="1"/>
  <c r="K177" i="2" s="1"/>
  <c r="K176" i="2" a="1"/>
  <c r="K176" i="2" s="1"/>
  <c r="K175" i="2" a="1"/>
  <c r="K175" i="2" s="1"/>
  <c r="K174" i="2" a="1"/>
  <c r="K174" i="2" s="1"/>
  <c r="K172" i="2" a="1"/>
  <c r="K172" i="2" s="1"/>
  <c r="K171" i="2" a="1"/>
  <c r="K171" i="2" s="1"/>
  <c r="K170" i="2" a="1"/>
  <c r="K170" i="2" s="1"/>
  <c r="K169" i="2" a="1"/>
  <c r="K169" i="2" s="1"/>
  <c r="K168" i="2" a="1"/>
  <c r="K168" i="2" s="1"/>
  <c r="K167" i="2" a="1"/>
  <c r="K167" i="2" s="1"/>
  <c r="K166" i="2" a="1"/>
  <c r="K166" i="2" s="1"/>
  <c r="K165" i="2" a="1"/>
  <c r="K165" i="2" s="1"/>
  <c r="K164" i="2" a="1"/>
  <c r="K164" i="2" s="1"/>
  <c r="K163" i="2" a="1"/>
  <c r="K163" i="2" s="1"/>
  <c r="K162" i="2" a="1"/>
  <c r="K162" i="2" s="1"/>
  <c r="K161" i="2" a="1"/>
  <c r="K161" i="2" s="1"/>
  <c r="K156" i="2" a="1"/>
  <c r="K156" i="2" s="1"/>
  <c r="K155" i="2" a="1"/>
  <c r="K155" i="2" s="1"/>
  <c r="K154" i="2" a="1"/>
  <c r="K154" i="2" s="1"/>
  <c r="K153" i="2" a="1"/>
  <c r="K153" i="2" s="1"/>
  <c r="K152" i="2" a="1"/>
  <c r="K152" i="2" s="1"/>
  <c r="K151" i="2" a="1"/>
  <c r="K151" i="2" s="1"/>
  <c r="K150" i="2" a="1"/>
  <c r="K150" i="2" s="1"/>
  <c r="K149" i="2" a="1"/>
  <c r="K149" i="2" s="1"/>
  <c r="K148" i="2" a="1"/>
  <c r="K148" i="2" s="1"/>
  <c r="K147" i="2" a="1"/>
  <c r="K147" i="2" s="1"/>
  <c r="K146" i="2" a="1"/>
  <c r="K146" i="2" s="1"/>
  <c r="K145" i="2" a="1"/>
  <c r="K145" i="2" s="1"/>
  <c r="K144" i="2" a="1"/>
  <c r="K144" i="2" s="1"/>
  <c r="K143" i="2" a="1"/>
  <c r="K143" i="2" s="1"/>
  <c r="K142" i="2" a="1"/>
  <c r="K142" i="2" s="1"/>
  <c r="K141" i="2" a="1"/>
  <c r="K141" i="2" s="1"/>
  <c r="K140" i="2" a="1"/>
  <c r="K140" i="2" s="1"/>
  <c r="K139" i="2" a="1"/>
  <c r="K139" i="2" s="1"/>
  <c r="K137" i="2" a="1"/>
  <c r="K137" i="2" s="1"/>
  <c r="K135" i="2" a="1"/>
  <c r="K135" i="2" s="1"/>
  <c r="K134" i="2" a="1"/>
  <c r="K134" i="2" s="1"/>
  <c r="K133" i="2" a="1"/>
  <c r="K133" i="2" s="1"/>
  <c r="K132" i="2" a="1"/>
  <c r="K132" i="2" s="1"/>
  <c r="K131" i="2" a="1"/>
  <c r="K131" i="2" s="1"/>
  <c r="K130" i="2" a="1"/>
  <c r="K130" i="2" s="1"/>
  <c r="K129" i="2" a="1"/>
  <c r="K129" i="2" s="1"/>
  <c r="K128" i="2" a="1"/>
  <c r="K128" i="2" s="1"/>
  <c r="K127" i="2" a="1"/>
  <c r="K127" i="2" s="1"/>
  <c r="K126" i="2" a="1"/>
  <c r="K126" i="2" s="1"/>
  <c r="K125" i="2" a="1"/>
  <c r="K125" i="2" s="1"/>
  <c r="K124" i="2" a="1"/>
  <c r="K124" i="2" s="1"/>
  <c r="K123" i="2" a="1"/>
  <c r="K123" i="2" s="1"/>
  <c r="K122" i="2" a="1"/>
  <c r="K122" i="2" s="1"/>
  <c r="K121" i="2" a="1"/>
  <c r="K121" i="2" s="1"/>
  <c r="K120" i="2" a="1"/>
  <c r="K120" i="2" s="1"/>
  <c r="K118" i="2" a="1"/>
  <c r="K118" i="2" s="1"/>
  <c r="K117" i="2" a="1"/>
  <c r="K117" i="2" s="1"/>
  <c r="K116" i="2" a="1"/>
  <c r="K116" i="2" s="1"/>
  <c r="K115" i="2" a="1"/>
  <c r="K115" i="2" s="1"/>
  <c r="K114" i="2" a="1"/>
  <c r="K114" i="2" s="1"/>
  <c r="K113" i="2" a="1"/>
  <c r="K113" i="2" s="1"/>
  <c r="K112" i="2" a="1"/>
  <c r="K112" i="2" s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 a="1"/>
  <c r="K106" i="2" s="1"/>
  <c r="K105" i="2" a="1"/>
  <c r="K105" i="2" s="1"/>
  <c r="K104" i="2" a="1"/>
  <c r="K104" i="2" s="1"/>
  <c r="K103" i="2" a="1"/>
  <c r="K103" i="2" s="1"/>
  <c r="K102" i="2" a="1"/>
  <c r="K102" i="2" s="1"/>
  <c r="K100" i="2" a="1"/>
  <c r="K100" i="2" s="1"/>
  <c r="K99" i="2" a="1"/>
  <c r="K99" i="2" s="1"/>
  <c r="K98" i="2" a="1"/>
  <c r="K98" i="2" s="1"/>
  <c r="K97" i="2" a="1"/>
  <c r="K97" i="2" s="1"/>
  <c r="K96" i="2" a="1"/>
  <c r="K96" i="2" s="1"/>
  <c r="K95" i="2" a="1"/>
  <c r="K95" i="2" s="1"/>
  <c r="K94" i="2" a="1"/>
  <c r="K94" i="2" s="1"/>
  <c r="K93" i="2" a="1"/>
  <c r="K93" i="2" s="1"/>
  <c r="K92" i="2" a="1"/>
  <c r="K92" i="2" s="1"/>
  <c r="K91" i="2" a="1"/>
  <c r="K91" i="2" s="1"/>
  <c r="K90" i="2" a="1"/>
  <c r="K90" i="2" s="1"/>
  <c r="K89" i="2" a="1"/>
  <c r="K89" i="2" s="1"/>
  <c r="K88" i="2" a="1"/>
  <c r="K88" i="2" s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1" i="2" a="1"/>
  <c r="K81" i="2" s="1"/>
  <c r="K80" i="2" a="1"/>
  <c r="K80" i="2" s="1"/>
  <c r="K78" i="2" a="1"/>
  <c r="K78" i="2" s="1"/>
  <c r="K77" i="2" a="1"/>
  <c r="K77" i="2" s="1"/>
  <c r="K76" i="2" a="1"/>
  <c r="K76" i="2" s="1"/>
  <c r="K75" i="2" a="1"/>
  <c r="K75" i="2" s="1"/>
  <c r="K74" i="2" a="1"/>
  <c r="K74" i="2" s="1"/>
  <c r="K72" i="2" a="1"/>
  <c r="K72" i="2" s="1"/>
  <c r="K71" i="2" a="1"/>
  <c r="K71" i="2" s="1"/>
  <c r="K70" i="2" a="1"/>
  <c r="K70" i="2" s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 a="1"/>
  <c r="K64" i="2" s="1"/>
  <c r="K63" i="2" a="1"/>
  <c r="K63" i="2" s="1"/>
  <c r="K61" i="2" a="1"/>
  <c r="K61" i="2" s="1"/>
  <c r="K60" i="2" a="1"/>
  <c r="K60" i="2" s="1"/>
  <c r="K59" i="2" a="1"/>
  <c r="K59" i="2" s="1"/>
  <c r="K58" i="2" a="1"/>
  <c r="K58" i="2" s="1"/>
  <c r="K57" i="2" a="1"/>
  <c r="K57" i="2" s="1"/>
  <c r="K56" i="2" a="1"/>
  <c r="K56" i="2" s="1"/>
  <c r="K55" i="2" a="1"/>
  <c r="K55" i="2" s="1"/>
  <c r="K54" i="2" a="1"/>
  <c r="K54" i="2" s="1"/>
  <c r="K52" i="2" a="1"/>
  <c r="K52" i="2" s="1"/>
  <c r="K51" i="2" a="1"/>
  <c r="K51" i="2" s="1"/>
  <c r="K50" i="2" a="1"/>
  <c r="K50" i="2" s="1"/>
  <c r="K49" i="2" a="1"/>
  <c r="K49" i="2" s="1"/>
  <c r="K47" i="2" a="1"/>
  <c r="K47" i="2" s="1"/>
  <c r="K46" i="2" a="1"/>
  <c r="K46" i="2" s="1"/>
  <c r="K45" i="2" a="1"/>
  <c r="K45" i="2" s="1"/>
  <c r="K44" i="2" a="1"/>
  <c r="K44" i="2" s="1"/>
  <c r="K43" i="2" a="1"/>
  <c r="K43" i="2" s="1"/>
  <c r="K42" i="2" a="1"/>
  <c r="K42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K506" i="2" a="1"/>
  <c r="K506" i="2" s="1"/>
  <c r="H3208" i="1"/>
  <c r="M3208" i="1" s="1"/>
  <c r="H3209" i="1"/>
  <c r="M3209" i="1" s="1"/>
  <c r="K665" i="2" a="1"/>
  <c r="K665" i="2" s="1"/>
  <c r="H3210" i="1"/>
  <c r="M3210" i="1" s="1"/>
  <c r="H3211" i="1"/>
  <c r="M3211" i="1" s="1"/>
  <c r="K502" i="2" a="1"/>
  <c r="K502" i="2" s="1"/>
  <c r="H3206" i="1"/>
  <c r="M3206" i="1" s="1"/>
  <c r="H3207" i="1"/>
  <c r="M3207" i="1" s="1"/>
  <c r="K467" i="2" a="1"/>
  <c r="K467" i="2" s="1"/>
  <c r="H3202" i="1"/>
  <c r="M3202" i="1" s="1"/>
  <c r="H3203" i="1"/>
  <c r="M3203" i="1" s="1"/>
  <c r="K466" i="2" a="1"/>
  <c r="K466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N3173" i="1"/>
  <c r="L3156" i="1"/>
  <c r="L3187" i="1"/>
  <c r="L3171" i="1"/>
  <c r="N3168" i="1"/>
  <c r="L3185" i="1"/>
  <c r="L3169" i="1"/>
  <c r="L3152" i="1"/>
  <c r="N3188" i="1"/>
  <c r="L3183" i="1"/>
  <c r="L3167" i="1"/>
  <c r="L3182" i="1"/>
  <c r="N3182" i="1" s="1"/>
  <c r="N3181" i="1"/>
  <c r="N3190" i="1"/>
  <c r="N3186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N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N3157" i="1" s="1"/>
  <c r="H3172" i="1"/>
  <c r="M3172" i="1" s="1"/>
  <c r="N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N3170" i="1" s="1"/>
  <c r="H3154" i="1"/>
  <c r="M3154" i="1" s="1"/>
  <c r="N3154" i="1" s="1"/>
  <c r="H3185" i="1"/>
  <c r="M3185" i="1" s="1"/>
  <c r="H3169" i="1"/>
  <c r="M3169" i="1" s="1"/>
  <c r="H3153" i="1"/>
  <c r="M3153" i="1" s="1"/>
  <c r="N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K512" i="2" a="1"/>
  <c r="K512" i="2" s="1"/>
  <c r="K411" i="2" a="1"/>
  <c r="K411" i="2" s="1"/>
  <c r="K138" i="2" a="1"/>
  <c r="K138" i="2" s="1"/>
  <c r="H2918" i="1"/>
  <c r="M2918" i="1" s="1"/>
  <c r="K1030" i="2" a="1"/>
  <c r="K1030" i="2" s="1"/>
  <c r="K596" i="2" a="1"/>
  <c r="K596" i="2" s="1"/>
  <c r="K331" i="2" a="1"/>
  <c r="K331" i="2" s="1"/>
  <c r="K732" i="2" a="1"/>
  <c r="K732" i="2" s="1"/>
  <c r="K595" i="2" a="1"/>
  <c r="K595" i="2" s="1"/>
  <c r="K970" i="2" a="1"/>
  <c r="K970" i="2" s="1"/>
  <c r="K731" i="2" a="1"/>
  <c r="K731" i="2" s="1"/>
  <c r="K969" i="2" a="1"/>
  <c r="K969" i="2" s="1"/>
  <c r="K711" i="2" a="1"/>
  <c r="K711" i="2" s="1"/>
  <c r="K372" i="2" a="1"/>
  <c r="K372" i="2" s="1"/>
  <c r="K950" i="2" a="1"/>
  <c r="K950" i="2" s="1"/>
  <c r="K696" i="2" a="1"/>
  <c r="K696" i="2" s="1"/>
  <c r="H2830" i="1"/>
  <c r="M2830" i="1" s="1"/>
  <c r="N2830" i="1" s="1"/>
  <c r="K695" i="2" a="1"/>
  <c r="K695" i="2" s="1"/>
  <c r="K572" i="2" a="1"/>
  <c r="K572" i="2" s="1"/>
  <c r="K136" i="2" a="1"/>
  <c r="K136" i="2" s="1"/>
  <c r="H2711" i="1"/>
  <c r="K692" i="2" a="1"/>
  <c r="K692" i="2" s="1"/>
  <c r="K895" i="2" a="1"/>
  <c r="K895" i="2" s="1"/>
  <c r="K672" i="2" a="1"/>
  <c r="K672" i="2" s="1"/>
  <c r="K452" i="2" a="1"/>
  <c r="K452" i="2" s="1"/>
  <c r="K891" i="2" a="1"/>
  <c r="K891" i="2" s="1"/>
  <c r="K671" i="2" a="1"/>
  <c r="K671" i="2" s="1"/>
  <c r="K451" i="2" a="1"/>
  <c r="K451" i="2" s="1"/>
  <c r="K296" i="2" a="1"/>
  <c r="K296" i="2" s="1"/>
  <c r="H2309" i="1"/>
  <c r="K872" i="2" a="1"/>
  <c r="K872" i="2" s="1"/>
  <c r="K535" i="2" a="1"/>
  <c r="K535" i="2" s="1"/>
  <c r="K231" i="2" a="1"/>
  <c r="K231" i="2" s="1"/>
  <c r="K836" i="2" a="1"/>
  <c r="K836" i="2" s="1"/>
  <c r="K416" i="2" a="1"/>
  <c r="K416" i="2" s="1"/>
  <c r="K356" i="2" a="1"/>
  <c r="K356" i="2" s="1"/>
  <c r="K835" i="2" a="1"/>
  <c r="K835" i="2" s="1"/>
  <c r="K515" i="2" a="1"/>
  <c r="K515" i="2" s="1"/>
  <c r="K815" i="2" a="1"/>
  <c r="K815" i="2" s="1"/>
  <c r="K795" i="2" a="1"/>
  <c r="K795" i="2" s="1"/>
  <c r="K511" i="2" a="1"/>
  <c r="K511" i="2" s="1"/>
  <c r="K351" i="2" a="1"/>
  <c r="K351" i="2" s="1"/>
  <c r="K791" i="2" a="1"/>
  <c r="K791" i="2" s="1"/>
  <c r="K496" i="2" a="1"/>
  <c r="K496" i="2" s="1"/>
  <c r="K277" i="2" a="1"/>
  <c r="K277" i="2" s="1"/>
  <c r="K101" i="2" a="1"/>
  <c r="K101" i="2" s="1"/>
  <c r="K790" i="2" a="1"/>
  <c r="K790" i="2" s="1"/>
  <c r="K631" i="2" a="1"/>
  <c r="K631" i="2" s="1"/>
  <c r="K1150" i="2" a="1"/>
  <c r="K1150" i="2" s="1"/>
  <c r="K616" i="2" a="1"/>
  <c r="K616" i="2" s="1"/>
  <c r="K492" i="2" a="1"/>
  <c r="K492" i="2" s="1"/>
  <c r="K392" i="2" a="1"/>
  <c r="K392" i="2" s="1"/>
  <c r="K348" i="2" a="1"/>
  <c r="K348" i="2" s="1"/>
  <c r="H2689" i="1"/>
  <c r="K1114" i="2" a="1"/>
  <c r="K1114" i="2" s="1"/>
  <c r="K756" i="2" a="1"/>
  <c r="K756" i="2" s="1"/>
  <c r="K615" i="2" a="1"/>
  <c r="K615" i="2" s="1"/>
  <c r="K1090" i="2" a="1"/>
  <c r="K1090" i="2" s="1"/>
  <c r="K755" i="2" a="1"/>
  <c r="K755" i="2" s="1"/>
  <c r="K612" i="2" a="1"/>
  <c r="K612" i="2" s="1"/>
  <c r="K488" i="2" a="1"/>
  <c r="K488" i="2" s="1"/>
  <c r="K752" i="2" a="1"/>
  <c r="K752" i="2" s="1"/>
  <c r="K611" i="2" a="1"/>
  <c r="K611" i="2" s="1"/>
  <c r="K388" i="2" a="1"/>
  <c r="K388" i="2" s="1"/>
  <c r="K332" i="2" a="1"/>
  <c r="K332" i="2" s="1"/>
  <c r="K48" i="2" a="1"/>
  <c r="K48" i="2" s="1"/>
  <c r="H2223" i="1"/>
  <c r="K1263" i="2" a="1"/>
  <c r="K1263" i="2" s="1"/>
  <c r="K1223" i="2" a="1"/>
  <c r="K1223" i="2" s="1"/>
  <c r="K1203" i="2" a="1"/>
  <c r="K1203" i="2" s="1"/>
  <c r="K1183" i="2" a="1"/>
  <c r="K1183" i="2" s="1"/>
  <c r="H2822" i="1"/>
  <c r="M2822" i="1" s="1"/>
  <c r="K1143" i="2" a="1"/>
  <c r="K1143" i="2" s="1"/>
  <c r="H2393" i="1"/>
  <c r="K1123" i="2" a="1"/>
  <c r="K1123" i="2" s="1"/>
  <c r="H2970" i="1"/>
  <c r="M2970" i="1" s="1"/>
  <c r="N2970" i="1" s="1"/>
  <c r="K1282" i="2" a="1"/>
  <c r="K1282" i="2" s="1"/>
  <c r="K1262" i="2" a="1"/>
  <c r="K1262" i="2" s="1"/>
  <c r="H2739" i="1"/>
  <c r="K1242" i="2" a="1"/>
  <c r="K1242" i="2" s="1"/>
  <c r="K1202" i="2" a="1"/>
  <c r="K1202" i="2" s="1"/>
  <c r="K1182" i="2" a="1"/>
  <c r="K1182" i="2" s="1"/>
  <c r="K1142" i="2" a="1"/>
  <c r="K1142" i="2" s="1"/>
  <c r="K1122" i="2" a="1"/>
  <c r="K1122" i="2" s="1"/>
  <c r="H3148" i="1"/>
  <c r="M3148" i="1" s="1"/>
  <c r="N3148" i="1" s="1"/>
  <c r="K1102" i="2" a="1"/>
  <c r="K1102" i="2" s="1"/>
  <c r="H1973" i="1"/>
  <c r="K1082" i="2" a="1"/>
  <c r="K1082" i="2" s="1"/>
  <c r="H2850" i="1"/>
  <c r="M2850" i="1" s="1"/>
  <c r="N2850" i="1" s="1"/>
  <c r="K1022" i="2" a="1"/>
  <c r="K1022" i="2" s="1"/>
  <c r="H2906" i="1"/>
  <c r="M2906" i="1" s="1"/>
  <c r="N2906" i="1" s="1"/>
  <c r="K982" i="2" a="1"/>
  <c r="K982" i="2" s="1"/>
  <c r="H3062" i="1"/>
  <c r="M3062" i="1" s="1"/>
  <c r="K922" i="2" a="1"/>
  <c r="K922" i="2" s="1"/>
  <c r="H3022" i="1"/>
  <c r="M3022" i="1" s="1"/>
  <c r="K902" i="2" a="1"/>
  <c r="K902" i="2" s="1"/>
  <c r="H2305" i="1"/>
  <c r="K883" i="2" a="1"/>
  <c r="K883" i="2" s="1"/>
  <c r="H2331" i="1"/>
  <c r="K863" i="2" a="1"/>
  <c r="K863" i="2" s="1"/>
  <c r="H2294" i="1"/>
  <c r="K843" i="2" a="1"/>
  <c r="K843" i="2" s="1"/>
  <c r="K1281" i="2" a="1"/>
  <c r="K1281" i="2" s="1"/>
  <c r="K1162" i="2" a="1"/>
  <c r="K1162" i="2" s="1"/>
  <c r="K1057" i="2" a="1"/>
  <c r="K1057" i="2" s="1"/>
  <c r="K1221" i="2" a="1"/>
  <c r="K1221" i="2" s="1"/>
  <c r="K1201" i="2" a="1"/>
  <c r="K1201" i="2" s="1"/>
  <c r="H2122" i="1"/>
  <c r="K1161" i="2" a="1"/>
  <c r="K1161" i="2" s="1"/>
  <c r="K1141" i="2" a="1"/>
  <c r="K1141" i="2" s="1"/>
  <c r="K1121" i="2" a="1"/>
  <c r="K1121" i="2" s="1"/>
  <c r="K1101" i="2" a="1"/>
  <c r="K1101" i="2" s="1"/>
  <c r="K1081" i="2" a="1"/>
  <c r="K1081" i="2" s="1"/>
  <c r="H2848" i="1"/>
  <c r="M2848" i="1" s="1"/>
  <c r="K1021" i="2" a="1"/>
  <c r="K1021" i="2" s="1"/>
  <c r="H2942" i="1"/>
  <c r="M2942" i="1" s="1"/>
  <c r="K1001" i="2" a="1"/>
  <c r="K1001" i="2" s="1"/>
  <c r="H2665" i="1"/>
  <c r="K941" i="2" a="1"/>
  <c r="K941" i="2" s="1"/>
  <c r="H3060" i="1"/>
  <c r="M3060" i="1" s="1"/>
  <c r="N3060" i="1" s="1"/>
  <c r="K921" i="2" a="1"/>
  <c r="K921" i="2" s="1"/>
  <c r="K862" i="2" a="1"/>
  <c r="K862" i="2" s="1"/>
  <c r="K842" i="2" a="1"/>
  <c r="K842" i="2" s="1"/>
  <c r="K802" i="2" a="1"/>
  <c r="K802" i="2" s="1"/>
  <c r="K762" i="2" a="1"/>
  <c r="K762" i="2" s="1"/>
  <c r="K742" i="2" a="1"/>
  <c r="K742" i="2" s="1"/>
  <c r="K702" i="2" a="1"/>
  <c r="K702" i="2" s="1"/>
  <c r="K682" i="2" a="1"/>
  <c r="K682" i="2" s="1"/>
  <c r="H2599" i="1"/>
  <c r="K642" i="2" a="1"/>
  <c r="K642" i="2" s="1"/>
  <c r="K602" i="2" a="1"/>
  <c r="K602" i="2" s="1"/>
  <c r="K562" i="2" a="1"/>
  <c r="K562" i="2" s="1"/>
  <c r="K542" i="2" a="1"/>
  <c r="K542" i="2" s="1"/>
  <c r="K522" i="2" a="1"/>
  <c r="K522" i="2" s="1"/>
  <c r="K422" i="2" a="1"/>
  <c r="K422" i="2" s="1"/>
  <c r="K402" i="2" a="1"/>
  <c r="K402" i="2" s="1"/>
  <c r="K1276" i="2" a="1"/>
  <c r="K1276" i="2" s="1"/>
  <c r="K960" i="2" a="1"/>
  <c r="K960" i="2" s="1"/>
  <c r="K888" i="2" a="1"/>
  <c r="K888" i="2" s="1"/>
  <c r="K513" i="2" a="1"/>
  <c r="K513" i="2" s="1"/>
  <c r="K1280" i="2" a="1"/>
  <c r="K1280" i="2" s="1"/>
  <c r="K1260" i="2" a="1"/>
  <c r="K1260" i="2" s="1"/>
  <c r="H2737" i="1"/>
  <c r="K1240" i="2" a="1"/>
  <c r="K1240" i="2" s="1"/>
  <c r="K1220" i="2" a="1"/>
  <c r="K1220" i="2" s="1"/>
  <c r="K1200" i="2" a="1"/>
  <c r="K1200" i="2" s="1"/>
  <c r="H2120" i="1"/>
  <c r="K1160" i="2" a="1"/>
  <c r="K1160" i="2" s="1"/>
  <c r="K1140" i="2" a="1"/>
  <c r="K1140" i="2" s="1"/>
  <c r="K1120" i="2" a="1"/>
  <c r="K1120" i="2" s="1"/>
  <c r="H2469" i="1"/>
  <c r="K1100" i="2" a="1"/>
  <c r="K1100" i="2" s="1"/>
  <c r="H2962" i="1"/>
  <c r="M2962" i="1" s="1"/>
  <c r="K1060" i="2" a="1"/>
  <c r="K1060" i="2" s="1"/>
  <c r="H2846" i="1"/>
  <c r="M2846" i="1" s="1"/>
  <c r="N2846" i="1" s="1"/>
  <c r="K1020" i="2" a="1"/>
  <c r="K1020" i="2" s="1"/>
  <c r="H1935" i="1"/>
  <c r="K1000" i="2" a="1"/>
  <c r="K1000" i="2" s="1"/>
  <c r="H2455" i="1"/>
  <c r="K980" i="2" a="1"/>
  <c r="K980" i="2" s="1"/>
  <c r="K940" i="2" a="1"/>
  <c r="K940" i="2" s="1"/>
  <c r="H3058" i="1"/>
  <c r="M3058" i="1" s="1"/>
  <c r="K920" i="2" a="1"/>
  <c r="K920" i="2" s="1"/>
  <c r="H3018" i="1"/>
  <c r="M3018" i="1" s="1"/>
  <c r="K900" i="2" a="1"/>
  <c r="K900" i="2" s="1"/>
  <c r="K881" i="2" a="1"/>
  <c r="K881" i="2" s="1"/>
  <c r="K861" i="2" a="1"/>
  <c r="K861" i="2" s="1"/>
  <c r="H2803" i="1"/>
  <c r="M2803" i="1" s="1"/>
  <c r="N2803" i="1" s="1"/>
  <c r="K841" i="2" a="1"/>
  <c r="K841" i="2" s="1"/>
  <c r="K821" i="2" a="1"/>
  <c r="K821" i="2" s="1"/>
  <c r="K801" i="2" a="1"/>
  <c r="K801" i="2" s="1"/>
  <c r="K781" i="2" a="1"/>
  <c r="K781" i="2" s="1"/>
  <c r="K741" i="2" a="1"/>
  <c r="K741" i="2" s="1"/>
  <c r="K721" i="2" a="1"/>
  <c r="K721" i="2" s="1"/>
  <c r="H2597" i="1"/>
  <c r="K641" i="2" a="1"/>
  <c r="K641" i="2" s="1"/>
  <c r="K621" i="2" a="1"/>
  <c r="K621" i="2" s="1"/>
  <c r="K601" i="2" a="1"/>
  <c r="K601" i="2" s="1"/>
  <c r="K561" i="2" a="1"/>
  <c r="K561" i="2" s="1"/>
  <c r="K481" i="2" a="1"/>
  <c r="K481" i="2" s="1"/>
  <c r="K461" i="2" a="1"/>
  <c r="K461" i="2" s="1"/>
  <c r="K401" i="2" a="1"/>
  <c r="K401" i="2" s="1"/>
  <c r="K381" i="2" a="1"/>
  <c r="K381" i="2" s="1"/>
  <c r="K341" i="2" a="1"/>
  <c r="K341" i="2" s="1"/>
  <c r="K1149" i="2" a="1"/>
  <c r="K1149" i="2" s="1"/>
  <c r="K1046" i="2" a="1"/>
  <c r="K1046" i="2" s="1"/>
  <c r="K800" i="2" a="1"/>
  <c r="K800" i="2" s="1"/>
  <c r="K728" i="2" a="1"/>
  <c r="K728" i="2" s="1"/>
  <c r="K345" i="2" a="1"/>
  <c r="K345" i="2" s="1"/>
  <c r="K1285" i="2" a="1"/>
  <c r="K1285" i="2" s="1"/>
  <c r="H2759" i="1"/>
  <c r="K1259" i="2" a="1"/>
  <c r="K1259" i="2" s="1"/>
  <c r="K780" i="2" a="1"/>
  <c r="K780" i="2" s="1"/>
  <c r="K740" i="2" a="1"/>
  <c r="K740" i="2" s="1"/>
  <c r="K720" i="2" a="1"/>
  <c r="K720" i="2" s="1"/>
  <c r="K680" i="2" a="1"/>
  <c r="K680" i="2" s="1"/>
  <c r="K640" i="2" a="1"/>
  <c r="K640" i="2" s="1"/>
  <c r="K580" i="2" a="1"/>
  <c r="K580" i="2" s="1"/>
  <c r="K540" i="2" a="1"/>
  <c r="K540" i="2" s="1"/>
  <c r="K500" i="2" a="1"/>
  <c r="K500" i="2" s="1"/>
  <c r="K480" i="2" a="1"/>
  <c r="K480" i="2" s="1"/>
  <c r="K400" i="2" a="1"/>
  <c r="K400" i="2" s="1"/>
  <c r="K200" i="2" a="1"/>
  <c r="K200" i="2" s="1"/>
  <c r="H2547" i="1"/>
  <c r="K180" i="2" a="1"/>
  <c r="K180" i="2" s="1"/>
  <c r="K160" i="2" a="1"/>
  <c r="K160" i="2" s="1"/>
  <c r="K1261" i="2" a="1"/>
  <c r="K1261" i="2" s="1"/>
  <c r="K1145" i="2" a="1"/>
  <c r="K1145" i="2" s="1"/>
  <c r="K1042" i="2" a="1"/>
  <c r="K1042" i="2" s="1"/>
  <c r="K955" i="2" a="1"/>
  <c r="K955" i="2" s="1"/>
  <c r="K878" i="2" a="1"/>
  <c r="K878" i="2" s="1"/>
  <c r="K582" i="2" a="1"/>
  <c r="K582" i="2" s="1"/>
  <c r="K380" i="2" a="1"/>
  <c r="K380" i="2" s="1"/>
  <c r="K225" i="2" a="1"/>
  <c r="K225" i="2" s="1"/>
  <c r="K119" i="2" a="1"/>
  <c r="K119" i="2" s="1"/>
  <c r="H2938" i="1"/>
  <c r="M2938" i="1" s="1"/>
  <c r="N2938" i="1" s="1"/>
  <c r="K999" i="2" a="1"/>
  <c r="K999" i="2" s="1"/>
  <c r="K1118" i="2" a="1"/>
  <c r="K1118" i="2" s="1"/>
  <c r="H2324" i="1"/>
  <c r="K819" i="2" a="1"/>
  <c r="K819" i="2" s="1"/>
  <c r="K719" i="2" a="1"/>
  <c r="K719" i="2" s="1"/>
  <c r="K599" i="2" a="1"/>
  <c r="K599" i="2" s="1"/>
  <c r="K539" i="2" a="1"/>
  <c r="K539" i="2" s="1"/>
  <c r="K519" i="2" a="1"/>
  <c r="K519" i="2" s="1"/>
  <c r="K499" i="2" a="1"/>
  <c r="K499" i="2" s="1"/>
  <c r="K479" i="2" a="1"/>
  <c r="K479" i="2" s="1"/>
  <c r="K419" i="2" a="1"/>
  <c r="K419" i="2" s="1"/>
  <c r="K359" i="2" a="1"/>
  <c r="K359" i="2" s="1"/>
  <c r="K319" i="2" a="1"/>
  <c r="K319" i="2" s="1"/>
  <c r="K299" i="2" a="1"/>
  <c r="K299" i="2" s="1"/>
  <c r="K219" i="2" a="1"/>
  <c r="K219" i="2" s="1"/>
  <c r="K159" i="2" a="1"/>
  <c r="K159" i="2" s="1"/>
  <c r="K79" i="2" a="1"/>
  <c r="K79" i="2" s="1"/>
  <c r="K1256" i="2" a="1"/>
  <c r="K1256" i="2" s="1"/>
  <c r="K1144" i="2" a="1"/>
  <c r="K1144" i="2" s="1"/>
  <c r="K873" i="2" a="1"/>
  <c r="K873" i="2" s="1"/>
  <c r="K724" i="2" a="1"/>
  <c r="K724" i="2" s="1"/>
  <c r="K648" i="2" a="1"/>
  <c r="K648" i="2" s="1"/>
  <c r="K579" i="2" a="1"/>
  <c r="K579" i="2" s="1"/>
  <c r="K508" i="2" a="1"/>
  <c r="K508" i="2" s="1"/>
  <c r="H2395" i="1"/>
  <c r="K1124" i="2" a="1"/>
  <c r="K1124" i="2" s="1"/>
  <c r="K1159" i="2" a="1"/>
  <c r="K1159" i="2" s="1"/>
  <c r="H3143" i="1"/>
  <c r="M3143" i="1" s="1"/>
  <c r="N3143" i="1" s="1"/>
  <c r="K939" i="2" a="1"/>
  <c r="K939" i="2" s="1"/>
  <c r="H2948" i="1"/>
  <c r="M2948" i="1" s="1"/>
  <c r="N2948" i="1" s="1"/>
  <c r="H2415" i="1"/>
  <c r="K1138" i="2" a="1"/>
  <c r="K1138" i="2" s="1"/>
  <c r="K938" i="2" a="1"/>
  <c r="K938" i="2" s="1"/>
  <c r="H2356" i="1"/>
  <c r="K859" i="2" a="1"/>
  <c r="K859" i="2" s="1"/>
  <c r="K739" i="2" a="1"/>
  <c r="K739" i="2" s="1"/>
  <c r="K1277" i="2" a="1"/>
  <c r="K1277" i="2" s="1"/>
  <c r="K1197" i="2" a="1"/>
  <c r="K1197" i="2" s="1"/>
  <c r="K1117" i="2" a="1"/>
  <c r="K1117" i="2" s="1"/>
  <c r="H2880" i="1"/>
  <c r="M2880" i="1" s="1"/>
  <c r="N2880" i="1" s="1"/>
  <c r="K1037" i="2" a="1"/>
  <c r="K1037" i="2" s="1"/>
  <c r="H2980" i="1"/>
  <c r="M2980" i="1" s="1"/>
  <c r="N2980" i="1" s="1"/>
  <c r="K957" i="2" a="1"/>
  <c r="K957" i="2" s="1"/>
  <c r="K897" i="2" a="1"/>
  <c r="K897" i="2" s="1"/>
  <c r="K818" i="2" a="1"/>
  <c r="K818" i="2" s="1"/>
  <c r="K718" i="2" a="1"/>
  <c r="K718" i="2" s="1"/>
  <c r="K698" i="2" a="1"/>
  <c r="K698" i="2" s="1"/>
  <c r="K658" i="2" a="1"/>
  <c r="K658" i="2" s="1"/>
  <c r="K638" i="2" a="1"/>
  <c r="K638" i="2" s="1"/>
  <c r="K618" i="2" a="1"/>
  <c r="K618" i="2" s="1"/>
  <c r="K598" i="2" a="1"/>
  <c r="K598" i="2" s="1"/>
  <c r="K558" i="2" a="1"/>
  <c r="K558" i="2" s="1"/>
  <c r="K538" i="2" a="1"/>
  <c r="K538" i="2" s="1"/>
  <c r="K458" i="2" a="1"/>
  <c r="K458" i="2" s="1"/>
  <c r="K418" i="2" a="1"/>
  <c r="K418" i="2" s="1"/>
  <c r="K318" i="2" a="1"/>
  <c r="K318" i="2" s="1"/>
  <c r="K298" i="2" a="1"/>
  <c r="K298" i="2" s="1"/>
  <c r="K1255" i="2" a="1"/>
  <c r="K1255" i="2" s="1"/>
  <c r="K1131" i="2" a="1"/>
  <c r="K1131" i="2" s="1"/>
  <c r="K1105" i="2" a="1"/>
  <c r="K1105" i="2" s="1"/>
  <c r="K1184" i="2" a="1"/>
  <c r="K1184" i="2" s="1"/>
  <c r="H2262" i="1"/>
  <c r="K1219" i="2" a="1"/>
  <c r="K1219" i="2" s="1"/>
  <c r="H1797" i="1"/>
  <c r="K1039" i="2" a="1"/>
  <c r="K1039" i="2" s="1"/>
  <c r="H3114" i="1"/>
  <c r="M3114" i="1" s="1"/>
  <c r="H2465" i="1"/>
  <c r="K1098" i="2" a="1"/>
  <c r="K1098" i="2" s="1"/>
  <c r="H2210" i="1"/>
  <c r="K1257" i="2" a="1"/>
  <c r="K1257" i="2" s="1"/>
  <c r="K1177" i="2" a="1"/>
  <c r="K1177" i="2" s="1"/>
  <c r="H2463" i="1"/>
  <c r="K1097" i="2" a="1"/>
  <c r="K1097" i="2" s="1"/>
  <c r="H2840" i="1"/>
  <c r="M2840" i="1" s="1"/>
  <c r="N2840" i="1" s="1"/>
  <c r="K1017" i="2" a="1"/>
  <c r="K1017" i="2" s="1"/>
  <c r="H3141" i="1"/>
  <c r="M3141" i="1" s="1"/>
  <c r="N3141" i="1" s="1"/>
  <c r="K937" i="2" a="1"/>
  <c r="K937" i="2" s="1"/>
  <c r="H2353" i="1"/>
  <c r="K858" i="2" a="1"/>
  <c r="K858" i="2" s="1"/>
  <c r="K1216" i="2" a="1"/>
  <c r="K1216" i="2" s="1"/>
  <c r="H2095" i="1"/>
  <c r="K1156" i="2" a="1"/>
  <c r="K1156" i="2" s="1"/>
  <c r="H2975" i="1"/>
  <c r="M2975" i="1" s="1"/>
  <c r="N2975" i="1" s="1"/>
  <c r="K1096" i="2" a="1"/>
  <c r="K1096" i="2" s="1"/>
  <c r="H1791" i="1"/>
  <c r="K1036" i="2" a="1"/>
  <c r="K1036" i="2" s="1"/>
  <c r="H3050" i="1"/>
  <c r="M3050" i="1" s="1"/>
  <c r="N3050" i="1" s="1"/>
  <c r="K916" i="2" a="1"/>
  <c r="K916" i="2" s="1"/>
  <c r="H2351" i="1"/>
  <c r="K857" i="2" a="1"/>
  <c r="K857" i="2" s="1"/>
  <c r="K797" i="2" a="1"/>
  <c r="K797" i="2" s="1"/>
  <c r="K697" i="2" a="1"/>
  <c r="K697" i="2" s="1"/>
  <c r="K637" i="2" a="1"/>
  <c r="K637" i="2" s="1"/>
  <c r="K557" i="2" a="1"/>
  <c r="K557" i="2" s="1"/>
  <c r="K537" i="2" a="1"/>
  <c r="K537" i="2" s="1"/>
  <c r="H2591" i="1"/>
  <c r="K477" i="2" a="1"/>
  <c r="K477" i="2" s="1"/>
  <c r="K1241" i="2" a="1"/>
  <c r="K1241" i="2" s="1"/>
  <c r="K1127" i="2" a="1"/>
  <c r="K1127" i="2" s="1"/>
  <c r="K1027" i="2" a="1"/>
  <c r="K1027" i="2" s="1"/>
  <c r="K943" i="2" a="1"/>
  <c r="K943" i="2" s="1"/>
  <c r="K434" i="2" a="1"/>
  <c r="K434" i="2" s="1"/>
  <c r="K1045" i="2" a="1"/>
  <c r="K1045" i="2" s="1"/>
  <c r="H2836" i="1"/>
  <c r="M2836" i="1" s="1"/>
  <c r="N2836" i="1" s="1"/>
  <c r="K1104" i="2" a="1"/>
  <c r="K1104" i="2" s="1"/>
  <c r="K1139" i="2" a="1"/>
  <c r="K1139" i="2" s="1"/>
  <c r="H3056" i="1"/>
  <c r="M3056" i="1" s="1"/>
  <c r="N3056" i="1" s="1"/>
  <c r="K919" i="2" a="1"/>
  <c r="K919" i="2" s="1"/>
  <c r="H2936" i="1"/>
  <c r="M2936" i="1" s="1"/>
  <c r="N2936" i="1" s="1"/>
  <c r="K998" i="2" a="1"/>
  <c r="K998" i="2" s="1"/>
  <c r="K759" i="2" a="1"/>
  <c r="K759" i="2" s="1"/>
  <c r="K1137" i="2" a="1"/>
  <c r="K1137" i="2" s="1"/>
  <c r="K977" i="2" a="1"/>
  <c r="K977" i="2" s="1"/>
  <c r="K1196" i="2" a="1"/>
  <c r="K1196" i="2" s="1"/>
  <c r="H1663" i="1"/>
  <c r="K1136" i="2" a="1"/>
  <c r="K1136" i="2" s="1"/>
  <c r="H3097" i="1"/>
  <c r="M3097" i="1" s="1"/>
  <c r="N3097" i="1" s="1"/>
  <c r="K1076" i="2" a="1"/>
  <c r="K1076" i="2" s="1"/>
  <c r="H1994" i="1"/>
  <c r="K936" i="2" a="1"/>
  <c r="K936" i="2" s="1"/>
  <c r="K877" i="2" a="1"/>
  <c r="K877" i="2" s="1"/>
  <c r="K817" i="2" a="1"/>
  <c r="K817" i="2" s="1"/>
  <c r="H2910" i="1"/>
  <c r="M2910" i="1" s="1"/>
  <c r="N2910" i="1" s="1"/>
  <c r="K1215" i="2" a="1"/>
  <c r="K1215" i="2" s="1"/>
  <c r="K1175" i="2" a="1"/>
  <c r="K1175" i="2" s="1"/>
  <c r="K1135" i="2" a="1"/>
  <c r="K1135" i="2" s="1"/>
  <c r="H3095" i="1"/>
  <c r="M3095" i="1" s="1"/>
  <c r="N3095" i="1" s="1"/>
  <c r="K1075" i="2" a="1"/>
  <c r="K1075" i="2" s="1"/>
  <c r="H2389" i="1"/>
  <c r="K1055" i="2" a="1"/>
  <c r="K1055" i="2" s="1"/>
  <c r="H2876" i="1"/>
  <c r="M2876" i="1" s="1"/>
  <c r="N2876" i="1" s="1"/>
  <c r="K1035" i="2" a="1"/>
  <c r="K1035" i="2" s="1"/>
  <c r="K995" i="2" a="1"/>
  <c r="K995" i="2" s="1"/>
  <c r="H3137" i="1"/>
  <c r="M3137" i="1" s="1"/>
  <c r="N3137" i="1" s="1"/>
  <c r="K935" i="2" a="1"/>
  <c r="K935" i="2" s="1"/>
  <c r="K1236" i="2" a="1"/>
  <c r="K1236" i="2" s="1"/>
  <c r="K1026" i="2" a="1"/>
  <c r="K1026" i="2" s="1"/>
  <c r="K942" i="2" a="1"/>
  <c r="K942" i="2" s="1"/>
  <c r="K708" i="2" a="1"/>
  <c r="K708" i="2" s="1"/>
  <c r="K421" i="2" a="1"/>
  <c r="K421" i="2" s="1"/>
  <c r="K1225" i="2" a="1"/>
  <c r="K1225" i="2" s="1"/>
  <c r="K1164" i="2" a="1"/>
  <c r="K1164" i="2" s="1"/>
  <c r="H2473" i="1"/>
  <c r="K959" i="2" a="1"/>
  <c r="K959" i="2" s="1"/>
  <c r="H2213" i="1"/>
  <c r="K1258" i="2" a="1"/>
  <c r="K1258" i="2" s="1"/>
  <c r="K1058" i="2" a="1"/>
  <c r="K1058" i="2" s="1"/>
  <c r="K779" i="2" a="1"/>
  <c r="K779" i="2" s="1"/>
  <c r="K1237" i="2" a="1"/>
  <c r="K1237" i="2" s="1"/>
  <c r="K1157" i="2" a="1"/>
  <c r="K1157" i="2" s="1"/>
  <c r="H3052" i="1"/>
  <c r="M3052" i="1" s="1"/>
  <c r="K917" i="2" a="1"/>
  <c r="K917" i="2" s="1"/>
  <c r="K838" i="2" a="1"/>
  <c r="K838" i="2" s="1"/>
  <c r="K758" i="2" a="1"/>
  <c r="K758" i="2" s="1"/>
  <c r="H2066" i="1"/>
  <c r="K1176" i="2" a="1"/>
  <c r="K1176" i="2" s="1"/>
  <c r="K1116" i="2" a="1"/>
  <c r="K1116" i="2" s="1"/>
  <c r="H2391" i="1"/>
  <c r="K1056" i="2" a="1"/>
  <c r="K1056" i="2" s="1"/>
  <c r="H2510" i="1"/>
  <c r="K956" i="2" a="1"/>
  <c r="K956" i="2" s="1"/>
  <c r="K896" i="2" a="1"/>
  <c r="K896" i="2" s="1"/>
  <c r="K837" i="2" a="1"/>
  <c r="K837" i="2" s="1"/>
  <c r="K1195" i="2" a="1"/>
  <c r="K1195" i="2" s="1"/>
  <c r="K1155" i="2" a="1"/>
  <c r="K1155" i="2" s="1"/>
  <c r="H2452" i="1"/>
  <c r="K1115" i="2" a="1"/>
  <c r="K1115" i="2" s="1"/>
  <c r="H2856" i="1"/>
  <c r="M2856" i="1" s="1"/>
  <c r="N2856" i="1" s="1"/>
  <c r="H2642" i="1"/>
  <c r="K1235" i="2" a="1"/>
  <c r="K1235" i="2" s="1"/>
  <c r="K1015" i="2" a="1"/>
  <c r="K1015" i="2" s="1"/>
  <c r="K860" i="2" a="1"/>
  <c r="K860" i="2" s="1"/>
  <c r="K707" i="2" a="1"/>
  <c r="K707" i="2" s="1"/>
  <c r="K494" i="2" a="1"/>
  <c r="K494" i="2" s="1"/>
  <c r="H3115" i="1"/>
  <c r="M3115" i="1" s="1"/>
  <c r="N3115" i="1" s="1"/>
  <c r="K1085" i="2" a="1"/>
  <c r="K1085" i="2" s="1"/>
  <c r="K1279" i="2" a="1"/>
  <c r="K1279" i="2" s="1"/>
  <c r="H3103" i="1"/>
  <c r="M3103" i="1" s="1"/>
  <c r="N3103" i="1" s="1"/>
  <c r="K1079" i="2" a="1"/>
  <c r="K1079" i="2" s="1"/>
  <c r="K899" i="2" a="1"/>
  <c r="K899" i="2" s="1"/>
  <c r="K1158" i="2" a="1"/>
  <c r="K1158" i="2" s="1"/>
  <c r="H2981" i="1"/>
  <c r="M2981" i="1" s="1"/>
  <c r="N2981" i="1" s="1"/>
  <c r="K958" i="2" a="1"/>
  <c r="K958" i="2" s="1"/>
  <c r="K1253" i="2" a="1"/>
  <c r="K1253" i="2" s="1"/>
  <c r="H2090" i="1"/>
  <c r="K1153" i="2" a="1"/>
  <c r="K1153" i="2" s="1"/>
  <c r="H2385" i="1"/>
  <c r="K1053" i="2" a="1"/>
  <c r="K1053" i="2" s="1"/>
  <c r="H2710" i="1"/>
  <c r="K953" i="2" a="1"/>
  <c r="K953" i="2" s="1"/>
  <c r="K734" i="2" a="1"/>
  <c r="K734" i="2" s="1"/>
  <c r="K714" i="2" a="1"/>
  <c r="K714" i="2" s="1"/>
  <c r="K694" i="2" a="1"/>
  <c r="K694" i="2" s="1"/>
  <c r="K654" i="2" a="1"/>
  <c r="K654" i="2" s="1"/>
  <c r="K634" i="2" a="1"/>
  <c r="K634" i="2" s="1"/>
  <c r="K614" i="2" a="1"/>
  <c r="K614" i="2" s="1"/>
  <c r="K594" i="2" a="1"/>
  <c r="K594" i="2" s="1"/>
  <c r="K574" i="2" a="1"/>
  <c r="K574" i="2" s="1"/>
  <c r="K554" i="2" a="1"/>
  <c r="K554" i="2" s="1"/>
  <c r="K534" i="2" a="1"/>
  <c r="K534" i="2" s="1"/>
  <c r="K514" i="2" a="1"/>
  <c r="K514" i="2" s="1"/>
  <c r="K454" i="2" a="1"/>
  <c r="K454" i="2" s="1"/>
  <c r="K414" i="2" a="1"/>
  <c r="K414" i="2" s="1"/>
  <c r="K314" i="2" a="1"/>
  <c r="K314" i="2" s="1"/>
  <c r="K274" i="2" a="1"/>
  <c r="K274" i="2" s="1"/>
  <c r="K254" i="2" a="1"/>
  <c r="K254" i="2" s="1"/>
  <c r="K234" i="2" a="1"/>
  <c r="K234" i="2" s="1"/>
  <c r="K214" i="2" a="1"/>
  <c r="K214" i="2" s="1"/>
  <c r="K1222" i="2" a="1"/>
  <c r="K1222" i="2" s="1"/>
  <c r="K1113" i="2" a="1"/>
  <c r="K1113" i="2" s="1"/>
  <c r="H2971" i="1"/>
  <c r="M2971" i="1" s="1"/>
  <c r="N2971" i="1" s="1"/>
  <c r="H2960" i="1"/>
  <c r="M2960" i="1" s="1"/>
  <c r="N2960" i="1" s="1"/>
  <c r="K1059" i="2" a="1"/>
  <c r="K1059" i="2" s="1"/>
  <c r="K1178" i="2" a="1"/>
  <c r="K1178" i="2" s="1"/>
  <c r="K978" i="2" a="1"/>
  <c r="K978" i="2" s="1"/>
  <c r="K1213" i="2" a="1"/>
  <c r="K1213" i="2" s="1"/>
  <c r="K1013" i="2" a="1"/>
  <c r="K1013" i="2" s="1"/>
  <c r="H2255" i="1"/>
  <c r="K1252" i="2" a="1"/>
  <c r="K1252" i="2" s="1"/>
  <c r="K1172" i="2" a="1"/>
  <c r="K1172" i="2" s="1"/>
  <c r="K1112" i="2" a="1"/>
  <c r="K1112" i="2" s="1"/>
  <c r="H2383" i="1"/>
  <c r="K1052" i="2" a="1"/>
  <c r="K1052" i="2" s="1"/>
  <c r="H2924" i="1"/>
  <c r="M2924" i="1" s="1"/>
  <c r="N2924" i="1" s="1"/>
  <c r="K992" i="2" a="1"/>
  <c r="K992" i="2" s="1"/>
  <c r="K952" i="2" a="1"/>
  <c r="K952" i="2" s="1"/>
  <c r="K813" i="2" a="1"/>
  <c r="K813" i="2" s="1"/>
  <c r="K753" i="2" a="1"/>
  <c r="K753" i="2" s="1"/>
  <c r="K693" i="2" a="1"/>
  <c r="K693" i="2" s="1"/>
  <c r="K633" i="2" a="1"/>
  <c r="K633" i="2" s="1"/>
  <c r="K573" i="2" a="1"/>
  <c r="K573" i="2" s="1"/>
  <c r="K533" i="2" a="1"/>
  <c r="K533" i="2" s="1"/>
  <c r="K473" i="2" a="1"/>
  <c r="K473" i="2" s="1"/>
  <c r="K413" i="2" a="1"/>
  <c r="K413" i="2" s="1"/>
  <c r="K393" i="2" a="1"/>
  <c r="K393" i="2" s="1"/>
  <c r="K373" i="2" a="1"/>
  <c r="K373" i="2" s="1"/>
  <c r="K353" i="2" a="1"/>
  <c r="K353" i="2" s="1"/>
  <c r="K333" i="2" a="1"/>
  <c r="K333" i="2" s="1"/>
  <c r="K313" i="2" a="1"/>
  <c r="K313" i="2" s="1"/>
  <c r="K293" i="2" a="1"/>
  <c r="K293" i="2" s="1"/>
  <c r="K273" i="2" a="1"/>
  <c r="K273" i="2" s="1"/>
  <c r="K253" i="2" a="1"/>
  <c r="K253" i="2" s="1"/>
  <c r="K213" i="2" a="1"/>
  <c r="K213" i="2" s="1"/>
  <c r="K193" i="2" a="1"/>
  <c r="K193" i="2" s="1"/>
  <c r="K173" i="2" a="1"/>
  <c r="K173" i="2" s="1"/>
  <c r="K73" i="2" a="1"/>
  <c r="K73" i="2" s="1"/>
  <c r="K53" i="2" a="1"/>
  <c r="K53" i="2" s="1"/>
  <c r="K33" i="2" a="1"/>
  <c r="K33" i="2" s="1"/>
  <c r="K13" i="2" a="1"/>
  <c r="K13" i="2" s="1"/>
  <c r="K560" i="2" a="1"/>
  <c r="K560" i="2" s="1"/>
  <c r="K1205" i="2" a="1"/>
  <c r="K1205" i="2" s="1"/>
  <c r="K1284" i="2" a="1"/>
  <c r="K1284" i="2" s="1"/>
  <c r="H2159" i="1"/>
  <c r="K1239" i="2" a="1"/>
  <c r="K1239" i="2" s="1"/>
  <c r="H2453" i="1"/>
  <c r="K979" i="2" a="1"/>
  <c r="K979" i="2" s="1"/>
  <c r="K1238" i="2" a="1"/>
  <c r="K1238" i="2" s="1"/>
  <c r="H2882" i="1"/>
  <c r="M2882" i="1" s="1"/>
  <c r="K1038" i="2" a="1"/>
  <c r="K1038" i="2" s="1"/>
  <c r="K1233" i="2" a="1"/>
  <c r="K1233" i="2" s="1"/>
  <c r="H2413" i="1"/>
  <c r="K1133" i="2" a="1"/>
  <c r="K1133" i="2" s="1"/>
  <c r="H2872" i="1"/>
  <c r="M2872" i="1" s="1"/>
  <c r="N2872" i="1" s="1"/>
  <c r="K1033" i="2" a="1"/>
  <c r="K1033" i="2" s="1"/>
  <c r="H3133" i="1"/>
  <c r="M3133" i="1" s="1"/>
  <c r="N3133" i="1" s="1"/>
  <c r="K933" i="2" a="1"/>
  <c r="K933" i="2" s="1"/>
  <c r="K854" i="2" a="1"/>
  <c r="K854" i="2" s="1"/>
  <c r="K794" i="2" a="1"/>
  <c r="K794" i="2" s="1"/>
  <c r="K1272" i="2" a="1"/>
  <c r="K1272" i="2" s="1"/>
  <c r="K1232" i="2" a="1"/>
  <c r="K1232" i="2" s="1"/>
  <c r="H2088" i="1"/>
  <c r="K1152" i="2" a="1"/>
  <c r="K1152" i="2" s="1"/>
  <c r="H3129" i="1"/>
  <c r="M3129" i="1" s="1"/>
  <c r="N3129" i="1" s="1"/>
  <c r="K1092" i="2" a="1"/>
  <c r="K1092" i="2" s="1"/>
  <c r="H2870" i="1"/>
  <c r="M2870" i="1" s="1"/>
  <c r="N2870" i="1" s="1"/>
  <c r="K1032" i="2" a="1"/>
  <c r="K1032" i="2" s="1"/>
  <c r="H3009" i="1"/>
  <c r="M3009" i="1" s="1"/>
  <c r="N3009" i="1" s="1"/>
  <c r="K972" i="2" a="1"/>
  <c r="K972" i="2" s="1"/>
  <c r="K853" i="2" a="1"/>
  <c r="K853" i="2" s="1"/>
  <c r="K793" i="2" a="1"/>
  <c r="K793" i="2" s="1"/>
  <c r="K733" i="2" a="1"/>
  <c r="K733" i="2" s="1"/>
  <c r="K613" i="2" a="1"/>
  <c r="K613" i="2" s="1"/>
  <c r="K553" i="2" a="1"/>
  <c r="K553" i="2" s="1"/>
  <c r="K493" i="2" a="1"/>
  <c r="K493" i="2" s="1"/>
  <c r="K433" i="2" a="1"/>
  <c r="K433" i="2" s="1"/>
  <c r="H3121" i="1"/>
  <c r="M3121" i="1" s="1"/>
  <c r="N3121" i="1" s="1"/>
  <c r="K1251" i="2" a="1"/>
  <c r="K1251" i="2" s="1"/>
  <c r="K1211" i="2" a="1"/>
  <c r="K1211" i="2" s="1"/>
  <c r="K1171" i="2" a="1"/>
  <c r="K1171" i="2" s="1"/>
  <c r="H2720" i="1"/>
  <c r="K1151" i="2" a="1"/>
  <c r="K1151" i="2" s="1"/>
  <c r="K1111" i="2" a="1"/>
  <c r="K1111" i="2" s="1"/>
  <c r="H3088" i="1"/>
  <c r="M3088" i="1" s="1"/>
  <c r="K1071" i="2" a="1"/>
  <c r="K1071" i="2" s="1"/>
  <c r="H2381" i="1"/>
  <c r="K1051" i="2" a="1"/>
  <c r="K1051" i="2" s="1"/>
  <c r="H1781" i="1"/>
  <c r="K1031" i="2" a="1"/>
  <c r="K1031" i="2" s="1"/>
  <c r="H2922" i="1"/>
  <c r="M2922" i="1" s="1"/>
  <c r="K991" i="2" a="1"/>
  <c r="K991" i="2" s="1"/>
  <c r="H3008" i="1"/>
  <c r="M3008" i="1" s="1"/>
  <c r="N3008" i="1" s="1"/>
  <c r="K971" i="2" a="1"/>
  <c r="K971" i="2" s="1"/>
  <c r="H3077" i="1"/>
  <c r="M3077" i="1" s="1"/>
  <c r="N3077" i="1" s="1"/>
  <c r="K931" i="2" a="1"/>
  <c r="K931" i="2" s="1"/>
  <c r="K1217" i="2" a="1"/>
  <c r="K1217" i="2" s="1"/>
  <c r="K1002" i="2" a="1"/>
  <c r="K1002" i="2" s="1"/>
  <c r="K918" i="2" a="1"/>
  <c r="K918" i="2" s="1"/>
  <c r="K1264" i="2" a="1"/>
  <c r="K1264" i="2" s="1"/>
  <c r="K1179" i="2" a="1"/>
  <c r="K1179" i="2" s="1"/>
  <c r="H2844" i="1"/>
  <c r="M2844" i="1" s="1"/>
  <c r="K1019" i="2" a="1"/>
  <c r="K1019" i="2" s="1"/>
  <c r="K1218" i="2" a="1"/>
  <c r="K1218" i="2" s="1"/>
  <c r="H2842" i="1"/>
  <c r="M2842" i="1" s="1"/>
  <c r="K1018" i="2" a="1"/>
  <c r="K1018" i="2" s="1"/>
  <c r="K1273" i="2" a="1"/>
  <c r="K1273" i="2" s="1"/>
  <c r="K1173" i="2" a="1"/>
  <c r="K1173" i="2" s="1"/>
  <c r="H3131" i="1"/>
  <c r="M3131" i="1" s="1"/>
  <c r="N3131" i="1" s="1"/>
  <c r="K1093" i="2" a="1"/>
  <c r="K1093" i="2" s="1"/>
  <c r="H1925" i="1"/>
  <c r="K993" i="2" a="1"/>
  <c r="K993" i="2" s="1"/>
  <c r="H2373" i="1"/>
  <c r="K894" i="2" a="1"/>
  <c r="K894" i="2" s="1"/>
  <c r="K814" i="2" a="1"/>
  <c r="K814" i="2" s="1"/>
  <c r="K1212" i="2" a="1"/>
  <c r="K1212" i="2" s="1"/>
  <c r="H2411" i="1"/>
  <c r="K1132" i="2" a="1"/>
  <c r="K1132" i="2" s="1"/>
  <c r="K1012" i="2" a="1"/>
  <c r="K1012" i="2" s="1"/>
  <c r="K893" i="2" a="1"/>
  <c r="K893" i="2" s="1"/>
  <c r="K773" i="2" a="1"/>
  <c r="K773" i="2" s="1"/>
  <c r="K713" i="2" a="1"/>
  <c r="K713" i="2" s="1"/>
  <c r="K653" i="2" a="1"/>
  <c r="K653" i="2" s="1"/>
  <c r="K593" i="2" a="1"/>
  <c r="K593" i="2" s="1"/>
  <c r="K453" i="2" a="1"/>
  <c r="K453" i="2" s="1"/>
  <c r="H2625" i="1"/>
  <c r="K1271" i="2" a="1"/>
  <c r="K1271" i="2" s="1"/>
  <c r="H2246" i="1"/>
  <c r="K1231" i="2" a="1"/>
  <c r="K1231" i="2" s="1"/>
  <c r="H2111" i="1"/>
  <c r="K1191" i="2" a="1"/>
  <c r="K1191" i="2" s="1"/>
  <c r="H1999" i="1"/>
  <c r="K1091" i="2" a="1"/>
  <c r="K1091" i="2" s="1"/>
  <c r="H2313" i="1"/>
  <c r="H2623" i="1"/>
  <c r="K1095" i="2" a="1"/>
  <c r="K1095" i="2" s="1"/>
  <c r="K617" i="2" a="1"/>
  <c r="K617" i="2" s="1"/>
  <c r="H2763" i="1"/>
  <c r="K1266" i="2" a="1"/>
  <c r="K1266" i="2" s="1"/>
  <c r="K1265" i="2" a="1"/>
  <c r="K1265" i="2" s="1"/>
  <c r="K1119" i="2" a="1"/>
  <c r="K1119" i="2" s="1"/>
  <c r="K880" i="2" a="1"/>
  <c r="K880" i="2" s="1"/>
  <c r="K1278" i="2" a="1"/>
  <c r="K1278" i="2" s="1"/>
  <c r="H3101" i="1"/>
  <c r="M3101" i="1" s="1"/>
  <c r="N3101" i="1" s="1"/>
  <c r="K1078" i="2" a="1"/>
  <c r="K1078" i="2" s="1"/>
  <c r="K1193" i="2" a="1"/>
  <c r="K1193" i="2" s="1"/>
  <c r="H2647" i="1"/>
  <c r="K874" i="2" a="1"/>
  <c r="K874" i="2" s="1"/>
  <c r="K774" i="2" a="1"/>
  <c r="K774" i="2" s="1"/>
  <c r="K1192" i="2" a="1"/>
  <c r="K1192" i="2" s="1"/>
  <c r="H3068" i="1"/>
  <c r="M3068" i="1" s="1"/>
  <c r="N3068" i="1" s="1"/>
  <c r="H2312" i="1"/>
  <c r="K1269" i="2" a="1"/>
  <c r="K1269" i="2" s="1"/>
  <c r="K1249" i="2" a="1"/>
  <c r="K1249" i="2" s="1"/>
  <c r="H2242" i="1"/>
  <c r="K1229" i="2" a="1"/>
  <c r="K1229" i="2" s="1"/>
  <c r="H2197" i="1"/>
  <c r="K1209" i="2" a="1"/>
  <c r="K1209" i="2" s="1"/>
  <c r="K1189" i="2" a="1"/>
  <c r="K1189" i="2" s="1"/>
  <c r="K1169" i="2" a="1"/>
  <c r="K1169" i="2" s="1"/>
  <c r="H2812" i="1"/>
  <c r="M2812" i="1" s="1"/>
  <c r="N2812" i="1" s="1"/>
  <c r="K1129" i="2" a="1"/>
  <c r="K1129" i="2" s="1"/>
  <c r="H3083" i="1"/>
  <c r="M3083" i="1" s="1"/>
  <c r="N3083" i="1" s="1"/>
  <c r="K1069" i="2" a="1"/>
  <c r="K1069" i="2" s="1"/>
  <c r="H2899" i="1"/>
  <c r="M2899" i="1" s="1"/>
  <c r="N2899" i="1" s="1"/>
  <c r="K1049" i="2" a="1"/>
  <c r="K1049" i="2" s="1"/>
  <c r="H2957" i="1"/>
  <c r="M2957" i="1" s="1"/>
  <c r="N2957" i="1" s="1"/>
  <c r="K1009" i="2" a="1"/>
  <c r="K1009" i="2" s="1"/>
  <c r="K1199" i="2" a="1"/>
  <c r="K1199" i="2" s="1"/>
  <c r="K997" i="2" a="1"/>
  <c r="K997" i="2" s="1"/>
  <c r="K913" i="2" a="1"/>
  <c r="K913" i="2" s="1"/>
  <c r="K1245" i="2" a="1"/>
  <c r="K1245" i="2" s="1"/>
  <c r="H2806" i="1"/>
  <c r="M2806" i="1" s="1"/>
  <c r="N2806" i="1" s="1"/>
  <c r="K1268" i="2" a="1"/>
  <c r="K1268" i="2" s="1"/>
  <c r="K1248" i="2" a="1"/>
  <c r="K1248" i="2" s="1"/>
  <c r="H2241" i="1"/>
  <c r="K1228" i="2" a="1"/>
  <c r="K1228" i="2" s="1"/>
  <c r="H2194" i="1"/>
  <c r="K1208" i="2" a="1"/>
  <c r="K1208" i="2" s="1"/>
  <c r="K1188" i="2" a="1"/>
  <c r="K1188" i="2" s="1"/>
  <c r="K1148" i="2" a="1"/>
  <c r="K1148" i="2" s="1"/>
  <c r="H2810" i="1"/>
  <c r="M2810" i="1" s="1"/>
  <c r="N2810" i="1" s="1"/>
  <c r="K1128" i="2" a="1"/>
  <c r="K1128" i="2" s="1"/>
  <c r="H2898" i="1"/>
  <c r="M2898" i="1" s="1"/>
  <c r="N2898" i="1" s="1"/>
  <c r="K1048" i="2" a="1"/>
  <c r="K1048" i="2" s="1"/>
  <c r="H2862" i="1"/>
  <c r="M2862" i="1" s="1"/>
  <c r="K1028" i="2" a="1"/>
  <c r="K1028" i="2" s="1"/>
  <c r="H2674" i="1"/>
  <c r="K948" i="2" a="1"/>
  <c r="K948" i="2" s="1"/>
  <c r="H3034" i="1"/>
  <c r="M3034" i="1" s="1"/>
  <c r="K908" i="2" a="1"/>
  <c r="K908" i="2" s="1"/>
  <c r="K649" i="2" a="1"/>
  <c r="K649" i="2" s="1"/>
  <c r="K1198" i="2" a="1"/>
  <c r="K1198" i="2" s="1"/>
  <c r="K1089" i="2" a="1"/>
  <c r="K1089" i="2" s="1"/>
  <c r="K679" i="2" a="1"/>
  <c r="K679" i="2" s="1"/>
  <c r="K541" i="2" a="1"/>
  <c r="K541" i="2" s="1"/>
  <c r="K474" i="2" a="1"/>
  <c r="K474" i="2" s="1"/>
  <c r="H2765" i="1"/>
  <c r="K1267" i="2" a="1"/>
  <c r="K1267" i="2" s="1"/>
  <c r="K1247" i="2" a="1"/>
  <c r="K1247" i="2" s="1"/>
  <c r="H2239" i="1"/>
  <c r="K1227" i="2" a="1"/>
  <c r="K1227" i="2" s="1"/>
  <c r="H2193" i="1"/>
  <c r="K1207" i="2" a="1"/>
  <c r="K1207" i="2" s="1"/>
  <c r="K1187" i="2" a="1"/>
  <c r="K1187" i="2" s="1"/>
  <c r="K1167" i="2" a="1"/>
  <c r="K1167" i="2" s="1"/>
  <c r="K1147" i="2" a="1"/>
  <c r="K1147" i="2" s="1"/>
  <c r="K1107" i="2" a="1"/>
  <c r="K1107" i="2" s="1"/>
  <c r="H3119" i="1"/>
  <c r="M3119" i="1" s="1"/>
  <c r="N3119" i="1" s="1"/>
  <c r="K1087" i="2" a="1"/>
  <c r="K1087" i="2" s="1"/>
  <c r="H2954" i="1"/>
  <c r="M2954" i="1" s="1"/>
  <c r="K1007" i="2" a="1"/>
  <c r="K1007" i="2" s="1"/>
  <c r="K987" i="2" a="1"/>
  <c r="K987" i="2" s="1"/>
  <c r="H2488" i="1"/>
  <c r="K967" i="2" a="1"/>
  <c r="K967" i="2" s="1"/>
  <c r="H2672" i="1"/>
  <c r="K947" i="2" a="1"/>
  <c r="K947" i="2" s="1"/>
  <c r="H3072" i="1"/>
  <c r="M3072" i="1" s="1"/>
  <c r="N3072" i="1" s="1"/>
  <c r="K927" i="2" a="1"/>
  <c r="K927" i="2" s="1"/>
  <c r="H2694" i="1"/>
  <c r="K907" i="2" a="1"/>
  <c r="K907" i="2" s="1"/>
  <c r="K868" i="2" a="1"/>
  <c r="K868" i="2" s="1"/>
  <c r="K828" i="2" a="1"/>
  <c r="K828" i="2" s="1"/>
  <c r="H2629" i="1"/>
  <c r="K788" i="2" a="1"/>
  <c r="K788" i="2" s="1"/>
  <c r="H1321" i="1"/>
  <c r="K768" i="2" a="1"/>
  <c r="K768" i="2" s="1"/>
  <c r="K688" i="2" a="1"/>
  <c r="K688" i="2" s="1"/>
  <c r="K668" i="2" a="1"/>
  <c r="K668" i="2" s="1"/>
  <c r="K608" i="2" a="1"/>
  <c r="K608" i="2" s="1"/>
  <c r="K588" i="2" a="1"/>
  <c r="K588" i="2" s="1"/>
  <c r="K568" i="2" a="1"/>
  <c r="K568" i="2" s="1"/>
  <c r="K528" i="2" a="1"/>
  <c r="K528" i="2" s="1"/>
  <c r="K1186" i="2" a="1"/>
  <c r="K1186" i="2" s="1"/>
  <c r="K1077" i="2" a="1"/>
  <c r="K1077" i="2" s="1"/>
  <c r="K678" i="2" a="1"/>
  <c r="K678" i="2" s="1"/>
  <c r="K1246" i="2" a="1"/>
  <c r="K1246" i="2" s="1"/>
  <c r="K1226" i="2" a="1"/>
  <c r="K1226" i="2" s="1"/>
  <c r="H2191" i="1"/>
  <c r="K1206" i="2" a="1"/>
  <c r="K1206" i="2" s="1"/>
  <c r="K1166" i="2" a="1"/>
  <c r="K1166" i="2" s="1"/>
  <c r="K1146" i="2" a="1"/>
  <c r="K1146" i="2" s="1"/>
  <c r="K1106" i="2" a="1"/>
  <c r="K1106" i="2" s="1"/>
  <c r="H1978" i="1"/>
  <c r="K1086" i="2" a="1"/>
  <c r="K1086" i="2" s="1"/>
  <c r="K1066" i="2" a="1"/>
  <c r="K1066" i="2" s="1"/>
  <c r="H2952" i="1"/>
  <c r="M2952" i="1" s="1"/>
  <c r="N2952" i="1" s="1"/>
  <c r="K1006" i="2" a="1"/>
  <c r="K1006" i="2" s="1"/>
  <c r="H2914" i="1"/>
  <c r="M2914" i="1" s="1"/>
  <c r="K986" i="2" a="1"/>
  <c r="K986" i="2" s="1"/>
  <c r="H2486" i="1"/>
  <c r="K966" i="2" a="1"/>
  <c r="K966" i="2" s="1"/>
  <c r="H2670" i="1"/>
  <c r="K946" i="2" a="1"/>
  <c r="K946" i="2" s="1"/>
  <c r="H3070" i="1"/>
  <c r="M3070" i="1" s="1"/>
  <c r="N3070" i="1" s="1"/>
  <c r="K926" i="2" a="1"/>
  <c r="K926" i="2" s="1"/>
  <c r="H2692" i="1"/>
  <c r="K906" i="2" a="1"/>
  <c r="K906" i="2" s="1"/>
  <c r="K827" i="2" a="1"/>
  <c r="K827" i="2" s="1"/>
  <c r="K807" i="2" a="1"/>
  <c r="K807" i="2" s="1"/>
  <c r="H2627" i="1"/>
  <c r="K787" i="2" a="1"/>
  <c r="K787" i="2" s="1"/>
  <c r="K747" i="2" a="1"/>
  <c r="K747" i="2" s="1"/>
  <c r="K727" i="2" a="1"/>
  <c r="K727" i="2" s="1"/>
  <c r="K667" i="2" a="1"/>
  <c r="K667" i="2" s="1"/>
  <c r="K607" i="2" a="1"/>
  <c r="K607" i="2" s="1"/>
  <c r="K547" i="2" a="1"/>
  <c r="K547" i="2" s="1"/>
  <c r="K407" i="2" a="1"/>
  <c r="K407" i="2" s="1"/>
  <c r="K1181" i="2" a="1"/>
  <c r="K1181" i="2" s="1"/>
  <c r="K1073" i="2" a="1"/>
  <c r="K1073" i="2" s="1"/>
  <c r="K901" i="2" a="1"/>
  <c r="K901" i="2" s="1"/>
  <c r="K829" i="2" a="1"/>
  <c r="K829" i="2" s="1"/>
  <c r="H1946" i="1"/>
  <c r="K1005" i="2" a="1"/>
  <c r="K1005" i="2" s="1"/>
  <c r="H2912" i="1"/>
  <c r="M2912" i="1" s="1"/>
  <c r="N2912" i="1" s="1"/>
  <c r="K985" i="2" a="1"/>
  <c r="K985" i="2" s="1"/>
  <c r="H2484" i="1"/>
  <c r="K965" i="2" a="1"/>
  <c r="K965" i="2" s="1"/>
  <c r="H2425" i="1"/>
  <c r="K945" i="2" a="1"/>
  <c r="K945" i="2" s="1"/>
  <c r="K866" i="2" a="1"/>
  <c r="K866" i="2" s="1"/>
  <c r="K806" i="2" a="1"/>
  <c r="K806" i="2" s="1"/>
  <c r="K766" i="2" a="1"/>
  <c r="K766" i="2" s="1"/>
  <c r="K746" i="2" a="1"/>
  <c r="K746" i="2" s="1"/>
  <c r="K626" i="2" a="1"/>
  <c r="K626" i="2" s="1"/>
  <c r="K606" i="2" a="1"/>
  <c r="K606" i="2" s="1"/>
  <c r="K586" i="2" a="1"/>
  <c r="K586" i="2" s="1"/>
  <c r="K346" i="2" a="1"/>
  <c r="K346" i="2" s="1"/>
  <c r="K1180" i="2" a="1"/>
  <c r="K1180" i="2" s="1"/>
  <c r="K1072" i="2" a="1"/>
  <c r="K1072" i="2" s="1"/>
  <c r="K820" i="2" a="1"/>
  <c r="K820" i="2" s="1"/>
  <c r="K527" i="2" a="1"/>
  <c r="K527" i="2" s="1"/>
  <c r="H2722" i="1"/>
  <c r="K1185" i="2" a="1"/>
  <c r="K1185" i="2" s="1"/>
  <c r="H2894" i="1"/>
  <c r="M2894" i="1" s="1"/>
  <c r="N2894" i="1" s="1"/>
  <c r="K1044" i="2" a="1"/>
  <c r="K1044" i="2" s="1"/>
  <c r="H2854" i="1"/>
  <c r="M2854" i="1" s="1"/>
  <c r="K1024" i="2" a="1"/>
  <c r="K1024" i="2" s="1"/>
  <c r="H2482" i="1"/>
  <c r="K964" i="2" a="1"/>
  <c r="K964" i="2" s="1"/>
  <c r="H2423" i="1"/>
  <c r="K944" i="2" a="1"/>
  <c r="K944" i="2" s="1"/>
  <c r="K805" i="2" a="1"/>
  <c r="K805" i="2" s="1"/>
  <c r="K1061" i="2" a="1"/>
  <c r="K1061" i="2" s="1"/>
  <c r="K973" i="2" a="1"/>
  <c r="K973" i="2" s="1"/>
  <c r="K738" i="2" a="1"/>
  <c r="K738" i="2" s="1"/>
  <c r="K1283" i="2" a="1"/>
  <c r="K1283" i="2" s="1"/>
  <c r="K1243" i="2" a="1"/>
  <c r="K1243" i="2" s="1"/>
  <c r="H3111" i="1"/>
  <c r="M3111" i="1" s="1"/>
  <c r="N3111" i="1" s="1"/>
  <c r="K1083" i="2" a="1"/>
  <c r="K1083" i="2" s="1"/>
  <c r="H2969" i="1"/>
  <c r="M2969" i="1" s="1"/>
  <c r="N2969" i="1" s="1"/>
  <c r="K1063" i="2" a="1"/>
  <c r="K1063" i="2" s="1"/>
  <c r="H2892" i="1"/>
  <c r="M2892" i="1" s="1"/>
  <c r="N2892" i="1" s="1"/>
  <c r="K1043" i="2" a="1"/>
  <c r="K1043" i="2" s="1"/>
  <c r="H2852" i="1"/>
  <c r="M2852" i="1" s="1"/>
  <c r="N2852" i="1" s="1"/>
  <c r="K1023" i="2" a="1"/>
  <c r="K1023" i="2" s="1"/>
  <c r="H1941" i="1"/>
  <c r="K1003" i="2" a="1"/>
  <c r="K1003" i="2" s="1"/>
  <c r="K983" i="2" a="1"/>
  <c r="K983" i="2" s="1"/>
  <c r="K744" i="2" a="1"/>
  <c r="K744" i="2" s="1"/>
  <c r="K684" i="2" a="1"/>
  <c r="K684" i="2" s="1"/>
  <c r="K1163" i="2" a="1"/>
  <c r="K1163" i="2" s="1"/>
  <c r="K737" i="2" a="1"/>
  <c r="K737" i="2" s="1"/>
  <c r="K457" i="2" a="1"/>
  <c r="K457" i="2" s="1"/>
  <c r="K1054" i="2" a="1"/>
  <c r="K1054" i="2" s="1"/>
  <c r="K994" i="2" a="1"/>
  <c r="K994" i="2" s="1"/>
  <c r="K856" i="2" a="1"/>
  <c r="K856" i="2" s="1"/>
  <c r="K812" i="2" a="1"/>
  <c r="K812" i="2" s="1"/>
  <c r="K1270" i="2" a="1"/>
  <c r="K1270" i="2" s="1"/>
  <c r="K1250" i="2" a="1"/>
  <c r="K1250" i="2" s="1"/>
  <c r="K1230" i="2" a="1"/>
  <c r="K1230" i="2" s="1"/>
  <c r="K910" i="2" a="1"/>
  <c r="K910" i="2" s="1"/>
  <c r="K855" i="2" a="1"/>
  <c r="K855" i="2" s="1"/>
  <c r="K811" i="2" a="1"/>
  <c r="K811" i="2" s="1"/>
  <c r="K796" i="2" a="1"/>
  <c r="K796" i="2" s="1"/>
  <c r="K536" i="2" a="1"/>
  <c r="K536" i="2" s="1"/>
  <c r="K322" i="2" a="1"/>
  <c r="K322" i="2" s="1"/>
  <c r="K198" i="2" a="1"/>
  <c r="K198" i="2" s="1"/>
  <c r="K1210" i="2" a="1"/>
  <c r="K1210" i="2" s="1"/>
  <c r="K1174" i="2" a="1"/>
  <c r="K1174" i="2" s="1"/>
  <c r="K623" i="2" a="1"/>
  <c r="K623" i="2" s="1"/>
  <c r="K302" i="2" a="1"/>
  <c r="K302" i="2" s="1"/>
  <c r="K1190" i="2" a="1"/>
  <c r="K1190" i="2" s="1"/>
  <c r="K1154" i="2" a="1"/>
  <c r="K1154" i="2" s="1"/>
  <c r="K852" i="2" a="1"/>
  <c r="K852" i="2" s="1"/>
  <c r="K776" i="2" a="1"/>
  <c r="K776" i="2" s="1"/>
  <c r="K716" i="2" a="1"/>
  <c r="K716" i="2" s="1"/>
  <c r="K652" i="2" a="1"/>
  <c r="K652" i="2" s="1"/>
  <c r="K635" i="2" a="1"/>
  <c r="K635" i="2" s="1"/>
  <c r="K337" i="2" a="1"/>
  <c r="K337" i="2" s="1"/>
  <c r="K1034" i="2" a="1"/>
  <c r="K1034" i="2" s="1"/>
  <c r="K990" i="2" a="1"/>
  <c r="K990" i="2" s="1"/>
  <c r="K949" i="2" a="1"/>
  <c r="K949" i="2" s="1"/>
  <c r="K934" i="2" a="1"/>
  <c r="K934" i="2" s="1"/>
  <c r="K851" i="2" a="1"/>
  <c r="K851" i="2" s="1"/>
  <c r="K792" i="2" a="1"/>
  <c r="K792" i="2" s="1"/>
  <c r="K775" i="2" a="1"/>
  <c r="K775" i="2" s="1"/>
  <c r="K715" i="2" a="1"/>
  <c r="K715" i="2" s="1"/>
  <c r="K651" i="2" a="1"/>
  <c r="K651" i="2" s="1"/>
  <c r="K531" i="2" a="1"/>
  <c r="K531" i="2" s="1"/>
  <c r="K516" i="2" a="1"/>
  <c r="K516" i="2" s="1"/>
  <c r="K158" i="2" a="1"/>
  <c r="K158" i="2" s="1"/>
  <c r="K1170" i="2" a="1"/>
  <c r="K1170" i="2" s="1"/>
  <c r="K1134" i="2" a="1"/>
  <c r="K1134" i="2" s="1"/>
  <c r="K157" i="2" a="1"/>
  <c r="K157" i="2" s="1"/>
  <c r="K683" i="2" a="1"/>
  <c r="K683" i="2" s="1"/>
  <c r="K262" i="2" a="1"/>
  <c r="K262" i="2" s="1"/>
  <c r="K261" i="2" a="1"/>
  <c r="K261" i="2" s="1"/>
  <c r="K1130" i="2" a="1"/>
  <c r="K1130" i="2" s="1"/>
  <c r="K1094" i="2" a="1"/>
  <c r="K1094" i="2" s="1"/>
  <c r="K832" i="2" a="1"/>
  <c r="K832" i="2" s="1"/>
  <c r="K772" i="2" a="1"/>
  <c r="K772" i="2" s="1"/>
  <c r="K663" i="2" a="1"/>
  <c r="K663" i="2" s="1"/>
  <c r="K630" i="2" a="1"/>
  <c r="K630" i="2" s="1"/>
  <c r="K82" i="2" a="1"/>
  <c r="K82" i="2" s="1"/>
  <c r="K876" i="2" a="1"/>
  <c r="K876" i="2" s="1"/>
  <c r="K831" i="2" a="1"/>
  <c r="K831" i="2" s="1"/>
  <c r="K1110" i="2" a="1"/>
  <c r="K1110" i="2" s="1"/>
  <c r="K930" i="2" a="1"/>
  <c r="K930" i="2" s="1"/>
  <c r="K915" i="2" a="1"/>
  <c r="K915" i="2" s="1"/>
  <c r="K875" i="2" a="1"/>
  <c r="K875" i="2" s="1"/>
  <c r="K771" i="2" a="1"/>
  <c r="K771" i="2" s="1"/>
  <c r="K510" i="2" a="1"/>
  <c r="K510" i="2" s="1"/>
  <c r="K491" i="2" a="1"/>
  <c r="K491" i="2" s="1"/>
  <c r="K471" i="2" a="1"/>
  <c r="K471" i="2" s="1"/>
  <c r="K312" i="2" a="1"/>
  <c r="K312" i="2" s="1"/>
  <c r="K241" i="2" a="1"/>
  <c r="K241" i="2" s="1"/>
  <c r="K187" i="2" a="1"/>
  <c r="K187" i="2" s="1"/>
  <c r="K1074" i="2" a="1"/>
  <c r="K1074" i="2" s="1"/>
  <c r="K914" i="2" a="1"/>
  <c r="K914" i="2" s="1"/>
  <c r="K816" i="2" a="1"/>
  <c r="K816" i="2" s="1"/>
  <c r="K770" i="2" a="1"/>
  <c r="K770" i="2" s="1"/>
  <c r="K256" i="2" a="1"/>
  <c r="K256" i="2" s="1"/>
  <c r="K62" i="2" a="1"/>
  <c r="K62" i="2" s="1"/>
  <c r="K1274" i="2" a="1"/>
  <c r="K1274" i="2" s="1"/>
  <c r="K1254" i="2" a="1"/>
  <c r="K1254" i="2" s="1"/>
  <c r="K1234" i="2" a="1"/>
  <c r="K1234" i="2" s="1"/>
  <c r="K1010" i="2" a="1"/>
  <c r="K1010" i="2" s="1"/>
  <c r="K871" i="2" a="1"/>
  <c r="K871" i="2" s="1"/>
  <c r="K736" i="2" a="1"/>
  <c r="K736" i="2" s="1"/>
  <c r="K723" i="2" a="1"/>
  <c r="K723" i="2" s="1"/>
  <c r="K691" i="2" a="1"/>
  <c r="K691" i="2" s="1"/>
  <c r="K610" i="2" a="1"/>
  <c r="K610" i="2" s="1"/>
  <c r="K237" i="2" a="1"/>
  <c r="K237" i="2" s="1"/>
  <c r="K751" i="2" a="1"/>
  <c r="K751" i="2" s="1"/>
  <c r="K735" i="2" a="1"/>
  <c r="K735" i="2" s="1"/>
  <c r="K690" i="2" a="1"/>
  <c r="K690" i="2" s="1"/>
  <c r="K676" i="2" a="1"/>
  <c r="K676" i="2" s="1"/>
  <c r="K591" i="2" a="1"/>
  <c r="K591" i="2" s="1"/>
  <c r="K576" i="2" a="1"/>
  <c r="K576" i="2" s="1"/>
  <c r="K377" i="2" a="1"/>
  <c r="K377" i="2" s="1"/>
  <c r="K236" i="2" a="1"/>
  <c r="K236" i="2" s="1"/>
  <c r="K41" i="2" a="1"/>
  <c r="K41" i="2" s="1"/>
  <c r="K1214" i="2" a="1"/>
  <c r="K1214" i="2" s="1"/>
  <c r="K911" i="2" a="1"/>
  <c r="K911" i="2" s="1"/>
  <c r="K675" i="2" a="1"/>
  <c r="K675" i="2" s="1"/>
  <c r="K556" i="2" a="1"/>
  <c r="K556" i="2" s="1"/>
  <c r="K396" i="2" a="1"/>
  <c r="K396" i="2" s="1"/>
  <c r="K376" i="2" a="1"/>
  <c r="K376" i="2" s="1"/>
  <c r="L2966" i="1"/>
  <c r="L2965" i="1"/>
  <c r="N2965" i="1" s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N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N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N3099" i="1" s="1"/>
  <c r="L3094" i="1"/>
  <c r="L3025" i="1"/>
  <c r="L2918" i="1"/>
  <c r="L3022" i="1"/>
  <c r="L2917" i="1"/>
  <c r="L2907" i="1"/>
  <c r="L3002" i="1"/>
  <c r="L2788" i="1"/>
  <c r="L3082" i="1"/>
  <c r="H3108" i="1"/>
  <c r="M3108" i="1" s="1"/>
  <c r="N3108" i="1" s="1"/>
  <c r="H3105" i="1"/>
  <c r="M3105" i="1" s="1"/>
  <c r="N3105" i="1" s="1"/>
  <c r="L2974" i="1"/>
  <c r="L2874" i="1"/>
  <c r="N2874" i="1" s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N3038" i="1" s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N3135" i="1"/>
  <c r="L3069" i="1"/>
  <c r="L3029" i="1"/>
  <c r="L2949" i="1"/>
  <c r="L2869" i="1"/>
  <c r="L2829" i="1"/>
  <c r="L3088" i="1"/>
  <c r="L3147" i="1"/>
  <c r="L2947" i="1"/>
  <c r="L2887" i="1"/>
  <c r="L2867" i="1"/>
  <c r="L2847" i="1"/>
  <c r="N2866" i="1"/>
  <c r="H3113" i="1"/>
  <c r="M3113" i="1" s="1"/>
  <c r="N3113" i="1" s="1"/>
  <c r="L3104" i="1"/>
  <c r="L3084" i="1"/>
  <c r="L3044" i="1"/>
  <c r="L3004" i="1"/>
  <c r="L2984" i="1"/>
  <c r="L2944" i="1"/>
  <c r="N2944" i="1" s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N3011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N2890" i="1"/>
  <c r="L3096" i="1"/>
  <c r="L3016" i="1"/>
  <c r="H2967" i="1"/>
  <c r="M2967" i="1" s="1"/>
  <c r="N2967" i="1" s="1"/>
  <c r="N2928" i="1"/>
  <c r="N3125" i="1"/>
  <c r="N3040" i="1"/>
  <c r="N3020" i="1"/>
  <c r="N2860" i="1"/>
  <c r="N3066" i="1"/>
  <c r="N3123" i="1"/>
  <c r="N3005" i="1"/>
  <c r="N2896" i="1"/>
  <c r="N3076" i="1"/>
  <c r="N2858" i="1"/>
  <c r="N2920" i="1"/>
  <c r="N3132" i="1"/>
  <c r="N3093" i="1"/>
  <c r="N3091" i="1"/>
  <c r="N3089" i="1"/>
  <c r="H3147" i="1"/>
  <c r="M3147" i="1" s="1"/>
  <c r="H3127" i="1"/>
  <c r="M3127" i="1" s="1"/>
  <c r="H3087" i="1"/>
  <c r="M3087" i="1" s="1"/>
  <c r="N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N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N2883" i="1" s="1"/>
  <c r="H2863" i="1"/>
  <c r="M2863" i="1" s="1"/>
  <c r="N2863" i="1" s="1"/>
  <c r="H2843" i="1"/>
  <c r="M2843" i="1" s="1"/>
  <c r="N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N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N2976" i="1" s="1"/>
  <c r="H2956" i="1"/>
  <c r="M2956" i="1" s="1"/>
  <c r="N2956" i="1" s="1"/>
  <c r="H2816" i="1"/>
  <c r="M2816" i="1" s="1"/>
  <c r="N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N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N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N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N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N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M966" i="2" l="1"/>
  <c r="N3222" i="1"/>
  <c r="M1124" i="2"/>
  <c r="M968" i="2"/>
  <c r="M971" i="2"/>
  <c r="N3234" i="1"/>
  <c r="M973" i="2"/>
  <c r="M1098" i="2"/>
  <c r="M1063" i="2"/>
  <c r="L1063" i="2"/>
  <c r="M915" i="2"/>
  <c r="L915" i="2"/>
  <c r="M1074" i="2"/>
  <c r="L1074" i="2"/>
  <c r="N3221" i="1"/>
  <c r="M1356" i="2"/>
  <c r="M1319" i="2"/>
  <c r="M1350" i="2"/>
  <c r="L3449" i="1"/>
  <c r="N3449" i="1" s="1"/>
  <c r="M1355" i="2"/>
  <c r="M1320" i="2"/>
  <c r="L3375" i="1"/>
  <c r="N3375" i="1" s="1"/>
  <c r="M1294" i="2"/>
  <c r="M1363" i="2"/>
  <c r="M1321" i="2"/>
  <c r="M1323" i="2"/>
  <c r="M1314" i="2"/>
  <c r="M1373" i="2"/>
  <c r="M1290" i="2"/>
  <c r="M1396" i="2"/>
  <c r="M1354" i="2"/>
  <c r="M1315" i="2"/>
  <c r="M1295" i="2"/>
  <c r="M1318" i="2"/>
  <c r="M1377" i="2"/>
  <c r="M1425" i="2"/>
  <c r="M1288" i="2"/>
  <c r="M1378" i="2"/>
  <c r="M1308" i="2"/>
  <c r="M1400" i="2"/>
  <c r="M1289" i="2"/>
  <c r="L3369" i="1"/>
  <c r="N3369" i="1" s="1"/>
  <c r="M1291" i="2"/>
  <c r="M1399" i="2"/>
  <c r="M1341" i="2"/>
  <c r="M1360" i="2"/>
  <c r="M1374" i="2"/>
  <c r="M1429" i="2"/>
  <c r="L3475" i="1"/>
  <c r="N3475" i="1" s="1"/>
  <c r="M1367" i="2"/>
  <c r="M1309" i="2"/>
  <c r="M1364" i="2"/>
  <c r="M1296" i="2"/>
  <c r="M1336" i="2"/>
  <c r="L3407" i="1"/>
  <c r="N3407" i="1" s="1"/>
  <c r="M1310" i="2"/>
  <c r="M1324" i="2"/>
  <c r="M1381" i="2"/>
  <c r="M1297" i="2"/>
  <c r="L3431" i="1"/>
  <c r="N3431" i="1" s="1"/>
  <c r="M1402" i="2"/>
  <c r="M1329" i="2"/>
  <c r="M1427" i="2"/>
  <c r="M1359" i="2"/>
  <c r="M1316" i="2"/>
  <c r="M1401" i="2"/>
  <c r="L3436" i="1"/>
  <c r="N3436" i="1" s="1"/>
  <c r="M1403" i="2"/>
  <c r="M1306" i="2"/>
  <c r="M1301" i="2"/>
  <c r="M1370" i="2"/>
  <c r="M1372" i="2"/>
  <c r="L3517" i="1"/>
  <c r="N3517" i="1" s="1"/>
  <c r="M1335" i="2"/>
  <c r="M1404" i="2"/>
  <c r="M1337" i="2"/>
  <c r="M1369" i="2"/>
  <c r="M1391" i="2"/>
  <c r="M1398" i="2"/>
  <c r="M1394" i="2"/>
  <c r="M1303" i="2"/>
  <c r="M1330" i="2"/>
  <c r="M1376" i="2"/>
  <c r="L3499" i="1"/>
  <c r="N3499" i="1" s="1"/>
  <c r="M1326" i="2"/>
  <c r="M1379" i="2"/>
  <c r="M1334" i="2"/>
  <c r="M1366" i="2"/>
  <c r="M1371" i="2"/>
  <c r="M1389" i="2"/>
  <c r="M1352" i="2"/>
  <c r="M1340" i="2"/>
  <c r="M1305" i="2"/>
  <c r="M1311" i="2"/>
  <c r="L3401" i="1"/>
  <c r="N3401" i="1" s="1"/>
  <c r="M1307" i="2"/>
  <c r="M1339" i="2"/>
  <c r="M1298" i="2"/>
  <c r="L3395" i="1"/>
  <c r="N3395" i="1" s="1"/>
  <c r="M1304" i="2"/>
  <c r="L3434" i="1"/>
  <c r="N3434" i="1" s="1"/>
  <c r="M1435" i="2"/>
  <c r="M1317" i="2"/>
  <c r="M1331" i="2"/>
  <c r="M1434" i="2"/>
  <c r="M1302" i="2"/>
  <c r="M1293" i="2"/>
  <c r="M1393" i="2"/>
  <c r="M1380" i="2"/>
  <c r="M1426" i="2"/>
  <c r="M1392" i="2"/>
  <c r="M1432" i="2"/>
  <c r="M1390" i="2"/>
  <c r="M1383" i="2"/>
  <c r="M1431" i="2"/>
  <c r="M1357" i="2"/>
  <c r="M1430" i="2"/>
  <c r="M1312" i="2"/>
  <c r="M1322" i="2"/>
  <c r="M1358" i="2"/>
  <c r="M1386" i="2"/>
  <c r="M1351" i="2"/>
  <c r="M1361" i="2"/>
  <c r="M1325" i="2"/>
  <c r="M1332" i="2"/>
  <c r="M1433" i="2"/>
  <c r="M1421" i="2"/>
  <c r="M1292" i="2"/>
  <c r="M1368" i="2"/>
  <c r="M1397" i="2"/>
  <c r="M1388" i="2"/>
  <c r="M1300" i="2"/>
  <c r="M1338" i="2"/>
  <c r="M1333" i="2"/>
  <c r="M1299" i="2"/>
  <c r="M1287" i="2"/>
  <c r="M1313" i="2"/>
  <c r="M1353" i="2"/>
  <c r="M1385" i="2"/>
  <c r="M1423" i="2"/>
  <c r="L3325" i="1"/>
  <c r="N3325" i="1" s="1"/>
  <c r="M1387" i="2"/>
  <c r="M1362" i="2"/>
  <c r="M1328" i="2"/>
  <c r="M1424" i="2"/>
  <c r="M1395" i="2"/>
  <c r="M1327" i="2"/>
  <c r="M1375" i="2"/>
  <c r="M1382" i="2"/>
  <c r="L3319" i="1"/>
  <c r="N3319" i="1" s="1"/>
  <c r="M1384" i="2"/>
  <c r="L3471" i="1"/>
  <c r="N3471" i="1" s="1"/>
  <c r="M1365" i="2"/>
  <c r="M1067" i="2"/>
  <c r="M1093" i="2"/>
  <c r="M1092" i="2"/>
  <c r="M1091" i="2"/>
  <c r="M1034" i="2"/>
  <c r="N3215" i="1"/>
  <c r="M1002" i="2"/>
  <c r="M1038" i="2"/>
  <c r="M53" i="2"/>
  <c r="M213" i="2"/>
  <c r="M293" i="2"/>
  <c r="M341" i="2"/>
  <c r="M373" i="2"/>
  <c r="M453" i="2"/>
  <c r="M533" i="2"/>
  <c r="M613" i="2"/>
  <c r="M693" i="2"/>
  <c r="M741" i="2"/>
  <c r="M773" i="2"/>
  <c r="M805" i="2"/>
  <c r="M821" i="2"/>
  <c r="M837" i="2"/>
  <c r="M853" i="2"/>
  <c r="M1013" i="2"/>
  <c r="M1141" i="2"/>
  <c r="M1157" i="2"/>
  <c r="M1173" i="2"/>
  <c r="M1189" i="2"/>
  <c r="M1205" i="2"/>
  <c r="M1221" i="2"/>
  <c r="M1237" i="2"/>
  <c r="M1253" i="2"/>
  <c r="M1269" i="2"/>
  <c r="M1285" i="2"/>
  <c r="M214" i="2"/>
  <c r="M422" i="2"/>
  <c r="M454" i="2"/>
  <c r="M502" i="2"/>
  <c r="M534" i="2"/>
  <c r="M598" i="2"/>
  <c r="M614" i="2"/>
  <c r="M694" i="2"/>
  <c r="M742" i="2"/>
  <c r="M774" i="2"/>
  <c r="M806" i="2"/>
  <c r="M838" i="2"/>
  <c r="M854" i="2"/>
  <c r="M1014" i="2"/>
  <c r="M1046" i="2"/>
  <c r="M1094" i="2"/>
  <c r="M1142" i="2"/>
  <c r="M1158" i="2"/>
  <c r="M1206" i="2"/>
  <c r="M1238" i="2"/>
  <c r="M359" i="2"/>
  <c r="M407" i="2"/>
  <c r="M519" i="2"/>
  <c r="M599" i="2"/>
  <c r="M727" i="2"/>
  <c r="M807" i="2"/>
  <c r="M1047" i="2"/>
  <c r="M1111" i="2"/>
  <c r="M1159" i="2"/>
  <c r="M1175" i="2"/>
  <c r="M1191" i="2"/>
  <c r="M1207" i="2"/>
  <c r="M1223" i="2"/>
  <c r="M1239" i="2"/>
  <c r="M1271" i="2"/>
  <c r="M200" i="2"/>
  <c r="M568" i="2"/>
  <c r="M680" i="2"/>
  <c r="M744" i="2"/>
  <c r="M1064" i="2"/>
  <c r="M1112" i="2"/>
  <c r="M1160" i="2"/>
  <c r="M1176" i="2"/>
  <c r="M1192" i="2"/>
  <c r="M1208" i="2"/>
  <c r="M1240" i="2"/>
  <c r="M1272" i="2"/>
  <c r="M73" i="2"/>
  <c r="M313" i="2"/>
  <c r="M393" i="2"/>
  <c r="M473" i="2"/>
  <c r="M537" i="2"/>
  <c r="M553" i="2"/>
  <c r="M601" i="2"/>
  <c r="M633" i="2"/>
  <c r="M649" i="2"/>
  <c r="M665" i="2"/>
  <c r="M697" i="2"/>
  <c r="M713" i="2"/>
  <c r="M841" i="2"/>
  <c r="M857" i="2"/>
  <c r="M953" i="2"/>
  <c r="M1065" i="2"/>
  <c r="M1161" i="2"/>
  <c r="M1177" i="2"/>
  <c r="M1193" i="2"/>
  <c r="M1209" i="2"/>
  <c r="M1225" i="2"/>
  <c r="M1257" i="2"/>
  <c r="M1273" i="2"/>
  <c r="M234" i="2"/>
  <c r="M298" i="2"/>
  <c r="M314" i="2"/>
  <c r="M346" i="2"/>
  <c r="M458" i="2"/>
  <c r="M506" i="2"/>
  <c r="M522" i="2"/>
  <c r="M538" i="2"/>
  <c r="M586" i="2"/>
  <c r="M602" i="2"/>
  <c r="M618" i="2"/>
  <c r="M634" i="2"/>
  <c r="M682" i="2"/>
  <c r="M698" i="2"/>
  <c r="M714" i="2"/>
  <c r="M746" i="2"/>
  <c r="M762" i="2"/>
  <c r="M794" i="2"/>
  <c r="M842" i="2"/>
  <c r="M858" i="2"/>
  <c r="M874" i="2"/>
  <c r="M1146" i="2"/>
  <c r="M1178" i="2"/>
  <c r="M1226" i="2"/>
  <c r="M1242" i="2"/>
  <c r="M1258" i="2"/>
  <c r="M219" i="2"/>
  <c r="M299" i="2"/>
  <c r="M539" i="2"/>
  <c r="M667" i="2"/>
  <c r="M747" i="2"/>
  <c r="M779" i="2"/>
  <c r="M843" i="2"/>
  <c r="M859" i="2"/>
  <c r="M987" i="2"/>
  <c r="M1051" i="2"/>
  <c r="M1115" i="2"/>
  <c r="M1147" i="2"/>
  <c r="M1179" i="2"/>
  <c r="M1195" i="2"/>
  <c r="M1211" i="2"/>
  <c r="M1227" i="2"/>
  <c r="M1243" i="2"/>
  <c r="M1259" i="2"/>
  <c r="M540" i="2"/>
  <c r="M588" i="2"/>
  <c r="M668" i="2"/>
  <c r="M684" i="2"/>
  <c r="M780" i="2"/>
  <c r="M940" i="2"/>
  <c r="M1052" i="2"/>
  <c r="M1100" i="2"/>
  <c r="M1116" i="2"/>
  <c r="M1148" i="2"/>
  <c r="M1164" i="2"/>
  <c r="M1196" i="2"/>
  <c r="M1212" i="2"/>
  <c r="M1228" i="2"/>
  <c r="M1260" i="2"/>
  <c r="M13" i="2"/>
  <c r="M173" i="2"/>
  <c r="M253" i="2"/>
  <c r="M333" i="2"/>
  <c r="M381" i="2"/>
  <c r="M413" i="2"/>
  <c r="M461" i="2"/>
  <c r="M477" i="2"/>
  <c r="M493" i="2"/>
  <c r="M557" i="2"/>
  <c r="M573" i="2"/>
  <c r="M621" i="2"/>
  <c r="M637" i="2"/>
  <c r="M653" i="2"/>
  <c r="M733" i="2"/>
  <c r="M781" i="2"/>
  <c r="M797" i="2"/>
  <c r="M813" i="2"/>
  <c r="M861" i="2"/>
  <c r="M877" i="2"/>
  <c r="M893" i="2"/>
  <c r="M1053" i="2"/>
  <c r="M1101" i="2"/>
  <c r="M1117" i="2"/>
  <c r="M1133" i="2"/>
  <c r="M1197" i="2"/>
  <c r="M1213" i="2"/>
  <c r="M1229" i="2"/>
  <c r="M1245" i="2"/>
  <c r="M1277" i="2"/>
  <c r="M254" i="2"/>
  <c r="M318" i="2"/>
  <c r="M414" i="2"/>
  <c r="M542" i="2"/>
  <c r="M558" i="2"/>
  <c r="M574" i="2"/>
  <c r="M606" i="2"/>
  <c r="M638" i="2"/>
  <c r="M654" i="2"/>
  <c r="M702" i="2"/>
  <c r="M718" i="2"/>
  <c r="M734" i="2"/>
  <c r="M766" i="2"/>
  <c r="M814" i="2"/>
  <c r="M862" i="2"/>
  <c r="M894" i="2"/>
  <c r="M1118" i="2"/>
  <c r="M1166" i="2"/>
  <c r="M1182" i="2"/>
  <c r="M1246" i="2"/>
  <c r="M1262" i="2"/>
  <c r="M1278" i="2"/>
  <c r="M79" i="2"/>
  <c r="M159" i="2"/>
  <c r="M319" i="2"/>
  <c r="M479" i="2"/>
  <c r="M559" i="2"/>
  <c r="M607" i="2"/>
  <c r="M719" i="2"/>
  <c r="M863" i="2"/>
  <c r="M1055" i="2"/>
  <c r="M1119" i="2"/>
  <c r="M1135" i="2"/>
  <c r="M1151" i="2"/>
  <c r="M1167" i="2"/>
  <c r="M1183" i="2"/>
  <c r="M1215" i="2"/>
  <c r="M1231" i="2"/>
  <c r="M1247" i="2"/>
  <c r="M1263" i="2"/>
  <c r="M1279" i="2"/>
  <c r="M160" i="2"/>
  <c r="M400" i="2"/>
  <c r="M480" i="2"/>
  <c r="M528" i="2"/>
  <c r="M560" i="2"/>
  <c r="M608" i="2"/>
  <c r="M640" i="2"/>
  <c r="M688" i="2"/>
  <c r="M720" i="2"/>
  <c r="M768" i="2"/>
  <c r="M880" i="2"/>
  <c r="M896" i="2"/>
  <c r="M928" i="2"/>
  <c r="M1008" i="2"/>
  <c r="M1056" i="2"/>
  <c r="M1120" i="2"/>
  <c r="M1136" i="2"/>
  <c r="M1152" i="2"/>
  <c r="M1184" i="2"/>
  <c r="M1200" i="2"/>
  <c r="M1216" i="2"/>
  <c r="M1232" i="2"/>
  <c r="M1248" i="2"/>
  <c r="M1264" i="2"/>
  <c r="M1280" i="2"/>
  <c r="M33" i="2"/>
  <c r="M193" i="2"/>
  <c r="M273" i="2"/>
  <c r="M353" i="2"/>
  <c r="M401" i="2"/>
  <c r="M433" i="2"/>
  <c r="M465" i="2"/>
  <c r="M481" i="2"/>
  <c r="M561" i="2"/>
  <c r="M593" i="2"/>
  <c r="M641" i="2"/>
  <c r="M721" i="2"/>
  <c r="M801" i="2"/>
  <c r="M817" i="2"/>
  <c r="M881" i="2"/>
  <c r="M897" i="2"/>
  <c r="M929" i="2"/>
  <c r="M945" i="2"/>
  <c r="M977" i="2"/>
  <c r="M1105" i="2"/>
  <c r="M1121" i="2"/>
  <c r="M1137" i="2"/>
  <c r="M1153" i="2"/>
  <c r="M1169" i="2"/>
  <c r="M1185" i="2"/>
  <c r="M1201" i="2"/>
  <c r="M1233" i="2"/>
  <c r="M1249" i="2"/>
  <c r="M1265" i="2"/>
  <c r="M274" i="2"/>
  <c r="M402" i="2"/>
  <c r="M418" i="2"/>
  <c r="M466" i="2"/>
  <c r="M514" i="2"/>
  <c r="M562" i="2"/>
  <c r="M594" i="2"/>
  <c r="M626" i="2"/>
  <c r="M642" i="2"/>
  <c r="M658" i="2"/>
  <c r="M802" i="2"/>
  <c r="M818" i="2"/>
  <c r="M866" i="2"/>
  <c r="M930" i="2"/>
  <c r="M946" i="2"/>
  <c r="M1010" i="2"/>
  <c r="M1058" i="2"/>
  <c r="M1106" i="2"/>
  <c r="M1122" i="2"/>
  <c r="M1202" i="2"/>
  <c r="M1218" i="2"/>
  <c r="M1266" i="2"/>
  <c r="M1282" i="2"/>
  <c r="M419" i="2"/>
  <c r="M467" i="2"/>
  <c r="M499" i="2"/>
  <c r="M547" i="2"/>
  <c r="M739" i="2"/>
  <c r="M787" i="2"/>
  <c r="M819" i="2"/>
  <c r="M883" i="2"/>
  <c r="M899" i="2"/>
  <c r="M1107" i="2"/>
  <c r="M1123" i="2"/>
  <c r="M1139" i="2"/>
  <c r="M1155" i="2"/>
  <c r="M1171" i="2"/>
  <c r="M1187" i="2"/>
  <c r="M1203" i="2"/>
  <c r="M1219" i="2"/>
  <c r="M1251" i="2"/>
  <c r="M1267" i="2"/>
  <c r="M1283" i="2"/>
  <c r="M180" i="2"/>
  <c r="M500" i="2"/>
  <c r="M580" i="2"/>
  <c r="M740" i="2"/>
  <c r="M788" i="2"/>
  <c r="M868" i="2"/>
  <c r="M932" i="2"/>
  <c r="M948" i="2"/>
  <c r="M1012" i="2"/>
  <c r="M1140" i="2"/>
  <c r="M1156" i="2"/>
  <c r="M1172" i="2"/>
  <c r="M1188" i="2"/>
  <c r="M1220" i="2"/>
  <c r="M1252" i="2"/>
  <c r="M1268" i="2"/>
  <c r="M1284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<sst xmlns="http://schemas.openxmlformats.org/spreadsheetml/2006/main" count="35871" uniqueCount="6021">
  <si>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</si>
  <si>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</si>
  <si>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</si>
  <si>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</si>
  <si>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</si>
  <si>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</si>
  <si>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</si>
  <si>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</si>
  <si>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</si>
  <si>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</si>
  <si>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</si>
  <si>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</si>
  <si>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</si>
  <si>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</si>
  <si>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</si>
  <si>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</si>
  <si>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</si>
  <si>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</si>
  <si>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</si>
  <si>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</si>
  <si>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</si>
  <si>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</si>
  <si>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</si>
  <si>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</si>
  <si>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</si>
  <si>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</si>
  <si>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</si>
  <si>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</si>
  <si>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</si>
  <si>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</si>
  <si>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</si>
  <si>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</si>
  <si>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</si>
  <si>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</si>
  <si>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</si>
  <si>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</si>
  <si>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</si>
  <si>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</si>
  <si>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</si>
  <si>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</si>
  <si>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</si>
  <si>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</si>
  <si>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</si>
  <si>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</si>
  <si>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</si>
  <si>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</si>
  <si>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</si>
  <si>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</si>
  <si>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</si>
  <si>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</si>
  <si>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</si>
  <si>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</si>
  <si>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</si>
  <si>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</si>
  <si>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</si>
  <si>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</si>
  <si>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</si>
  <si>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</si>
  <si>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</si>
  <si>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</si>
  <si>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</si>
  <si>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</si>
  <si>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</si>
  <si>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</si>
  <si>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</si>
  <si>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</si>
  <si>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</si>
  <si>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</si>
  <si>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</si>
  <si>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</si>
  <si>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</si>
  <si>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</si>
  <si>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</si>
  <si>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</si>
  <si>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</si>
  <si>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</si>
  <si>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</si>
  <si>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</si>
  <si>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</si>
  <si>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</si>
  <si>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</si>
  <si>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</si>
  <si>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</si>
  <si>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</si>
  <si>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</si>
  <si>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</si>
  <si>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</si>
  <si>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</si>
  <si>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</si>
  <si>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</si>
  <si>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</si>
  <si>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</si>
  <si>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</si>
  <si>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</si>
  <si>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</si>
  <si>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</si>
  <si>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</si>
  <si>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</si>
  <si>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</si>
  <si>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</si>
  <si>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</si>
  <si>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</si>
  <si>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</si>
  <si>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</si>
  <si>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</si>
  <si>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</si>
  <si>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</si>
  <si>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</si>
  <si>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</si>
  <si>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</si>
  <si>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</si>
  <si>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</si>
  <si>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</si>
  <si>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</si>
  <si>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</si>
  <si>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</si>
  <si>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</si>
  <si>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</si>
  <si>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</si>
  <si>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</si>
  <si>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</si>
  <si>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</si>
  <si>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</si>
  <si>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</si>
  <si>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</si>
  <si>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</si>
  <si>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</si>
  <si>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</si>
  <si>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</si>
  <si>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</si>
  <si>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</si>
  <si>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</si>
  <si>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</si>
  <si>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</si>
  <si>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</si>
  <si>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</si>
  <si>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</si>
  <si>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</si>
  <si>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</si>
  <si>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</si>
  <si>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</si>
  <si>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</si>
  <si>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</si>
  <si>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</si>
  <si>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</si>
  <si>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</si>
  <si>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</si>
  <si>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</si>
  <si>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</si>
  <si>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</si>
  <si>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</si>
  <si>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</si>
  <si>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</si>
  <si>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</si>
  <si>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</si>
  <si>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</si>
  <si>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</si>
  <si>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</si>
  <si>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</si>
  <si>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</si>
  <si>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</si>
  <si>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</si>
  <si>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</si>
  <si>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</si>
  <si>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</si>
  <si>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</si>
  <si>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</si>
  <si>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</si>
  <si>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</si>
  <si>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</si>
  <si>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</si>
  <si>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</si>
  <si>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</si>
  <si>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</si>
  <si>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</si>
  <si>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</si>
  <si>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</si>
  <si>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</si>
  <si>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</si>
  <si>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</si>
  <si>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</si>
  <si>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</si>
  <si>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</si>
  <si>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</si>
  <si>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</si>
  <si>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</si>
  <si>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</si>
  <si>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</si>
  <si>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</si>
  <si>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</si>
  <si>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</si>
  <si>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</si>
  <si>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</si>
  <si>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</si>
  <si>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</si>
  <si>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</si>
  <si>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</si>
  <si>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</si>
  <si>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</si>
  <si>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</si>
  <si>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</si>
  <si>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</si>
  <si>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</si>
  <si>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</si>
  <si>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</si>
  <si>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</si>
  <si>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</si>
  <si>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</si>
  <si>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</si>
  <si>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</si>
  <si>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</si>
  <si>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</si>
  <si>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</si>
  <si>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</si>
  <si>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</si>
  <si>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</si>
  <si>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</si>
  <si>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</si>
  <si>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</si>
  <si>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</si>
  <si>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</si>
  <si>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</si>
  <si>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</si>
  <si>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</si>
  <si>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</si>
  <si>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</si>
  <si>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</si>
  <si>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</si>
  <si>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</si>
  <si>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</si>
  <si>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</si>
  <si>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</si>
  <si>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</si>
  <si>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</si>
  <si>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</si>
  <si>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</si>
  <si>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</si>
  <si>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</si>
  <si>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</si>
  <si>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</si>
  <si>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</si>
  <si>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</si>
  <si>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</si>
  <si>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</si>
  <si>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</si>
  <si>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</si>
  <si>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</si>
  <si>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</si>
  <si>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</si>
  <si>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</si>
  <si>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</si>
  <si>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</si>
  <si>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</si>
  <si>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</si>
  <si>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</si>
  <si>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</si>
  <si>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</si>
  <si>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</si>
  <si>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</si>
  <si>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</si>
  <si>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</si>
  <si>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</si>
  <si>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</si>
  <si>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</si>
  <si>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</si>
  <si>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</si>
  <si>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</si>
  <si>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</si>
  <si>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</si>
  <si>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</si>
  <si>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</si>
  <si>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</si>
  <si>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</si>
  <si>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</si>
  <si>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</si>
  <si>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</si>
  <si>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</si>
  <si>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</si>
  <si>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</si>
  <si>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</si>
  <si>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</si>
  <si>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</si>
  <si>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</si>
  <si>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</si>
  <si>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</si>
  <si>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</si>
  <si>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</si>
  <si>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</si>
  <si>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</si>
  <si>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</si>
  <si>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</si>
  <si>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</si>
  <si>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</si>
  <si>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</si>
  <si>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</si>
  <si>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</si>
  <si>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</si>
  <si>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</si>
  <si>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</si>
  <si>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</si>
  <si>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</si>
  <si>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</si>
  <si>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</si>
  <si>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</si>
  <si>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</si>
  <si>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</si>
  <si>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</si>
  <si>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</si>
  <si>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</si>
  <si>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</si>
  <si>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</si>
  <si>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</si>
  <si>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</si>
  <si>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</si>
  <si>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</si>
  <si>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</si>
  <si>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</si>
  <si>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</si>
  <si>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</si>
  <si>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</si>
  <si>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</si>
  <si>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</si>
  <si>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</si>
  <si>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</si>
  <si>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</si>
  <si>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</si>
  <si>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</si>
  <si>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</si>
  <si>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</si>
  <si>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</si>
  <si>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</si>
  <si>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</si>
  <si>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</si>
  <si>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</si>
  <si>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</si>
  <si>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</si>
  <si>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</si>
  <si>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</si>
  <si>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</si>
  <si>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</si>
  <si>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</si>
  <si>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</si>
  <si>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</si>
  <si>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</si>
  <si>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</si>
  <si>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</si>
  <si>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</si>
  <si>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</si>
  <si>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</si>
  <si>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</si>
  <si>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</si>
  <si>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</si>
  <si>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</si>
  <si>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</si>
  <si>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</si>
  <si>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</si>
  <si>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</si>
  <si>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</si>
  <si>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</si>
  <si>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</si>
  <si>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</si>
  <si>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</si>
  <si>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</si>
  <si>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</si>
  <si>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</si>
  <si>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</si>
  <si>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</si>
  <si>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</si>
  <si>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</si>
  <si>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</si>
  <si>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</si>
  <si>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</si>
  <si>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</si>
  <si>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</si>
  <si>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</si>
  <si>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</si>
  <si>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</si>
  <si>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</si>
  <si>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</si>
  <si>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</si>
  <si>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</si>
  <si>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</si>
  <si>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</si>
  <si>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</si>
  <si>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</si>
  <si>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</si>
  <si>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</si>
  <si>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</si>
  <si>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</si>
  <si>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</si>
  <si>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</si>
  <si>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</si>
  <si>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</si>
  <si>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</si>
  <si>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</si>
  <si>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</si>
  <si>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</si>
  <si>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</si>
  <si>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</si>
  <si>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</si>
  <si>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</si>
  <si>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</si>
  <si>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</si>
  <si>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</si>
  <si>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</si>
  <si>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</si>
  <si>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</si>
  <si>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</si>
  <si>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</si>
  <si>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</si>
  <si>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</si>
  <si>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</si>
  <si>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</si>
  <si>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</si>
  <si>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</si>
  <si>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</si>
  <si>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</si>
  <si>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</si>
  <si>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</si>
  <si>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</si>
  <si>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</si>
  <si>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</si>
  <si>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</si>
  <si>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</si>
  <si>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</si>
  <si>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</si>
  <si>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</si>
  <si>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</si>
  <si>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</si>
  <si>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</si>
  <si>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</si>
  <si>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</si>
  <si>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</si>
  <si>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</si>
  <si>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</si>
  <si>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</si>
  <si>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</si>
  <si>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</si>
  <si>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</si>
  <si>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</si>
  <si>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</si>
  <si>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</si>
  <si>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</si>
  <si>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</si>
  <si>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</si>
  <si>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</si>
  <si>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</si>
  <si>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</si>
  <si>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</si>
  <si>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</si>
  <si>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</si>
  <si>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</si>
  <si>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</si>
  <si>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</si>
  <si>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</si>
  <si>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</si>
  <si>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</si>
  <si>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</si>
  <si>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</si>
  <si>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</si>
  <si>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</si>
  <si>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</si>
  <si>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</si>
  <si>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</si>
  <si>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</si>
  <si>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</si>
  <si>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</si>
  <si>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</si>
  <si>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</si>
  <si>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</si>
  <si>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</si>
  <si>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</si>
  <si>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</si>
  <si>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</si>
  <si>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</si>
  <si>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</si>
  <si>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</si>
  <si>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</si>
  <si>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</si>
  <si>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</si>
  <si>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</si>
  <si>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</si>
  <si>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</si>
  <si>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</si>
  <si>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</si>
  <si>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</si>
  <si>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</si>
  <si>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</si>
  <si>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</si>
  <si>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</si>
  <si>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</si>
  <si>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</si>
  <si>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</si>
  <si>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</si>
  <si>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</si>
  <si>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</si>
  <si>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</si>
  <si>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</si>
  <si>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</si>
  <si>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</si>
  <si>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</si>
  <si>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</si>
  <si>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</si>
  <si>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</si>
  <si>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</si>
  <si>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</si>
  <si>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</si>
  <si>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</si>
  <si>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</si>
  <si>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</si>
  <si>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</si>
  <si>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</si>
  <si>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</si>
  <si>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</si>
  <si>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</si>
  <si>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</si>
  <si>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</si>
  <si>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</si>
  <si>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</si>
  <si>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</si>
  <si>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</si>
  <si>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</si>
  <si>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</si>
  <si>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</si>
  <si>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</si>
  <si>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</si>
  <si>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</si>
  <si>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</si>
  <si>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</si>
  <si>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</si>
  <si>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</si>
  <si>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</si>
  <si>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</si>
  <si>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</si>
  <si>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</si>
  <si>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</si>
  <si>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</si>
  <si>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</si>
  <si>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</si>
  <si>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</si>
  <si>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</si>
  <si>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</si>
  <si>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</si>
  <si>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</si>
  <si>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</si>
  <si>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</si>
  <si>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</si>
  <si>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</si>
  <si>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</si>
  <si>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</si>
  <si>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</si>
  <si>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</si>
  <si>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</si>
  <si>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</si>
  <si>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</si>
  <si>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</si>
  <si>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</si>
  <si>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</si>
  <si>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</si>
  <si>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</si>
  <si>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</si>
  <si>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</si>
  <si>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</si>
  <si>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</si>
  <si>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</si>
  <si>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</si>
  <si>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</si>
  <si>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</si>
  <si>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</si>
  <si>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</si>
  <si>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</si>
  <si>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</si>
  <si>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</si>
  <si>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</si>
  <si>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</si>
  <si>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</si>
  <si>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</si>
  <si>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</si>
  <si>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</si>
  <si>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</si>
  <si>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</si>
  <si>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</si>
  <si>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</si>
  <si>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</si>
  <si>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</si>
  <si>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</si>
  <si>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</si>
  <si>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</si>
  <si>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</si>
  <si>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</si>
  <si>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</si>
  <si>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</si>
  <si>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</si>
  <si>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</si>
  <si>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</si>
  <si>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</si>
  <si>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</si>
  <si>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</si>
  <si>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</si>
  <si>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</si>
  <si>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</si>
  <si>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</si>
  <si>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</si>
  <si>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</si>
  <si>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</si>
  <si>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</si>
  <si>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</si>
  <si>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</si>
  <si>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</si>
  <si>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</si>
  <si>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</si>
  <si>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</si>
  <si>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</si>
  <si>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</si>
  <si>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</si>
  <si>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</si>
  <si>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</si>
  <si>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</si>
  <si>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</si>
  <si>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</si>
  <si>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</si>
  <si>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</si>
  <si>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</si>
  <si>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</si>
  <si>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</si>
  <si>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</si>
  <si>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</si>
  <si>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</si>
  <si>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</si>
  <si>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</si>
  <si>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</si>
  <si>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</si>
  <si>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</si>
  <si>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</si>
  <si>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</si>
  <si>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</si>
  <si>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</si>
  <si>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</si>
  <si>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</si>
  <si>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</si>
  <si>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</si>
  <si>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</si>
  <si>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</si>
  <si>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</si>
  <si>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</si>
  <si>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</si>
  <si>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</si>
  <si>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</si>
  <si>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</si>
  <si>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</si>
  <si>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</si>
  <si>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</si>
  <si>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</si>
  <si>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</si>
  <si>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</si>
  <si>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</si>
  <si>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</si>
  <si>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</si>
  <si>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</si>
  <si>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</si>
  <si>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</si>
  <si>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</si>
  <si>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</si>
  <si>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</si>
  <si>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</si>
  <si>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</si>
  <si>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</si>
  <si>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</si>
  <si>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</si>
  <si>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</si>
  <si>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</si>
  <si>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</si>
  <si>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</si>
  <si>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</si>
  <si>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</si>
  <si>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</si>
  <si>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</si>
  <si>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</si>
  <si>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</si>
  <si>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</si>
  <si>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</si>
  <si>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</si>
  <si>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</si>
  <si>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</si>
  <si>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</si>
  <si>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</si>
  <si>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</si>
  <si>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</si>
  <si>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</si>
  <si>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</si>
  <si>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</si>
  <si>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</si>
  <si>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</si>
  <si>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</si>
  <si>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</si>
  <si>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</si>
  <si>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</si>
  <si>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</si>
  <si>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</si>
  <si>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</si>
  <si>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</si>
  <si>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</si>
  <si>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</si>
  <si>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</si>
  <si>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</si>
  <si>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</si>
  <si>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</si>
  <si>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</si>
  <si>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</si>
  <si>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</si>
  <si>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</si>
  <si>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</si>
  <si>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</si>
  <si>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</si>
  <si>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</si>
  <si>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</si>
  <si>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</si>
  <si>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</si>
  <si>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</si>
  <si>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</si>
  <si>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</si>
  <si>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</si>
  <si>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</si>
  <si>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</si>
  <si>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</si>
  <si>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</si>
  <si>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</si>
  <si>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</si>
  <si>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</si>
  <si>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</si>
  <si>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</si>
  <si>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</si>
  <si>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</si>
  <si>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</si>
  <si>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</si>
  <si>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</si>
  <si>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</si>
  <si>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</si>
  <si>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</si>
  <si>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</si>
  <si>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</si>
  <si>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</si>
  <si>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</si>
  <si>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</si>
  <si>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</si>
  <si>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</si>
  <si>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</si>
  <si>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</si>
  <si>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</si>
  <si>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</si>
  <si>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</si>
  <si>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</si>
  <si>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</si>
  <si>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</si>
  <si>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</si>
  <si>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</si>
  <si>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</si>
  <si>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</si>
  <si>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</si>
  <si>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</si>
  <si>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</si>
  <si>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</si>
  <si>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</si>
  <si>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</si>
  <si>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</si>
  <si>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</si>
  <si>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</si>
  <si>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</si>
  <si>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</si>
  <si>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</si>
  <si>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</si>
  <si>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</si>
  <si>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</si>
  <si>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</si>
  <si>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</si>
  <si>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</si>
  <si>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</si>
  <si>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</si>
  <si>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</si>
  <si>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</si>
  <si>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</si>
  <si>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</si>
  <si>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</si>
  <si>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</si>
  <si>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</si>
  <si>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</si>
  <si>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</si>
  <si>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</si>
  <si>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</si>
  <si>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</si>
  <si>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</si>
  <si>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</si>
  <si>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</si>
  <si>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</si>
  <si>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</si>
  <si>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</si>
  <si>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</si>
  <si>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</si>
  <si>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</si>
  <si>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</si>
  <si>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</si>
  <si>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</si>
  <si>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</si>
  <si>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</si>
  <si>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</si>
  <si>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</si>
  <si>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</si>
  <si>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</si>
  <si>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</si>
  <si>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</si>
  <si>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</si>
  <si>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</si>
  <si>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</si>
  <si>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</si>
  <si>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</si>
  <si>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</si>
  <si>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</si>
  <si>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</si>
  <si>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</si>
  <si>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</si>
  <si>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</si>
  <si>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</si>
  <si>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</si>
  <si>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</si>
  <si>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</si>
  <si>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</si>
  <si>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</si>
  <si>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</si>
  <si>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</si>
  <si>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</si>
  <si>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</si>
  <si>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</si>
  <si>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</si>
  <si>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</si>
  <si>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</si>
  <si>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</si>
  <si>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</si>
  <si>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</si>
  <si>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</si>
  <si>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</si>
  <si>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</si>
  <si>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</si>
  <si>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</si>
  <si>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</si>
  <si>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</si>
  <si>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</si>
  <si>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</si>
  <si>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</si>
  <si>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</si>
  <si>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</si>
  <si>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</si>
  <si>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</si>
  <si>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</si>
  <si>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</si>
  <si>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</si>
  <si>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</si>
  <si>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</si>
  <si>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</si>
  <si>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</si>
  <si>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</si>
  <si>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</si>
  <si>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</si>
  <si>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</si>
  <si>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</si>
  <si>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</si>
  <si>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</si>
  <si>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</si>
  <si>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</si>
  <si>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</si>
  <si>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</si>
  <si>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</si>
  <si>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</si>
  <si>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</si>
  <si>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</si>
  <si>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</si>
  <si>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</si>
  <si>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</si>
  <si>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</si>
  <si>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</si>
  <si>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</si>
  <si>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</si>
  <si>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</si>
  <si>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</si>
  <si>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</si>
  <si>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</si>
  <si>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</si>
  <si>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</si>
  <si>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</si>
  <si>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</si>
  <si>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</si>
  <si>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</si>
  <si>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</si>
  <si>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</si>
  <si>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</si>
  <si>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</si>
  <si>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</si>
  <si>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</si>
  <si>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</si>
  <si>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</si>
  <si>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</si>
  <si>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</si>
  <si>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</si>
  <si>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</si>
  <si>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</si>
  <si>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</si>
  <si>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</si>
  <si>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</si>
  <si>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</si>
  <si>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</si>
  <si>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</si>
  <si>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</si>
  <si>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</si>
  <si>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</si>
  <si>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</si>
  <si>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</si>
  <si>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</si>
  <si>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</si>
  <si>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</si>
  <si>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</si>
  <si>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</si>
  <si>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</si>
  <si>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</si>
  <si>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</si>
  <si>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</si>
  <si>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</si>
  <si>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</si>
  <si>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</si>
  <si>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</si>
  <si>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</si>
  <si>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</si>
  <si>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</si>
  <si>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</si>
  <si>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</si>
  <si>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</si>
  <si>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</si>
  <si>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</si>
  <si>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</si>
  <si>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</si>
  <si>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</si>
  <si>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</si>
  <si>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</si>
  <si>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</si>
  <si>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</si>
  <si>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</si>
  <si>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</si>
  <si>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</si>
  <si>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</si>
  <si>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</si>
  <si>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</si>
  <si>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</si>
  <si>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</si>
  <si>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</si>
  <si>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</si>
  <si>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</si>
  <si>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</si>
  <si>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</si>
  <si>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</si>
  <si>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</si>
  <si>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</si>
  <si>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</si>
  <si>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</si>
  <si>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</si>
  <si>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</si>
  <si>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</si>
  <si>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</si>
  <si>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</si>
  <si>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</si>
  <si>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</si>
  <si>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</si>
  <si>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</si>
  <si>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</si>
  <si>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</si>
  <si>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</si>
  <si>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</si>
  <si>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</si>
  <si>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</si>
  <si>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</si>
  <si>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</si>
  <si>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</si>
  <si>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</si>
  <si>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</si>
  <si>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</si>
  <si>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</si>
  <si>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</si>
  <si>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</si>
  <si>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</si>
  <si>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</si>
  <si>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</si>
  <si>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</si>
  <si>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</si>
  <si>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</si>
  <si>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</si>
  <si>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</si>
  <si>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</si>
  <si>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</si>
  <si>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</si>
  <si>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</si>
  <si>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</si>
  <si>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</si>
  <si>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</si>
  <si>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</si>
  <si>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</si>
  <si>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</si>
  <si>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</si>
  <si>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</si>
  <si>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</si>
  <si>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</si>
  <si>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</si>
  <si>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</si>
  <si>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</si>
  <si>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</si>
  <si>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</si>
  <si>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</si>
  <si>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</si>
  <si>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</si>
  <si>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</si>
  <si>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</si>
  <si>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</si>
  <si>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</si>
  <si>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</si>
  <si>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</si>
  <si>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</si>
  <si>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</si>
  <si>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</si>
  <si>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</si>
  <si>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</si>
  <si>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</si>
  <si>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</si>
  <si>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</si>
  <si>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</si>
  <si>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</si>
  <si>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</si>
  <si>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</si>
  <si>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</si>
  <si>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</si>
  <si>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</si>
  <si>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</si>
  <si>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</si>
  <si>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</si>
  <si>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</si>
  <si>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</si>
  <si>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</si>
  <si>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</si>
  <si>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</si>
  <si>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</si>
  <si>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</si>
  <si>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</si>
  <si>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</si>
  <si>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</si>
  <si>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</si>
  <si>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</si>
  <si>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</si>
  <si>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</si>
  <si>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</si>
  <si>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</si>
  <si>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</si>
  <si>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</si>
  <si>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</si>
  <si>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</si>
  <si>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</si>
  <si>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</si>
  <si>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</si>
  <si>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</si>
  <si>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</si>
  <si>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</si>
  <si>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</si>
  <si>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</si>
  <si>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</si>
  <si>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</si>
  <si>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</si>
  <si>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</si>
  <si>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</si>
  <si>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</si>
  <si>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</si>
  <si>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</si>
  <si>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</si>
  <si>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</si>
  <si>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</si>
  <si>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</si>
  <si>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</si>
  <si>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</si>
  <si>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</si>
  <si>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</si>
  <si>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</si>
  <si>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</si>
  <si>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</si>
  <si>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</si>
  <si>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</si>
  <si>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</si>
  <si>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</si>
  <si>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</si>
  <si>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</si>
  <si>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</si>
  <si>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</si>
  <si>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</si>
  <si>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</si>
  <si>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</si>
  <si>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</si>
  <si>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</si>
  <si>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</si>
  <si>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</si>
  <si>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</si>
  <si>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</si>
  <si>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</si>
  <si>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</si>
  <si>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</si>
  <si>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</si>
  <si>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</si>
  <si>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</si>
  <si>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</si>
  <si>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</si>
  <si>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</si>
  <si>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</si>
  <si>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</si>
  <si>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</si>
  <si>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</si>
  <si>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</si>
  <si>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</si>
  <si>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</si>
  <si>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</si>
  <si>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</si>
  <si>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</si>
  <si>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</si>
  <si>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</si>
  <si>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</si>
  <si>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</si>
  <si>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</si>
  <si>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</si>
  <si>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</si>
  <si>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</si>
  <si>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</si>
  <si>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</si>
  <si>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</si>
  <si>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</si>
  <si>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</si>
  <si>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</si>
  <si>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</si>
  <si>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</si>
  <si>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</si>
  <si>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</si>
  <si>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</si>
  <si>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</si>
  <si>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</si>
  <si>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</si>
  <si>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</si>
  <si>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</si>
  <si>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</si>
  <si>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</si>
  <si>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</si>
  <si>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</si>
  <si>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</si>
  <si>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</si>
  <si>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</si>
  <si>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</si>
  <si>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</si>
  <si>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</si>
  <si>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</si>
  <si>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</si>
  <si>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</si>
  <si>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</si>
  <si>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</si>
  <si>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</si>
  <si>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</si>
  <si>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</si>
  <si>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</si>
  <si>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</si>
  <si>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</si>
  <si>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</si>
  <si>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</si>
  <si>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</si>
  <si>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</si>
  <si>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</si>
  <si>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</si>
  <si>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</si>
  <si>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</si>
  <si>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</si>
  <si>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</si>
  <si>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</si>
  <si>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</si>
  <si>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</si>
  <si>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</si>
  <si>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</si>
  <si>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</si>
  <si>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</si>
  <si>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</si>
  <si>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</si>
  <si>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</si>
  <si>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</si>
  <si>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</si>
  <si>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</si>
  <si>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</si>
  <si>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</si>
  <si>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</si>
  <si>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</si>
  <si>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</si>
  <si>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</si>
  <si>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</si>
  <si>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</si>
  <si>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</si>
  <si>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</si>
  <si>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</si>
  <si>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</si>
  <si>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</si>
  <si>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</si>
  <si>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</si>
  <si>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</si>
  <si>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</si>
  <si>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</si>
  <si>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</si>
  <si>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</si>
  <si>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</si>
  <si>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</si>
  <si>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</si>
  <si>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</si>
  <si>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</si>
  <si>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</si>
  <si>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</si>
  <si>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</si>
  <si>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</si>
  <si>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</si>
  <si>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</si>
  <si>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</si>
  <si>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</si>
  <si>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</si>
  <si>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</si>
  <si>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</si>
  <si>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</si>
  <si>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</si>
  <si>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</si>
  <si>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</si>
  <si>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</si>
  <si>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</si>
  <si>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</si>
  <si>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</si>
  <si>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</si>
  <si>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</si>
  <si>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</si>
  <si>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</si>
  <si>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</si>
  <si>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</si>
  <si>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</si>
  <si>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</si>
  <si>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</si>
  <si>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</si>
  <si>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</si>
  <si>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</si>
  <si>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</si>
  <si>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</si>
  <si>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</si>
  <si>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</si>
  <si>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</si>
  <si>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</si>
  <si>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</si>
  <si>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</si>
  <si>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</si>
  <si>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</si>
  <si>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</si>
  <si>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</si>
  <si>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</si>
  <si>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</si>
  <si>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</si>
  <si>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</si>
  <si>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</si>
  <si>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</si>
  <si>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</si>
  <si>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</si>
  <si>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</si>
  <si>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</si>
  <si>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</si>
  <si>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</si>
  <si>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</si>
  <si>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</si>
  <si>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</si>
  <si>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</si>
  <si>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</si>
  <si>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</si>
  <si>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</si>
  <si>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</si>
  <si>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</si>
  <si>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</si>
  <si>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</si>
  <si>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</si>
  <si>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</si>
  <si>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</si>
  <si>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</si>
  <si>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</si>
  <si>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</si>
  <si>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</si>
  <si>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</si>
  <si>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</si>
  <si>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</si>
  <si>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</si>
  <si>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</si>
  <si>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</si>
  <si>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</si>
  <si>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</si>
  <si>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</si>
  <si>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</si>
  <si>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</si>
  <si>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</si>
  <si>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</si>
  <si>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</si>
  <si>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</si>
  <si>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</si>
  <si>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</si>
  <si>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</si>
  <si>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</si>
  <si>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</si>
  <si>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</si>
  <si>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</si>
  <si>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</si>
  <si>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</si>
  <si>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</si>
  <si>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</si>
  <si>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</si>
  <si>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</si>
  <si>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</si>
  <si>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</si>
  <si>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</si>
  <si>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</si>
  <si>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</si>
  <si>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</si>
  <si>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</si>
  <si>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</si>
  <si>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</si>
  <si>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</si>
  <si>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</si>
  <si>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</si>
  <si>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</si>
  <si>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</si>
  <si>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</si>
  <si>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</si>
  <si>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</si>
  <si>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</si>
  <si>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</si>
  <si>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</si>
  <si>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</si>
  <si>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</si>
  <si>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</si>
  <si>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</si>
  <si>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</si>
  <si>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</si>
  <si>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</si>
  <si>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</si>
  <si>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</si>
  <si>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</si>
  <si>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</si>
  <si>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</si>
  <si>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</si>
  <si>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</si>
  <si>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</si>
  <si>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</si>
  <si>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</si>
  <si>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</si>
  <si>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</si>
  <si>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</si>
  <si>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</si>
  <si>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</si>
  <si>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</si>
  <si>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</si>
  <si>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</si>
  <si>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</si>
  <si>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</si>
  <si>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</si>
  <si>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</si>
  <si>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</si>
  <si>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</si>
  <si>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</si>
  <si>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</si>
  <si>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</si>
  <si>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</si>
  <si>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</si>
  <si>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</si>
  <si>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</si>
  <si>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</si>
  <si>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</si>
  <si>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</si>
  <si>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</si>
  <si>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</si>
  <si>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</si>
  <si>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</si>
  <si>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</si>
  <si>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</si>
  <si>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</si>
  <si>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</si>
  <si>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</si>
  <si>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</si>
  <si>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</si>
  <si>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</si>
  <si>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</si>
  <si>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</si>
  <si>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</si>
  <si>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</si>
  <si>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</si>
  <si>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</si>
  <si>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</si>
  <si>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</si>
  <si>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</si>
  <si>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</si>
  <si>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</si>
  <si>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</si>
  <si>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</si>
  <si>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</si>
  <si>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</si>
  <si>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</si>
  <si>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</si>
  <si>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</si>
  <si>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</si>
  <si>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</si>
  <si>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</si>
  <si>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</si>
  <si>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</si>
  <si>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</si>
  <si>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</si>
  <si>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</si>
  <si>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</si>
  <si>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</si>
  <si>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</si>
  <si>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</si>
  <si>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</si>
  <si>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</si>
  <si>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</si>
  <si>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</si>
  <si>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</si>
  <si>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</si>
  <si>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</si>
  <si>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</si>
  <si>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</si>
  <si>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</si>
  <si>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</si>
  <si>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</si>
  <si>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</si>
  <si>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</si>
  <si>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</si>
  <si>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</si>
  <si>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</si>
  <si>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</si>
  <si>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</si>
  <si>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</si>
  <si>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</si>
  <si>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</si>
  <si>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</si>
  <si>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</si>
  <si>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</si>
  <si>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</si>
  <si>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</si>
  <si>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</si>
  <si>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</si>
  <si>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</si>
  <si>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</si>
  <si>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</si>
  <si>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</si>
  <si>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</si>
  <si>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</si>
  <si>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</si>
  <si>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</si>
  <si>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</si>
  <si>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</si>
  <si>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</si>
  <si>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</si>
  <si>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</si>
  <si>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</si>
  <si>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</si>
  <si>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</si>
  <si>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</si>
  <si>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</si>
  <si>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</si>
  <si>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</si>
  <si>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</si>
  <si>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</si>
  <si>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</si>
  <si>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</si>
  <si>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</si>
  <si>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</si>
  <si>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</si>
  <si>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</si>
  <si>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</si>
  <si>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</si>
  <si>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</si>
  <si>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</si>
  <si>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</si>
  <si>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</si>
  <si>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</si>
  <si>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</si>
  <si>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</si>
  <si>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</si>
  <si>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</si>
  <si>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</si>
  <si>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</si>
  <si>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</si>
  <si>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</si>
  <si>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</si>
  <si>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</si>
  <si>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</si>
  <si>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</si>
  <si>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</si>
  <si>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</si>
  <si>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</si>
  <si>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</si>
  <si>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</si>
  <si>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</si>
  <si>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</si>
  <si>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</si>
  <si>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</si>
  <si>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</si>
  <si>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</si>
  <si>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</si>
  <si>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</si>
  <si>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</si>
  <si>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</si>
  <si>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</si>
  <si>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</si>
  <si>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</si>
  <si>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</si>
  <si>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</si>
  <si>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</si>
  <si>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</si>
  <si>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</si>
  <si>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</si>
  <si>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</si>
  <si>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</si>
  <si>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</si>
  <si>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</si>
  <si>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</si>
  <si>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</si>
  <si>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</si>
  <si>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</si>
  <si>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</si>
  <si>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</si>
  <si>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</si>
  <si>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</si>
  <si>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</si>
  <si>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</si>
  <si>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</si>
  <si>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</si>
  <si>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</si>
  <si>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</si>
  <si>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</si>
  <si>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</si>
  <si>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</si>
  <si>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</si>
  <si>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</si>
  <si>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</si>
  <si>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</si>
  <si>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</si>
  <si>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</si>
  <si>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</si>
  <si>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</si>
  <si>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</si>
  <si>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</si>
  <si>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</si>
  <si>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</si>
  <si>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</si>
  <si>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</si>
  <si>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</si>
  <si>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</si>
  <si>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</si>
  <si>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</si>
  <si>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</si>
  <si>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</si>
  <si>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</si>
  <si>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</si>
  <si>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</si>
  <si>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</si>
  <si>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</si>
  <si>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</si>
  <si>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</si>
  <si>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</si>
  <si>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</si>
  <si>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</si>
  <si>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</si>
  <si>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</si>
  <si>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</si>
  <si>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</si>
  <si>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</si>
  <si>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</si>
  <si>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</si>
  <si>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</si>
  <si>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</si>
  <si>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</si>
  <si>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</si>
  <si>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</si>
  <si>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</si>
  <si>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</si>
  <si>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</si>
  <si>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</si>
  <si>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</si>
  <si>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</si>
  <si>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</si>
  <si>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</si>
  <si>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</si>
  <si>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</si>
  <si>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</si>
  <si>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</si>
  <si>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</si>
  <si>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</si>
  <si>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</si>
  <si>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</si>
  <si>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</si>
  <si>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</si>
  <si>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</si>
  <si>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</si>
  <si>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</si>
  <si>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</si>
  <si>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</si>
  <si>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</si>
  <si>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</si>
  <si>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</si>
  <si>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</si>
  <si>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</si>
  <si>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</si>
  <si>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</si>
  <si>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</si>
  <si>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</si>
  <si>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</si>
  <si>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</si>
  <si>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</si>
  <si>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</si>
  <si>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</si>
  <si>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</si>
  <si>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</si>
  <si>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</si>
  <si>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</si>
  <si>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</si>
  <si>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</si>
  <si>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</si>
  <si>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</si>
  <si>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</si>
  <si>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</si>
  <si>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</si>
  <si>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</si>
  <si>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</si>
  <si>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</si>
  <si>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</si>
  <si>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</si>
  <si>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</si>
  <si>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</si>
  <si>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</si>
  <si>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</si>
  <si>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</si>
  <si>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</si>
  <si>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</si>
  <si>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</si>
  <si>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</si>
  <si>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</si>
  <si>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</si>
  <si>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</si>
  <si>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</si>
  <si>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</si>
  <si>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</si>
  <si>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</si>
  <si>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</si>
  <si>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</si>
  <si>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</si>
  <si>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</si>
  <si>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</si>
  <si>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</si>
  <si>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</si>
  <si>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</si>
  <si>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</si>
  <si>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</si>
  <si>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</si>
  <si>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</si>
  <si>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</si>
  <si>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</si>
  <si>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</si>
  <si>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</si>
  <si>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</si>
  <si>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</si>
  <si>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</si>
  <si>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</si>
  <si>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</si>
  <si>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</si>
  <si>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</si>
  <si>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</si>
  <si>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</si>
  <si>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</si>
  <si>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</si>
  <si>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</si>
  <si>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</si>
  <si>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</si>
  <si>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</si>
  <si>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</si>
  <si>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</si>
  <si>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</si>
  <si>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</si>
  <si>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</si>
  <si>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</si>
  <si>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</si>
  <si>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</si>
  <si>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</si>
  <si>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</si>
  <si>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</si>
  <si>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</si>
  <si>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</si>
  <si>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</si>
  <si>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</si>
  <si>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</si>
  <si>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</si>
  <si>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</si>
  <si>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</si>
  <si>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</si>
  <si>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</si>
  <si>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</si>
  <si>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</si>
  <si>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</si>
  <si>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</si>
  <si>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</si>
  <si>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</si>
  <si>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</si>
  <si>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</si>
  <si>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</si>
  <si>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</si>
  <si>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</si>
  <si>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</si>
  <si>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</si>
  <si>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</si>
  <si>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</si>
  <si>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</si>
  <si>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</si>
  <si>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</si>
  <si>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</si>
  <si>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</si>
  <si>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</si>
  <si>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</si>
  <si>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</si>
  <si>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</si>
  <si>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</si>
  <si>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</si>
  <si>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</si>
  <si>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</si>
  <si>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</si>
  <si>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</si>
  <si>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</si>
  <si>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</si>
  <si>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</si>
  <si>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</si>
  <si>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</si>
  <si>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</si>
  <si>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</si>
  <si>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</si>
  <si>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</si>
  <si>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</si>
  <si>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</si>
  <si>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</si>
  <si>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</si>
  <si>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</si>
  <si>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</si>
  <si>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</si>
  <si>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</si>
  <si>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</si>
  <si>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</si>
  <si>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</si>
  <si>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</si>
  <si>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</si>
  <si>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</si>
  <si>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</si>
  <si>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</si>
  <si>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</si>
  <si>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</si>
  <si>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</si>
  <si>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</si>
  <si>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</si>
  <si>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</si>
  <si>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</si>
  <si>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</si>
  <si>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</si>
  <si>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</si>
  <si>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</si>
  <si>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</si>
  <si>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</si>
  <si>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</si>
  <si>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</si>
  <si>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</si>
  <si>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</si>
  <si>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</si>
  <si>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</si>
  <si>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</si>
  <si>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</si>
  <si>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</si>
  <si>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</si>
  <si>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</si>
  <si>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</si>
  <si>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</si>
  <si>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</si>
  <si>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</si>
  <si>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</si>
  <si>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</si>
  <si>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</si>
  <si>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</si>
  <si>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</si>
  <si>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</si>
  <si>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</si>
  <si>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</si>
  <si>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</si>
  <si>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</si>
  <si>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</si>
  <si>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</si>
  <si>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</si>
  <si>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</si>
  <si>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</si>
  <si>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</si>
  <si>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</si>
  <si>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</si>
  <si>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</si>
  <si>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</si>
  <si>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</si>
  <si>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</si>
  <si>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</si>
  <si>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</si>
  <si>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</si>
  <si>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</si>
  <si>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</si>
  <si>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</si>
  <si>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</si>
  <si>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</si>
  <si>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</si>
  <si>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</si>
  <si>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</si>
  <si>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</si>
  <si>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</si>
  <si>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</si>
  <si>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</si>
  <si>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</si>
  <si>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</si>
  <si>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</si>
  <si>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</si>
  <si>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</si>
  <si>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</si>
  <si>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</si>
  <si>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</si>
  <si>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</si>
  <si>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</si>
  <si>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</si>
  <si>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</si>
  <si>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</si>
  <si>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</si>
  <si>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</si>
  <si>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</si>
  <si>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</si>
  <si>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</si>
  <si>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</si>
  <si>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</si>
  <si>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</si>
  <si>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</si>
  <si>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</si>
  <si>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</si>
  <si>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</si>
  <si>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</si>
  <si>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</si>
  <si>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</si>
  <si>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</si>
  <si>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</si>
  <si>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</si>
  <si>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</si>
  <si>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</si>
  <si>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</si>
  <si>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</si>
  <si>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</si>
  <si>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</si>
  <si>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</si>
  <si>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</si>
  <si>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</si>
  <si>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</si>
  <si>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</si>
  <si>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</si>
  <si>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</si>
  <si>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</si>
  <si>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</si>
  <si>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</si>
  <si>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</si>
  <si>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</si>
  <si>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</si>
  <si>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</si>
  <si>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</si>
  <si>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</si>
  <si>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</si>
  <si>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</si>
  <si>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</si>
  <si>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</si>
  <si>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</si>
  <si>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</si>
  <si>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</si>
  <si>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</si>
  <si>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</si>
  <si>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</si>
  <si>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</si>
  <si>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</si>
  <si>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</si>
  <si>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</si>
  <si>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</si>
  <si>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</si>
  <si>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</si>
  <si>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</si>
  <si>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</si>
  <si>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</si>
  <si>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</si>
  <si>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</si>
  <si>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</si>
  <si>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</si>
  <si>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</si>
  <si>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</si>
  <si>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</si>
  <si>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</si>
  <si>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</si>
  <si>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</si>
  <si>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</si>
  <si>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</si>
  <si>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</si>
  <si>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</si>
  <si>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</si>
  <si>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</si>
  <si>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</si>
  <si>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</si>
  <si>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</si>
  <si>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</si>
  <si>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</si>
  <si>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</si>
  <si>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</si>
  <si>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</si>
  <si>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</si>
  <si>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</si>
  <si>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</si>
  <si>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</si>
  <si>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</si>
  <si>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</si>
  <si>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</si>
  <si>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</si>
  <si>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</si>
  <si>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</si>
  <si>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</si>
  <si>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</si>
  <si>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</si>
  <si>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</si>
  <si>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</si>
  <si>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</si>
  <si>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</si>
  <si>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</si>
  <si>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</si>
  <si>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</si>
  <si>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</si>
  <si>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</si>
  <si>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</si>
  <si>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</si>
  <si>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</si>
  <si>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</si>
  <si>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</si>
  <si>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</si>
  <si>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</si>
  <si>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</si>
  <si>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</si>
  <si>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</si>
  <si>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</si>
  <si>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</si>
  <si>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</si>
  <si>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</si>
  <si>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</si>
  <si>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</si>
  <si>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</si>
  <si>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</si>
  <si>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</si>
  <si>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</si>
  <si>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</si>
  <si>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</si>
  <si>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</si>
  <si>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</si>
  <si>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</si>
  <si>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</si>
  <si>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</si>
  <si>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</si>
  <si>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</si>
  <si>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</si>
  <si>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</si>
  <si>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</si>
  <si>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</si>
  <si>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</si>
  <si>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</si>
  <si>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</si>
  <si>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</si>
  <si>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</si>
  <si>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</si>
  <si>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</si>
  <si>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</si>
  <si>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</si>
  <si>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</si>
  <si>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</si>
  <si>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</si>
  <si>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</si>
  <si>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</si>
  <si>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</si>
  <si>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</si>
  <si>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</si>
  <si>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</si>
  <si>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</si>
  <si>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</si>
  <si>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</si>
  <si>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</si>
  <si>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</si>
  <si>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</si>
  <si>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</si>
  <si>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</si>
  <si>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</si>
  <si>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</si>
  <si>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</si>
  <si>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</si>
  <si>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</si>
  <si>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</si>
  <si>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</si>
  <si>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</si>
  <si>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</si>
  <si>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</si>
  <si>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</si>
  <si>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</si>
  <si>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</si>
  <si>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</si>
  <si>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</si>
  <si>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</si>
  <si>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</si>
  <si>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</si>
  <si>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</si>
  <si>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</si>
  <si>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</si>
  <si>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</si>
  <si>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</si>
  <si>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</si>
  <si>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</si>
  <si>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</si>
  <si>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</si>
  <si>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</si>
  <si>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</si>
  <si>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</si>
  <si>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</si>
  <si>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</si>
  <si>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</si>
  <si>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</si>
  <si>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</si>
  <si>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</si>
  <si>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</si>
  <si>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</si>
  <si>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</si>
  <si>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</si>
  <si>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</si>
  <si>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</si>
  <si>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</si>
  <si>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</si>
  <si>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</si>
  <si>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</si>
  <si>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</si>
  <si>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</si>
  <si>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</si>
  <si>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</si>
  <si>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</si>
  <si>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</si>
  <si>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</si>
  <si>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</si>
  <si>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</si>
  <si>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</si>
  <si>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</si>
  <si>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</si>
  <si>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</si>
  <si>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</si>
  <si>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</si>
  <si>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</si>
  <si>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</si>
  <si>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</si>
  <si>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</si>
  <si>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</si>
  <si>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</si>
  <si>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</si>
  <si>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</si>
  <si>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</si>
  <si>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</si>
  <si>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</si>
  <si>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</si>
  <si>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</si>
  <si>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</si>
  <si>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</si>
  <si>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</si>
  <si>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</si>
  <si>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</si>
  <si>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</si>
  <si>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</si>
  <si>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</si>
  <si>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</si>
  <si>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</si>
  <si>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</si>
  <si>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</si>
  <si>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</si>
  <si>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</si>
  <si>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</si>
  <si>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</si>
  <si>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</si>
  <si>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</si>
  <si>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</si>
  <si>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</si>
  <si>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</si>
  <si>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</si>
  <si>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</si>
  <si>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</si>
  <si>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</si>
  <si>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</si>
  <si>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</si>
  <si>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</si>
  <si>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</si>
  <si>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</si>
  <si>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</si>
  <si>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</si>
  <si>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</si>
  <si>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</si>
  <si>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</si>
  <si>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</si>
  <si>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</si>
  <si>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</si>
  <si>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</si>
  <si>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</si>
  <si>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</si>
  <si>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</si>
  <si>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</si>
  <si>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</si>
  <si>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</si>
  <si>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</si>
  <si>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</si>
  <si>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</si>
  <si>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</si>
  <si>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</si>
  <si>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</si>
  <si>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</si>
  <si>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</si>
  <si>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</si>
  <si>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</si>
  <si>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</si>
  <si>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</si>
  <si>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</si>
  <si>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</si>
  <si>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</si>
  <si>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</si>
  <si>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</si>
  <si>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</si>
  <si>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</si>
  <si>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</si>
  <si>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</si>
  <si>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</si>
  <si>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</si>
  <si>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</si>
  <si>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</si>
  <si>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</si>
  <si>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</si>
  <si>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</si>
  <si>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</si>
  <si>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</si>
  <si>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</si>
  <si>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</si>
  <si>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</si>
  <si>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</si>
  <si>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</si>
  <si>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</si>
  <si>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</si>
  <si>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</si>
  <si>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</si>
  <si>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</si>
  <si>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</si>
  <si>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</si>
  <si>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</si>
  <si>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</si>
  <si>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</si>
  <si>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</si>
  <si>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</si>
  <si>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</si>
  <si>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</si>
  <si>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</si>
  <si>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</si>
  <si>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</si>
  <si>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</si>
  <si>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</si>
  <si>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</si>
  <si>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</si>
  <si>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</si>
  <si>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</si>
  <si>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</si>
  <si>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</si>
  <si>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</si>
  <si>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</si>
  <si>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</si>
  <si>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</si>
  <si>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</si>
  <si>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</si>
  <si>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</si>
  <si>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</si>
  <si>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</si>
  <si>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</si>
  <si>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</si>
  <si>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</si>
  <si>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</si>
  <si>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</si>
  <si>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</si>
  <si>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</si>
  <si>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</si>
  <si>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</si>
  <si>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</si>
  <si>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</si>
  <si>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</si>
  <si>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</si>
  <si>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</si>
  <si>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</si>
  <si>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</si>
  <si>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</si>
  <si>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</si>
  <si>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</si>
  <si>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</si>
  <si>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</si>
  <si>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</si>
  <si>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</si>
  <si>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</si>
  <si>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</si>
  <si>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</si>
  <si>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</si>
  <si>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</si>
  <si>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</si>
  <si>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</si>
  <si>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</si>
  <si>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</si>
  <si>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</si>
  <si>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</si>
  <si>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</si>
  <si>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</si>
  <si>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</si>
  <si>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</si>
  <si>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</si>
  <si>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</si>
  <si>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</si>
  <si>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</si>
  <si>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</si>
  <si>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</si>
  <si>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</si>
  <si>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</si>
  <si>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</si>
  <si>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</si>
  <si>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</si>
  <si>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</si>
  <si>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</si>
  <si>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</si>
  <si>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</si>
  <si>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</si>
  <si>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</si>
  <si>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</si>
  <si>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</si>
  <si>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</si>
  <si>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</si>
  <si>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</si>
  <si>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</si>
  <si>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</si>
  <si>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</si>
  <si>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</si>
  <si>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</si>
  <si>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</si>
  <si>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</si>
  <si>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</si>
  <si>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</si>
  <si>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</si>
  <si>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</si>
  <si>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</si>
  <si>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</si>
  <si>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</si>
  <si>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</si>
  <si>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</si>
  <si>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</si>
  <si>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</si>
  <si>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</si>
  <si>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</si>
  <si>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</si>
  <si>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</si>
  <si>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</si>
  <si>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</si>
  <si>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</si>
  <si>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</si>
  <si>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</si>
  <si>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</si>
  <si>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</si>
  <si>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</si>
  <si>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</si>
  <si>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</si>
  <si>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</si>
  <si>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</si>
  <si>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</si>
  <si>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</si>
  <si>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</si>
  <si>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</si>
  <si>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</si>
  <si>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</si>
  <si>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</si>
  <si>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</si>
  <si>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</si>
  <si>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</si>
  <si>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</si>
  <si>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</si>
  <si>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</si>
  <si>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</si>
  <si>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</si>
  <si>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</si>
  <si>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</si>
  <si>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</si>
  <si>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</si>
  <si>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</si>
  <si>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</si>
  <si>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</si>
  <si>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</si>
  <si>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</si>
  <si>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</si>
  <si>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</si>
  <si>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</si>
  <si>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</si>
  <si>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</si>
  <si>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</si>
  <si>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</si>
  <si>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</si>
  <si>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</si>
  <si>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</si>
  <si>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</si>
  <si>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</si>
  <si>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</si>
  <si>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</si>
  <si>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</si>
  <si>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</si>
  <si>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</si>
  <si>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</si>
  <si>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</si>
  <si>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</si>
  <si>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</si>
  <si>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</si>
  <si>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</si>
  <si>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</si>
  <si>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</si>
  <si>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</si>
  <si>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</si>
  <si>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</si>
  <si>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</si>
  <si>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</si>
  <si>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</si>
  <si>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</si>
  <si>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</si>
  <si>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</si>
  <si>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</si>
  <si>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</si>
  <si>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</si>
  <si>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</si>
  <si>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</si>
  <si>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</si>
  <si>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</si>
  <si>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</si>
  <si>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</si>
  <si>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</si>
  <si>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</si>
  <si>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</si>
  <si>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</si>
  <si>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</si>
  <si>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</si>
  <si>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</si>
  <si>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</si>
  <si>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</si>
  <si>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</si>
  <si>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</si>
  <si>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</si>
  <si>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</si>
  <si>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</si>
  <si>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</si>
  <si>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</si>
  <si>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</si>
  <si>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</si>
  <si>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</si>
  <si>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</si>
  <si>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</si>
  <si>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</si>
  <si>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</si>
  <si>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</si>
  <si>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</si>
  <si>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</si>
  <si>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</si>
  <si>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</si>
  <si>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</si>
  <si>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</si>
  <si>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</si>
  <si>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</si>
  <si>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</si>
  <si>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</si>
  <si>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</si>
  <si>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</si>
  <si>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</si>
  <si>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</si>
  <si>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</si>
  <si>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</si>
  <si>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</si>
  <si>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</si>
  <si>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</si>
  <si>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</si>
  <si>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</si>
  <si>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</si>
  <si>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</si>
  <si>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</si>
  <si>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</si>
  <si>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</si>
  <si>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</si>
  <si>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</si>
  <si>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</si>
  <si>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</si>
  <si>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</si>
  <si>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</si>
  <si>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</si>
  <si>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</si>
  <si>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</si>
  <si>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</si>
  <si>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</si>
  <si>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</si>
  <si>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</si>
  <si>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</si>
  <si>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</si>
  <si>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</si>
  <si>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</si>
  <si>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</si>
  <si>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</si>
  <si>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</si>
  <si>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</si>
  <si>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</si>
  <si>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</si>
  <si>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</si>
  <si>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</si>
  <si>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</si>
  <si>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</si>
  <si>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</si>
  <si>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</si>
  <si>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</si>
  <si>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</si>
  <si>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</si>
  <si>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</si>
  <si>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</si>
  <si>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</si>
  <si>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</si>
  <si>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</si>
  <si>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</si>
  <si>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</si>
  <si>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</si>
  <si>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</si>
  <si>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</si>
  <si>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</si>
  <si>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</si>
  <si>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</si>
  <si>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</si>
  <si>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</si>
  <si>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</si>
  <si>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</si>
  <si>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</si>
  <si>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</si>
  <si>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</si>
  <si>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</si>
  <si>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</si>
  <si>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</si>
  <si>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</si>
  <si>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</si>
  <si>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</si>
  <si>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</si>
  <si>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</si>
  <si>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</si>
  <si>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</si>
  <si>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</si>
  <si>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</si>
  <si>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</si>
  <si>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</si>
  <si>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</si>
  <si>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</si>
  <si>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</si>
  <si>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</si>
  <si>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</si>
  <si>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</si>
  <si>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</si>
  <si>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</si>
  <si>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</si>
  <si>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</si>
  <si>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</si>
  <si>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</si>
  <si>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</si>
  <si>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</si>
  <si>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</si>
  <si>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</si>
  <si>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</si>
  <si>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</si>
  <si>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</si>
  <si>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</si>
  <si>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</si>
  <si>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</si>
  <si>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</si>
  <si>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</si>
  <si>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</si>
  <si>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</si>
  <si>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</si>
  <si>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</si>
  <si>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</si>
  <si>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</si>
  <si>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</si>
  <si>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</si>
  <si>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</si>
  <si>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</si>
  <si>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</si>
  <si>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</si>
  <si>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</si>
  <si>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</si>
  <si>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</si>
  <si>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</si>
  <si>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</si>
  <si>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</si>
  <si>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</si>
  <si>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</si>
  <si>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</si>
  <si>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</si>
  <si>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</si>
  <si>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</si>
  <si>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</si>
  <si>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</si>
  <si>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</si>
  <si>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</si>
  <si>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</si>
  <si>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</si>
  <si>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</si>
  <si>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</si>
  <si>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</si>
  <si>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</si>
  <si>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</si>
  <si>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</si>
  <si>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</si>
  <si>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</si>
  <si>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</si>
  <si>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</si>
  <si>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</si>
  <si>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</si>
  <si>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</si>
  <si>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</si>
  <si>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</si>
  <si>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</si>
  <si>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</si>
  <si>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</si>
  <si>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</si>
  <si>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</si>
  <si>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</si>
  <si>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</si>
  <si>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</si>
  <si>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</si>
  <si>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</si>
  <si>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</si>
  <si>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</si>
  <si>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</si>
  <si>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</si>
  <si>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</si>
  <si>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</si>
  <si>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</si>
  <si>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</si>
  <si>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</si>
  <si>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</si>
  <si>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</si>
  <si>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</si>
  <si>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</si>
  <si>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</si>
  <si>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</si>
  <si>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</si>
  <si>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</si>
  <si>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</si>
  <si>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</si>
  <si>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</si>
  <si>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</si>
  <si>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</si>
  <si>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</si>
  <si>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</si>
  <si>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</si>
  <si>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</si>
  <si>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</si>
  <si>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</si>
  <si>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</si>
  <si>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</si>
  <si>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</si>
  <si>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</si>
  <si>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</si>
  <si>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</si>
  <si>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</si>
  <si>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</si>
  <si>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</si>
  <si>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</si>
  <si>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</si>
  <si>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</si>
  <si>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</si>
  <si>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</si>
  <si>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</si>
  <si>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</si>
  <si>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</si>
  <si>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</si>
  <si>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</si>
  <si>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</si>
  <si>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</si>
  <si>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</si>
  <si>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</si>
  <si>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</si>
  <si>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</si>
  <si>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</si>
  <si>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</si>
  <si>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</si>
  <si>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</si>
  <si>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</si>
  <si>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</si>
  <si>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</si>
  <si>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</si>
  <si>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</si>
  <si>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</si>
  <si>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</si>
  <si>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</si>
  <si>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</si>
  <si>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</si>
  <si>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</si>
  <si>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</si>
  <si>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</si>
  <si>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</si>
  <si>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</si>
  <si>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</si>
  <si>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</si>
  <si>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</si>
  <si>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</si>
  <si>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</si>
  <si>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</si>
  <si>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</si>
  <si>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</si>
  <si>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</si>
  <si>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</si>
  <si>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</si>
  <si>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</si>
  <si>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</si>
  <si>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</si>
  <si>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</si>
  <si>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</si>
  <si>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</si>
  <si>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</si>
  <si>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</si>
  <si>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</si>
  <si>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</si>
  <si>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</si>
  <si>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</si>
  <si>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</si>
  <si>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</si>
  <si>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</si>
  <si>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</si>
  <si>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</si>
  <si>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</si>
  <si>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</si>
  <si>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</si>
  <si>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</si>
  <si>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</si>
  <si>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</si>
  <si>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</si>
  <si>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</si>
  <si>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</si>
  <si>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</si>
  <si>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</si>
  <si>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</si>
  <si>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</si>
  <si>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</si>
  <si>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</si>
  <si>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</si>
  <si>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</si>
  <si>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</si>
  <si>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</si>
  <si>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</si>
  <si>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</si>
  <si>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</si>
  <si>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</si>
  <si>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</si>
  <si>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</si>
  <si>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</si>
  <si>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</si>
  <si>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</si>
  <si>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</si>
  <si>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</si>
  <si>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</si>
  <si>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</si>
  <si>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</si>
  <si>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</si>
  <si>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</si>
  <si>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</si>
  <si>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</si>
  <si>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</si>
  <si>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</si>
  <si>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</si>
  <si>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</si>
  <si>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</si>
  <si>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</si>
  <si>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</si>
  <si>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</si>
  <si>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</si>
  <si>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</si>
  <si>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</si>
  <si>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</si>
  <si>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</si>
  <si>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</si>
  <si>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</si>
  <si>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</si>
  <si>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</si>
  <si>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</si>
  <si>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</si>
  <si>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</si>
  <si>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</si>
  <si>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</si>
  <si>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</si>
  <si>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</si>
  <si>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</si>
  <si>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</si>
  <si>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</si>
  <si>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</si>
  <si>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</si>
  <si>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</si>
  <si>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</si>
  <si>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</si>
  <si>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</si>
  <si>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</si>
  <si>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</si>
  <si>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</si>
  <si>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</si>
  <si>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</si>
  <si>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</si>
  <si>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</si>
  <si>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</si>
  <si>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</si>
  <si>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</si>
  <si>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</si>
  <si>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</si>
  <si>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</si>
  <si>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</si>
  <si>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</si>
  <si>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</si>
  <si>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</si>
  <si>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</si>
  <si>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</si>
  <si>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</si>
  <si>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</si>
  <si>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</si>
  <si>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</si>
  <si>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</si>
  <si>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</si>
  <si>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</si>
  <si>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</si>
  <si>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</si>
  <si>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</si>
  <si>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</si>
  <si>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</si>
  <si>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</si>
  <si>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</si>
  <si>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</si>
  <si>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</si>
  <si>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</si>
  <si>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</si>
  <si>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</si>
  <si>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</si>
  <si>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</si>
  <si>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</si>
  <si>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</si>
  <si>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</si>
  <si>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</si>
  <si>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</si>
  <si>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</si>
  <si>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</si>
  <si>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</si>
  <si>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</si>
  <si>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</si>
  <si>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</si>
  <si>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</si>
  <si>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</si>
  <si>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</si>
  <si>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</si>
  <si>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</si>
  <si>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</si>
  <si>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</si>
  <si>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</si>
  <si>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</si>
  <si>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</si>
  <si>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</si>
  <si>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</si>
  <si>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</si>
  <si>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</si>
  <si>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</si>
  <si>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</si>
  <si>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</si>
  <si>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</si>
  <si>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</si>
  <si>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</si>
  <si>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</si>
  <si>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</si>
  <si>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</si>
  <si>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</si>
  <si>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</si>
  <si>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</si>
  <si>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</si>
  <si>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</si>
  <si>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</si>
  <si>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</si>
  <si>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</si>
  <si>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</si>
  <si>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</si>
  <si>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</si>
  <si>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</si>
  <si>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</si>
  <si>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</si>
  <si>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</si>
  <si>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</si>
  <si>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</si>
  <si>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</si>
  <si>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</si>
  <si>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</si>
  <si>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</si>
  <si>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</si>
  <si>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</si>
  <si>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</si>
  <si>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</si>
  <si>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</si>
  <si>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</si>
  <si>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</si>
  <si>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</si>
  <si>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</si>
  <si>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</si>
  <si>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</si>
  <si>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</si>
  <si>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</si>
  <si>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</si>
  <si>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</si>
  <si>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</si>
  <si>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</si>
  <si>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</si>
  <si>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</si>
  <si>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</si>
  <si>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</si>
  <si>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</si>
  <si>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</si>
  <si>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</si>
  <si>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</si>
  <si>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</si>
  <si>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</si>
  <si>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</si>
  <si>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</si>
  <si>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</si>
  <si>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</si>
  <si>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</si>
  <si>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</si>
  <si>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</si>
  <si>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</si>
  <si>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</si>
  <si>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</si>
  <si>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</si>
  <si>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</si>
  <si>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</si>
  <si>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</si>
  <si>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</si>
  <si>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</si>
  <si>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</si>
  <si>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</si>
  <si>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</si>
  <si>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</si>
  <si>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</si>
  <si>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</si>
  <si>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</si>
  <si>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</si>
  <si>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</si>
  <si>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</si>
  <si>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</si>
  <si>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</si>
  <si>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</si>
  <si>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</si>
  <si>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</si>
  <si>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</si>
  <si>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</si>
  <si>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</si>
  <si>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</si>
  <si>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</si>
  <si>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</si>
  <si>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</si>
  <si>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</si>
  <si>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</si>
  <si>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</si>
  <si>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</si>
  <si>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</si>
  <si>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</si>
  <si>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</si>
  <si>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</si>
  <si>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</si>
  <si>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</si>
  <si>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</si>
  <si>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</si>
  <si>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</si>
  <si>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</si>
  <si>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</si>
  <si>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</si>
  <si>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</si>
  <si>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</si>
  <si>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</si>
  <si>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</si>
  <si>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</si>
  <si>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</si>
  <si>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</si>
  <si>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</si>
  <si>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</si>
  <si>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</si>
  <si>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</si>
  <si>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</si>
  <si>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</si>
  <si>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</si>
  <si>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</si>
  <si>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</si>
  <si>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</si>
  <si>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</si>
  <si>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</si>
  <si>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</si>
  <si>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</si>
  <si>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</si>
  <si>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</si>
  <si>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</si>
  <si>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</si>
  <si>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</si>
  <si>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</si>
  <si>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</si>
  <si>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</si>
  <si>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</si>
  <si>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</si>
  <si>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</si>
  <si>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</si>
  <si>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</si>
  <si>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</si>
  <si>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</si>
  <si>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</si>
  <si>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</si>
  <si>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</si>
  <si>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</si>
  <si>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</si>
  <si>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</si>
  <si>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</si>
  <si>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</si>
  <si>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</si>
  <si>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</si>
  <si>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</si>
  <si>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</si>
  <si>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</si>
  <si>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</si>
  <si>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</si>
  <si>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</si>
  <si>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</si>
  <si>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</si>
  <si>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</si>
  <si>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</si>
  <si>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</si>
  <si>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</si>
  <si>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</si>
  <si>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</si>
  <si>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</si>
  <si>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</si>
  <si>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</si>
  <si>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</si>
  <si>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</si>
  <si>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</si>
  <si>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</si>
  <si>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</si>
  <si>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</si>
  <si>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</si>
  <si>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</si>
  <si>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</si>
  <si>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</si>
  <si>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</si>
  <si>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</si>
  <si>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</si>
  <si>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</si>
  <si>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</si>
  <si>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</si>
  <si>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</si>
  <si>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</si>
  <si>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</si>
  <si>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</si>
  <si>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</si>
  <si>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</si>
  <si>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</si>
  <si>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</si>
  <si>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</si>
  <si>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</si>
  <si>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</si>
  <si>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</si>
  <si>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</si>
  <si>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</si>
  <si>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</si>
  <si>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</si>
  <si>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</si>
  <si>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</si>
  <si>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</si>
  <si>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</si>
  <si>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</si>
  <si>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</si>
  <si>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</si>
  <si>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</si>
  <si>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</si>
  <si>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</si>
  <si>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</si>
  <si>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</si>
  <si>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</si>
  <si>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</si>
  <si>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</si>
  <si>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</si>
  <si>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</si>
  <si>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</si>
  <si>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</si>
  <si>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</si>
  <si>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</si>
  <si>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</si>
  <si>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</si>
  <si>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</si>
  <si>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</si>
  <si>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</si>
  <si>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</si>
  <si>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</si>
  <si>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</si>
  <si>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</si>
  <si>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</si>
  <si>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</si>
  <si>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</si>
  <si>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</si>
  <si>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</si>
  <si>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</si>
  <si>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</si>
  <si>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</si>
  <si>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</si>
  <si>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</si>
  <si>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</si>
  <si>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</si>
  <si>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</si>
  <si>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</si>
  <si>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</si>
  <si>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</si>
  <si>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</si>
  <si>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</si>
  <si>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</si>
  <si>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</si>
  <si>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</si>
  <si>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</si>
  <si>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</si>
  <si>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</si>
  <si>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</si>
  <si>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</si>
  <si>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</si>
  <si>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</si>
  <si>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</si>
  <si>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</si>
  <si>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</si>
  <si>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</si>
  <si>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</si>
  <si>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</si>
  <si>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</si>
  <si>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</si>
  <si>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</si>
  <si>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</si>
  <si>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</si>
  <si>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</si>
  <si>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</si>
  <si>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</si>
  <si>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</si>
  <si>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</si>
  <si>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</si>
  <si>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</si>
  <si>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</si>
  <si>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</si>
  <si>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</si>
  <si>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</si>
  <si>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</si>
  <si>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</si>
  <si>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</si>
  <si>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</si>
  <si>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</si>
  <si>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</si>
  <si>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</si>
  <si>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</si>
  <si>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</si>
  <si>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</si>
  <si>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</si>
  <si>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</si>
  <si>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</si>
  <si>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</si>
  <si>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</si>
  <si>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</si>
  <si>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</si>
  <si>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</si>
  <si>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</si>
  <si>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</si>
  <si>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</si>
  <si>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</si>
  <si>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</si>
  <si>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</si>
  <si>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</si>
  <si>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</si>
  <si>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</si>
  <si>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</si>
  <si>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</si>
  <si>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</si>
  <si>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</si>
  <si>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</si>
  <si>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</si>
  <si>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</si>
  <si>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</si>
  <si>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</si>
  <si>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</si>
  <si>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</si>
  <si>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</si>
  <si>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</si>
  <si>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</si>
  <si>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</si>
  <si>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</si>
  <si>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</si>
  <si>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</si>
  <si>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</si>
  <si>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</si>
  <si>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</si>
  <si>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</si>
  <si>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</si>
  <si>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</si>
  <si>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</si>
  <si>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</si>
  <si>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</si>
  <si>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</si>
  <si>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</si>
  <si>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</si>
  <si>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</si>
  <si>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</si>
  <si>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</si>
  <si>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</si>
  <si>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</si>
  <si>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</si>
  <si>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</si>
  <si>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</si>
  <si>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</si>
  <si>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</si>
  <si>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</si>
  <si>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</si>
  <si>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</si>
  <si>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</si>
  <si>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</si>
  <si>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</si>
  <si>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</si>
  <si>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</si>
  <si>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</si>
  <si>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</si>
  <si>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</si>
  <si>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</si>
  <si>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</si>
  <si>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</si>
  <si>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</si>
  <si>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</si>
  <si>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</si>
  <si>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</si>
  <si>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</si>
  <si>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</si>
  <si>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</si>
  <si>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</si>
  <si>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</si>
  <si>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</si>
  <si>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</si>
  <si>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</si>
  <si>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</si>
  <si>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</si>
  <si>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</si>
  <si>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</si>
  <si>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</si>
  <si>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</si>
  <si>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</si>
  <si>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</si>
  <si>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</si>
  <si>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</si>
  <si>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</si>
  <si>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</si>
  <si>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</si>
  <si>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</si>
  <si>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</si>
  <si>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</si>
  <si>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</si>
  <si>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</si>
  <si>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</si>
  <si>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</si>
  <si>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</si>
  <si>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</si>
  <si>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</si>
  <si>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</si>
  <si>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</si>
  <si>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</si>
  <si>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</si>
  <si>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</si>
  <si>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</si>
  <si>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</si>
  <si>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</si>
  <si>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</si>
  <si>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</si>
  <si>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</si>
  <si>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</si>
  <si>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</si>
  <si>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</si>
  <si>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</si>
  <si>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</si>
  <si>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</si>
  <si>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</si>
  <si>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</si>
  <si>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</si>
  <si>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</si>
  <si>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</si>
  <si>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</si>
  <si>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</si>
  <si>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</si>
  <si>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</si>
  <si>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</si>
  <si>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</si>
  <si>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</si>
  <si>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</si>
  <si>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</si>
  <si>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</si>
  <si>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</si>
  <si>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</si>
  <si>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</si>
  <si>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</si>
  <si>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</si>
  <si>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</si>
  <si>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</si>
  <si>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</si>
  <si>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</si>
  <si>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</si>
  <si>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</si>
  <si>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</si>
  <si>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</si>
  <si>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</si>
  <si>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</si>
  <si>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</si>
  <si>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</si>
  <si>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</si>
  <si>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</si>
  <si>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</si>
  <si>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</si>
  <si>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</si>
  <si>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</si>
  <si>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</si>
  <si>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</si>
  <si>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</si>
  <si>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</si>
  <si>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</si>
  <si>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</si>
  <si>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</si>
  <si>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</si>
  <si>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</si>
  <si>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</si>
  <si>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</si>
  <si>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</si>
  <si>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</si>
  <si>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</si>
  <si>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</si>
  <si>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</si>
  <si>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</si>
  <si>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</si>
  <si>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</si>
  <si>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</si>
  <si>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</si>
  <si>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</si>
  <si>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</si>
  <si>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</si>
  <si>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</si>
  <si>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</si>
  <si>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</si>
  <si>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</si>
  <si>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</si>
  <si>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</si>
  <si>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</si>
  <si>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</si>
  <si>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</si>
  <si>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</si>
  <si>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</si>
  <si>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</si>
  <si>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</si>
  <si>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</si>
  <si>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</si>
  <si>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</si>
  <si>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</si>
  <si>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</si>
  <si>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</si>
  <si>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</si>
  <si>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</si>
  <si>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</si>
  <si>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</si>
  <si>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</si>
  <si>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</si>
  <si>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</si>
  <si>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</si>
  <si>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</si>
  <si>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</si>
  <si>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</si>
  <si>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</si>
  <si>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</si>
  <si>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</si>
  <si>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</si>
  <si>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</si>
  <si>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</si>
  <si>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</si>
  <si>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</si>
  <si>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</si>
  <si>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</si>
  <si>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</si>
  <si>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</si>
  <si>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</si>
  <si>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</si>
  <si>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</si>
  <si>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</si>
  <si>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</si>
  <si>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</si>
  <si>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</si>
  <si>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</si>
  <si>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</si>
  <si>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</si>
  <si>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</si>
  <si>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</si>
  <si>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</si>
  <si>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</si>
  <si>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</si>
  <si>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</si>
  <si>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</si>
  <si>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</si>
  <si>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</si>
  <si>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</si>
  <si>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</si>
  <si>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</si>
  <si>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</si>
  <si>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</si>
  <si>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</si>
  <si>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</si>
  <si>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</si>
  <si>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</si>
  <si>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</si>
  <si>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</si>
  <si>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</si>
  <si>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</si>
  <si>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</si>
  <si>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</si>
  <si>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</si>
  <si>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</si>
  <si>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</si>
  <si>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</si>
  <si>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</si>
  <si>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</si>
  <si>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</si>
  <si>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</si>
  <si>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</si>
  <si>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</si>
  <si>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</si>
  <si>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</si>
  <si>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</si>
  <si>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</si>
  <si>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</si>
  <si>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</si>
  <si>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</si>
  <si>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</si>
  <si>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</si>
  <si>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</si>
  <si>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</si>
  <si>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</si>
  <si>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</si>
  <si>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</si>
  <si>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</si>
  <si>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</si>
  <si>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</si>
  <si>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</si>
  <si>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</si>
  <si>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</si>
  <si>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</si>
  <si>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</si>
  <si>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</si>
  <si>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</si>
  <si>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</si>
  <si>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</si>
  <si>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</si>
  <si>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</si>
  <si>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</si>
  <si>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</si>
  <si>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</si>
  <si>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</si>
  <si>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</si>
  <si>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</si>
  <si>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</si>
  <si>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</si>
  <si>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</si>
  <si>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</si>
  <si>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</si>
  <si>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</si>
  <si>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</si>
  <si>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</si>
  <si>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</si>
  <si>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</si>
  <si>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</si>
  <si>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</si>
  <si>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</si>
  <si>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</si>
  <si>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</si>
  <si>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</si>
  <si>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</si>
  <si>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</si>
  <si>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</si>
  <si>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</si>
  <si>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</si>
  <si>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</si>
  <si>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</si>
  <si>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</si>
  <si>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</si>
  <si>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</si>
  <si>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</si>
  <si>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</si>
  <si>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</si>
  <si>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</si>
  <si>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</si>
  <si>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</si>
  <si>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</si>
  <si>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</si>
  <si>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</si>
  <si>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</si>
  <si>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</si>
  <si>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</si>
  <si>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</si>
  <si>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</si>
  <si>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</si>
  <si>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</si>
  <si>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</si>
  <si>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</si>
  <si>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</si>
  <si>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</si>
  <si>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</si>
  <si>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</si>
  <si>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</si>
  <si>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</si>
  <si>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</si>
  <si>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</si>
  <si>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</si>
  <si>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</si>
  <si>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</si>
  <si>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</si>
  <si>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</si>
  <si>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</si>
  <si>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</si>
  <si>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</si>
  <si>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</si>
  <si>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</si>
  <si>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</si>
  <si>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</si>
  <si>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</si>
  <si>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</si>
  <si>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</si>
  <si>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</si>
  <si>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</si>
  <si>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</si>
  <si>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</si>
  <si>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</si>
  <si>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</si>
  <si>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</si>
  <si>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</si>
  <si>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</si>
  <si>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</si>
  <si>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</si>
  <si>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</si>
  <si>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</si>
  <si>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</si>
  <si>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</si>
  <si>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</si>
  <si>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</si>
  <si>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</si>
  <si>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</si>
  <si>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</si>
  <si>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</si>
  <si>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</si>
  <si>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</si>
  <si>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</si>
  <si>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</si>
  <si>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</si>
  <si>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</si>
  <si>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</si>
  <si>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</si>
  <si>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</si>
  <si>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</si>
  <si>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</si>
  <si>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</si>
  <si>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</si>
  <si>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</si>
  <si>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</si>
  <si>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</si>
  <si>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</si>
  <si>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</si>
  <si>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</si>
  <si>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</si>
  <si>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</si>
  <si>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</si>
  <si>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</si>
  <si>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</si>
  <si>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</si>
  <si>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</si>
  <si>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</si>
  <si>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</si>
  <si>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</si>
  <si>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</si>
  <si>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</si>
  <si>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</si>
  <si>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</si>
  <si>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</si>
  <si>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</si>
  <si>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</si>
  <si>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</si>
  <si>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</si>
  <si>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</si>
  <si>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</si>
  <si>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</si>
  <si>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</si>
  <si>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</si>
  <si>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</si>
  <si>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</si>
  <si>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</si>
  <si>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</si>
  <si>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</si>
  <si>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</si>
  <si>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</si>
  <si>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</si>
  <si>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</si>
  <si>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</si>
  <si>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</si>
  <si>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</si>
  <si>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</si>
  <si>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</si>
  <si>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</si>
  <si>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</si>
  <si>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</si>
  <si>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</si>
  <si>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</si>
  <si>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</si>
  <si>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</si>
  <si>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</si>
  <si>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</si>
  <si>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</si>
  <si>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</si>
  <si>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</si>
  <si>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</si>
  <si>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</si>
  <si>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</si>
  <si>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</si>
  <si>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</si>
  <si>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</si>
  <si>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</si>
  <si>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</si>
  <si>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</si>
  <si>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</si>
  <si>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</si>
  <si>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</si>
  <si>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</si>
  <si>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</si>
  <si>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</si>
  <si>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</si>
  <si>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</si>
  <si>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</si>
  <si>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</si>
  <si>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</si>
  <si>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</si>
  <si>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</si>
  <si>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</si>
  <si>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</si>
  <si>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</si>
  <si>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</si>
  <si>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</si>
  <si>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</si>
  <si>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</si>
  <si>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</si>
  <si>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</si>
  <si>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</si>
  <si>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</si>
  <si>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</si>
  <si>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</si>
  <si>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</si>
  <si>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</si>
  <si>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</si>
  <si>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</si>
  <si>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</si>
  <si>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</si>
  <si>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</si>
  <si>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</si>
  <si>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</si>
  <si>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</si>
  <si>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</si>
  <si>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</si>
  <si>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</si>
  <si>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</si>
  <si>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</si>
  <si>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</si>
  <si>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</si>
  <si>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</si>
  <si>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</si>
  <si>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</si>
  <si>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</si>
  <si>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</si>
  <si>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</si>
  <si>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</si>
  <si>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</si>
  <si>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</si>
  <si>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</si>
  <si>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</si>
  <si>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</si>
  <si>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</si>
  <si>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</si>
  <si>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</si>
  <si>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</si>
  <si>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</si>
  <si>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</si>
  <si>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</si>
  <si>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</si>
  <si>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</si>
  <si>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</si>
  <si>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</si>
  <si>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</si>
  <si>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</si>
  <si>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</si>
  <si>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</si>
  <si>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</si>
  <si>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</si>
  <si>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</si>
  <si>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</si>
  <si>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</si>
  <si>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</si>
  <si>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</si>
  <si>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</si>
  <si>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</si>
  <si>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</si>
  <si>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</si>
  <si>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</si>
  <si>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</si>
  <si>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</si>
  <si>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</si>
  <si>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</si>
  <si>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</si>
  <si>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</si>
  <si>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</si>
  <si>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</si>
  <si>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</si>
  <si>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</si>
  <si>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</si>
  <si>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</si>
  <si>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</si>
  <si>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</si>
  <si>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</si>
  <si>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</si>
  <si>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</si>
  <si>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</si>
  <si>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</si>
  <si>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</si>
  <si>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</si>
  <si>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</si>
  <si>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</si>
  <si>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</si>
  <si>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</si>
  <si>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</si>
  <si>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</si>
  <si>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</si>
  <si>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</si>
  <si>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</si>
  <si>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</si>
  <si>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</si>
  <si>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</si>
  <si>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</si>
  <si>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</si>
  <si>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</si>
  <si>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</si>
  <si>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</si>
  <si>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</si>
  <si>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</si>
  <si>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</si>
  <si>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</si>
  <si>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</si>
  <si>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</si>
  <si>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</si>
  <si>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</si>
  <si>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</si>
  <si>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</si>
  <si>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</si>
  <si>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</si>
  <si>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</si>
  <si>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</si>
  <si>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</si>
  <si>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</si>
  <si>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</si>
  <si>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</si>
  <si>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</si>
  <si>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</si>
  <si>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</si>
  <si>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</si>
  <si>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</si>
  <si>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</si>
  <si>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</si>
  <si>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</si>
  <si>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</si>
  <si>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</si>
  <si>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</si>
  <si>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</si>
  <si>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</si>
  <si>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</si>
  <si>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</si>
  <si>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</si>
  <si>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</si>
  <si>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</si>
  <si>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</si>
  <si>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</si>
  <si>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</si>
  <si>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</si>
  <si>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</si>
  <si>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</si>
  <si>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</si>
  <si>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</si>
  <si>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</si>
  <si>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</si>
  <si>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</si>
  <si>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</si>
  <si>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</si>
  <si>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</si>
  <si>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</si>
  <si>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</si>
  <si>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</si>
  <si>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</si>
  <si>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</si>
  <si>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</si>
  <si>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</si>
  <si>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</si>
  <si>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</si>
  <si>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</si>
  <si>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</si>
  <si>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</si>
  <si>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</si>
  <si>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</si>
  <si>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</si>
  <si>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</si>
  <si>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</si>
  <si>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</si>
  <si>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</si>
  <si>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</si>
  <si>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</si>
  <si>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</si>
  <si>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</si>
  <si>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</si>
  <si>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</si>
  <si>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</si>
  <si>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</si>
  <si>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</si>
  <si>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</si>
  <si>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</si>
  <si>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</si>
  <si>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</si>
  <si>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</si>
  <si>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</si>
  <si>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</si>
  <si>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</si>
  <si>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</si>
  <si>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</si>
  <si>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</si>
  <si>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</si>
  <si>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</si>
  <si>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</si>
  <si>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</si>
  <si>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</si>
  <si>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</si>
  <si>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</si>
  <si>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</si>
  <si>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</si>
  <si>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</si>
  <si>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</si>
  <si>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</si>
  <si>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</si>
  <si>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</si>
  <si>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</si>
  <si>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</si>
  <si>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</si>
  <si>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</si>
  <si>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</si>
  <si>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</si>
  <si>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</si>
  <si>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</si>
  <si>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</si>
  <si>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</si>
  <si>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</si>
  <si>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</si>
  <si>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</si>
  <si>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</si>
  <si>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</si>
  <si>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</si>
  <si>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</si>
  <si>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</si>
  <si>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</si>
  <si>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</si>
  <si>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</si>
  <si>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</si>
  <si>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</si>
  <si>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</si>
  <si>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</si>
  <si>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</si>
  <si>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</si>
  <si>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</si>
  <si>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</si>
  <si>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</si>
  <si>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</si>
  <si>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</si>
  <si>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</si>
  <si>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</si>
  <si>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</si>
  <si>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</si>
  <si>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</si>
  <si>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</si>
  <si>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</si>
  <si>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</si>
  <si>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</si>
  <si>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</si>
  <si>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</si>
  <si>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</si>
  <si>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</si>
  <si>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</si>
  <si>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</si>
  <si>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</si>
  <si>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</si>
  <si>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</si>
  <si>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</si>
  <si>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</si>
  <si>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</si>
  <si>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</si>
  <si>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</si>
  <si>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</si>
  <si>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</si>
  <si>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</si>
  <si>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</si>
  <si>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</si>
  <si>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</si>
  <si>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</si>
  <si>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</si>
  <si>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</si>
  <si>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</si>
  <si>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</si>
  <si>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</si>
  <si>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</si>
  <si>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</si>
  <si>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</si>
  <si>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</si>
  <si>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</si>
  <si>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</si>
  <si>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</si>
  <si>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</si>
  <si>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</si>
  <si>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</si>
  <si>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</si>
  <si>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</si>
  <si>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</si>
  <si>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</si>
  <si>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</si>
  <si>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</si>
  <si>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</si>
  <si>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</si>
  <si>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</si>
  <si>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</si>
  <si>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</si>
  <si>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</si>
  <si>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</si>
  <si>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</si>
  <si>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</si>
  <si>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</si>
  <si>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</si>
  <si>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</si>
  <si>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</si>
  <si>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</si>
  <si>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</si>
  <si>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</si>
  <si>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</si>
  <si>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</si>
  <si>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</si>
  <si>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</si>
  <si>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</si>
  <si>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</si>
  <si>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</si>
  <si>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</si>
  <si>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</si>
  <si>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</si>
  <si>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</si>
  <si>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</si>
  <si>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</si>
  <si>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</si>
  <si>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</si>
  <si>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</si>
  <si>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</si>
  <si>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</si>
  <si>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</si>
  <si>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</si>
  <si>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</si>
  <si>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</si>
  <si>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</si>
  <si>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</si>
  <si>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</si>
  <si>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</si>
  <si>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</si>
  <si>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</si>
  <si>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</si>
  <si>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</si>
  <si>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</si>
  <si>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</si>
  <si>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</si>
  <si>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</si>
  <si>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</si>
  <si>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</si>
  <si>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</si>
  <si>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</si>
  <si>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</si>
  <si>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</si>
  <si>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</si>
  <si>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</si>
  <si>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</si>
  <si>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</si>
  <si>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</si>
  <si>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</si>
  <si>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</si>
  <si>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</si>
  <si>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</si>
  <si>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</si>
  <si>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</si>
  <si>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</si>
  <si>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</si>
  <si>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</si>
  <si>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</si>
  <si>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</si>
  <si>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</si>
  <si>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</si>
  <si>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</si>
  <si>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</si>
  <si>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</si>
  <si>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</si>
  <si>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</si>
  <si>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</si>
  <si>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</si>
  <si>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</si>
  <si>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</si>
  <si>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</si>
  <si>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</si>
  <si>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</si>
  <si>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</si>
  <si>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</si>
  <si>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</si>
  <si>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</si>
  <si>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</si>
  <si>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</si>
  <si>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</si>
  <si>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</si>
  <si>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</si>
  <si>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</si>
  <si>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</si>
  <si>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</si>
  <si>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</si>
  <si>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</si>
  <si>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</si>
  <si>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</si>
  <si>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</si>
  <si>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</si>
  <si>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</si>
  <si>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</si>
  <si>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</si>
  <si>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</si>
  <si>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</si>
  <si>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</si>
  <si>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</si>
  <si>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</si>
  <si>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</si>
  <si>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</si>
  <si>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</si>
  <si>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</si>
  <si>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</si>
  <si>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</si>
  <si>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</si>
  <si>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</si>
  <si>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</si>
  <si>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</si>
  <si>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</si>
  <si>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</si>
  <si>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</si>
  <si>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</si>
  <si>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</si>
  <si>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</si>
  <si>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</si>
  <si>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</si>
  <si>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</si>
  <si>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</si>
  <si>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</si>
  <si>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</si>
  <si>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</si>
  <si>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</si>
  <si>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</si>
  <si>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</si>
  <si>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</si>
  <si>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</si>
  <si>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</si>
  <si>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</si>
  <si>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</si>
  <si>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</si>
  <si>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</si>
  <si>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</si>
  <si>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</si>
  <si>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</si>
  <si>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</si>
  <si>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</si>
  <si>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</si>
  <si>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</si>
  <si>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</si>
  <si>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</si>
  <si>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</si>
  <si>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</si>
  <si>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</si>
  <si>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</si>
  <si>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</si>
  <si>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</si>
  <si>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</si>
  <si>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</si>
  <si>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</si>
  <si>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</si>
  <si>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</si>
  <si>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</si>
  <si>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</si>
  <si>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</si>
  <si>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</si>
  <si>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</si>
  <si>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</si>
  <si>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</si>
  <si>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</si>
  <si>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</si>
  <si>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</si>
  <si>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</si>
  <si>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</si>
  <si>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</si>
  <si>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</si>
  <si>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</si>
  <si>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</si>
  <si>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</si>
  <si>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</si>
  <si>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</si>
  <si>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</si>
  <si>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</si>
  <si>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</si>
  <si>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</si>
  <si>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</si>
  <si>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</si>
  <si>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</si>
  <si>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</si>
  <si>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</si>
  <si>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</si>
  <si>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</si>
  <si>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</si>
  <si>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</si>
  <si>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</si>
  <si>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</si>
  <si>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</si>
  <si>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</si>
  <si>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</si>
  <si>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</si>
  <si>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</si>
  <si>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</si>
  <si>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</si>
  <si>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</si>
  <si>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</si>
  <si>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</si>
  <si>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</si>
  <si>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</si>
  <si>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</si>
  <si>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</si>
  <si>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</si>
  <si>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</si>
  <si>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</si>
  <si>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</si>
  <si>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</si>
  <si>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</si>
  <si>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</si>
  <si>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</si>
  <si>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</si>
  <si>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</si>
  <si>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</si>
  <si>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</si>
  <si>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</si>
  <si>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</si>
  <si>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</si>
  <si>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</si>
  <si>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</si>
  <si>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</si>
  <si>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</si>
  <si>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</si>
  <si>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</si>
  <si>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</si>
  <si>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</si>
  <si>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</si>
  <si>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</si>
  <si>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</si>
  <si>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</si>
  <si>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</si>
  <si>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</si>
  <si>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</si>
  <si>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</si>
  <si>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</si>
  <si>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</si>
  <si>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</si>
  <si>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</si>
  <si>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</si>
  <si>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</si>
  <si>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</si>
  <si>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</si>
  <si>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</si>
  <si>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</si>
  <si>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</si>
  <si>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</si>
  <si>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</si>
  <si>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</si>
  <si>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</si>
  <si>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</si>
  <si>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</si>
  <si>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</si>
  <si>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</si>
  <si>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</si>
  <si>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</si>
  <si>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</si>
  <si>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</si>
  <si>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</si>
  <si>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</si>
  <si>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</si>
  <si>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</si>
  <si>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</si>
  <si>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</si>
  <si>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</si>
  <si>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</si>
  <si>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</si>
  <si>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</si>
  <si>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</si>
  <si>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</si>
  <si>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</si>
  <si>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</si>
  <si>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</si>
  <si>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</si>
  <si>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</si>
  <si>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</si>
  <si>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</si>
  <si>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</si>
  <si>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</si>
  <si>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</si>
  <si>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</si>
  <si>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</si>
  <si>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</si>
  <si>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</si>
  <si>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</si>
  <si>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</si>
  <si>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</si>
  <si>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</si>
  <si>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</si>
  <si>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</si>
  <si>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</si>
  <si>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</si>
  <si>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</si>
  <si>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</si>
  <si>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</si>
  <si>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</si>
  <si>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</si>
  <si>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</si>
  <si>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</si>
  <si>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</si>
  <si>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</si>
  <si>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</si>
  <si>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</si>
  <si>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</si>
  <si>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</si>
  <si>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</si>
  <si>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</si>
  <si>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</si>
  <si>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</si>
  <si>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</si>
  <si>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</si>
  <si>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</si>
  <si>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</si>
  <si>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</si>
  <si>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</si>
  <si>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</si>
  <si>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</si>
  <si>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</si>
  <si>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</si>
  <si>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</si>
  <si>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</si>
  <si>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</si>
  <si>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</si>
  <si>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</si>
  <si>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</si>
  <si>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</si>
  <si>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</si>
  <si>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</si>
  <si>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</si>
  <si>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</si>
  <si>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</si>
  <si>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</si>
  <si>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</si>
  <si>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</si>
  <si>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</si>
  <si>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</si>
  <si>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</si>
  <si>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</si>
  <si>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</si>
  <si>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</si>
  <si>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</si>
  <si>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</si>
  <si>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</si>
  <si>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</si>
  <si>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</si>
  <si>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</si>
  <si>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</si>
  <si>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</si>
  <si>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</si>
  <si>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</si>
  <si>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</si>
  <si>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</si>
  <si>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</si>
  <si>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</si>
  <si>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</si>
  <si>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</si>
  <si>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</si>
  <si>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</si>
  <si>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</si>
  <si>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</si>
  <si>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</si>
  <si>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</si>
  <si>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</si>
  <si>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</si>
  <si>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</si>
  <si>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</si>
  <si>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</si>
  <si>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</si>
  <si>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</si>
  <si>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</si>
  <si>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</si>
  <si>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</si>
  <si>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</si>
  <si>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</si>
  <si>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</si>
  <si>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</si>
  <si>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</si>
  <si>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</si>
  <si>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</si>
  <si>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</si>
  <si>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</si>
  <si>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</si>
  <si>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</si>
  <si>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</si>
  <si>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</si>
  <si>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</si>
  <si>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</si>
  <si>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</si>
  <si>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</si>
  <si>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</si>
  <si>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</si>
  <si>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</si>
  <si>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</si>
  <si>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</si>
  <si>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</si>
  <si>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</si>
  <si>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</si>
  <si>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</si>
  <si>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</si>
  <si>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</si>
  <si>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</si>
  <si>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</si>
  <si>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</si>
  <si>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</si>
  <si>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</si>
  <si>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</si>
  <si>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</si>
  <si>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</si>
  <si>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</si>
  <si>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</si>
  <si>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</si>
  <si>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</si>
  <si>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</si>
  <si>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</si>
  <si>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</si>
  <si>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</si>
  <si>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</si>
  <si>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</si>
  <si>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</si>
  <si>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</si>
  <si>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</si>
  <si>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</si>
  <si>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</si>
  <si>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</si>
  <si>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</si>
  <si>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</si>
  <si>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</si>
  <si>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</si>
  <si>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</si>
  <si>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</si>
  <si>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</si>
  <si>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</si>
  <si>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</si>
  <si>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</si>
  <si>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</si>
  <si>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</si>
  <si>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</si>
  <si>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</si>
  <si>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</si>
  <si>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</si>
  <si>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</si>
  <si>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</si>
  <si>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</si>
  <si>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</si>
  <si>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</si>
  <si>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</si>
  <si>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</si>
  <si>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</si>
  <si>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</si>
  <si>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</si>
  <si>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</si>
  <si>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</si>
  <si>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</si>
  <si>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</si>
  <si>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</si>
  <si>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</si>
  <si>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</si>
  <si>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</si>
  <si>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</si>
  <si>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</si>
  <si>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</si>
  <si>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</si>
  <si>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</si>
  <si>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</si>
  <si>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</si>
  <si>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</si>
  <si>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</si>
  <si>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</si>
  <si>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</si>
  <si>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</si>
  <si>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</si>
  <si>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</si>
  <si>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</si>
  <si>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</si>
  <si>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</si>
  <si>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</si>
  <si>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</si>
  <si>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</si>
  <si>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</si>
  <si>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</si>
  <si>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</si>
  <si>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</si>
  <si>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</si>
  <si>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</si>
  <si>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</si>
  <si>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</si>
  <si>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</si>
  <si>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</si>
  <si>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</si>
  <si>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</si>
  <si>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</si>
  <si>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</si>
  <si>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</si>
  <si>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</si>
  <si>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</si>
  <si>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</si>
  <si>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</si>
  <si>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</si>
  <si>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</si>
  <si>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</si>
  <si>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</si>
  <si>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</si>
  <si>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</si>
  <si>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</si>
  <si>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</si>
  <si>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</si>
  <si>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</si>
  <si>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</si>
  <si>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</si>
  <si>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</si>
  <si>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</si>
  <si>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</si>
  <si>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</si>
  <si>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</si>
  <si>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</si>
  <si>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</si>
  <si>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</si>
  <si>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</si>
  <si>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</si>
  <si>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</si>
  <si>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</si>
  <si>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</si>
  <si>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</si>
  <si>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</si>
  <si>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</si>
  <si>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</si>
  <si>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</si>
  <si>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</si>
  <si>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</si>
  <si>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</si>
  <si>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</si>
  <si>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</si>
  <si>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</si>
  <si>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</si>
  <si>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</si>
  <si>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</si>
  <si>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</si>
  <si>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</si>
  <si>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</si>
  <si>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</si>
  <si>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</si>
  <si>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</si>
  <si>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</si>
  <si>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</si>
  <si>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</si>
  <si>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</si>
  <si>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</si>
  <si>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</si>
  <si>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</si>
  <si>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</si>
  <si>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</si>
  <si>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</si>
  <si>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</si>
  <si>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</si>
  <si>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</si>
  <si>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</si>
  <si>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</si>
  <si>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</si>
  <si>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</si>
  <si>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</si>
  <si>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</si>
  <si>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</si>
  <si>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</si>
  <si>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</si>
  <si>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</si>
  <si>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</si>
  <si>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</si>
  <si>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</si>
  <si>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</si>
  <si>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</si>
  <si>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</si>
  <si>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</si>
  <si>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</si>
  <si>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</si>
  <si>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</si>
  <si>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</si>
  <si>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</si>
  <si>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</si>
  <si>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</si>
  <si>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</si>
  <si>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</si>
  <si>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</si>
  <si>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</si>
  <si>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</si>
  <si>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</si>
  <si>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</si>
  <si>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</si>
  <si>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</si>
  <si>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</si>
  <si>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</si>
  <si>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</si>
  <si>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</si>
  <si>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</si>
  <si>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</si>
  <si>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</si>
  <si>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</si>
  <si>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</si>
  <si>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</si>
  <si>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</si>
  <si>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</si>
  <si>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</si>
  <si>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</si>
  <si>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</si>
  <si>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</si>
  <si>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</si>
  <si>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</si>
  <si>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</si>
  <si>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</si>
  <si>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</si>
  <si>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</si>
  <si>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</si>
  <si>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</si>
  <si>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</si>
  <si>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</si>
  <si>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</si>
  <si>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</si>
  <si>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</si>
  <si>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</si>
  <si>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</si>
  <si>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</si>
  <si>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</si>
  <si>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</si>
  <si>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</si>
  <si>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</si>
  <si>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</si>
  <si>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</si>
  <si>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</si>
  <si>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</si>
  <si>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</si>
  <si>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</si>
  <si>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</si>
  <si>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</si>
  <si>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</si>
  <si>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</si>
  <si>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</si>
  <si>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</si>
  <si>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</si>
  <si>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</si>
  <si>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</si>
  <si>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</si>
  <si>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</si>
  <si>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</si>
  <si>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</si>
  <si>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</si>
  <si>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</si>
  <si>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</si>
  <si>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</si>
  <si>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</si>
  <si>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</si>
  <si>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</si>
  <si>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</si>
  <si>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</si>
  <si>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</si>
  <si>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</si>
  <si>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</si>
  <si>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</si>
  <si>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</si>
  <si>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</si>
  <si>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</si>
  <si>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</si>
  <si>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</si>
  <si>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</si>
  <si>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</si>
  <si>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</si>
  <si>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</si>
  <si>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</si>
  <si>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</si>
  <si>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</si>
  <si>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</si>
  <si>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</si>
  <si>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</si>
  <si>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</si>
  <si>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</si>
  <si>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</si>
  <si>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</si>
  <si>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</si>
  <si>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</si>
  <si>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</si>
  <si>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</si>
  <si>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</si>
  <si>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</si>
  <si>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</si>
  <si>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</si>
  <si>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</si>
  <si>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</si>
  <si>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</si>
  <si>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</si>
  <si>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</si>
  <si>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</si>
  <si>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</si>
  <si>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</si>
  <si>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</si>
  <si>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</si>
  <si>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</si>
  <si>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</si>
  <si>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</si>
  <si>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</si>
  <si>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</si>
  <si>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</si>
  <si>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</si>
  <si>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</si>
  <si>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</si>
  <si>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</si>
  <si>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</si>
  <si>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</si>
  <si>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</si>
  <si>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</si>
  <si>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</si>
  <si>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</si>
  <si>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</si>
  <si>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</si>
  <si>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</si>
  <si>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</si>
  <si>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</si>
  <si>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</si>
  <si>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</si>
  <si>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</si>
  <si>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</si>
  <si>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</si>
  <si>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</si>
  <si>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</si>
  <si>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</si>
  <si>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</si>
  <si>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</si>
  <si>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</si>
  <si>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</si>
  <si>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</si>
  <si>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</si>
  <si>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</si>
  <si>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</si>
  <si>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</si>
  <si>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</si>
  <si>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</si>
  <si>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</si>
  <si>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</si>
  <si>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</si>
  <si>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</si>
  <si>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</si>
  <si>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</si>
  <si>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</si>
  <si>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</si>
  <si>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</si>
  <si>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</si>
  <si>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</si>
  <si>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</si>
  <si>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</si>
  <si>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</si>
  <si>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</si>
  <si>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</si>
  <si>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</si>
  <si>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</si>
  <si>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</si>
  <si>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</si>
  <si>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</si>
  <si>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</si>
  <si>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</si>
  <si>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</si>
  <si>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</si>
  <si>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</si>
  <si>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</si>
  <si>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</si>
  <si>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</si>
  <si>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</si>
  <si>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</si>
  <si>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</si>
  <si>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</si>
  <si>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</si>
  <si>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</si>
  <si>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</si>
  <si>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</si>
  <si>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</si>
  <si>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</si>
  <si>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</si>
  <si>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</si>
  <si>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</si>
  <si>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</si>
  <si>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</si>
  <si>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</si>
  <si>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</si>
  <si>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</si>
  <si>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</si>
  <si>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</si>
  <si>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</si>
  <si>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</si>
  <si>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</si>
  <si>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</si>
  <si>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</si>
  <si>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</si>
  <si>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</si>
  <si>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</si>
  <si>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</si>
  <si>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</si>
  <si>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</si>
  <si>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</si>
  <si>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</si>
  <si>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</si>
  <si>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</si>
  <si>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</si>
  <si>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</si>
  <si>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</si>
  <si>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</si>
  <si>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</si>
  <si>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</si>
  <si>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</si>
  <si>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</si>
  <si>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</si>
  <si>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</si>
  <si>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</si>
  <si>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</si>
  <si>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</si>
  <si>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</si>
  <si>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</si>
  <si>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</si>
  <si>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</si>
  <si>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</si>
  <si>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</si>
  <si>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</si>
  <si>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</si>
  <si>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</si>
  <si>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</si>
  <si>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</si>
  <si>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</si>
  <si>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</si>
  <si>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</si>
  <si>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</si>
  <si>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</si>
  <si>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</si>
  <si>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</si>
  <si>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</si>
  <si>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</si>
  <si>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</si>
  <si>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</si>
  <si>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</si>
  <si>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</si>
  <si>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</si>
  <si>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</si>
  <si>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</si>
  <si>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</si>
  <si>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</si>
  <si>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</si>
  <si>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</si>
  <si>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</si>
  <si>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</si>
  <si>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</si>
  <si>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</si>
  <si>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</si>
  <si>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</si>
  <si>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</si>
  <si>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</si>
  <si>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</si>
  <si>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</si>
  <si>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</si>
  <si>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</si>
  <si>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</si>
  <si>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</si>
  <si>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</si>
  <si>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</si>
  <si>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</si>
  <si>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</si>
  <si>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</si>
  <si>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</si>
  <si>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</si>
  <si>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</si>
  <si>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</si>
  <si>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</si>
  <si>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</si>
  <si>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</si>
  <si>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</si>
  <si>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</si>
  <si>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</si>
  <si>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</si>
  <si>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</si>
  <si>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</si>
  <si>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</si>
  <si>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</si>
  <si>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</si>
  <si>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</si>
  <si>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</si>
  <si>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</si>
  <si>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</si>
  <si>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</si>
  <si>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</si>
  <si>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</si>
  <si>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</si>
  <si>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</si>
  <si>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</si>
  <si>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</si>
  <si>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</si>
  <si>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</si>
  <si>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</si>
  <si>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</si>
  <si>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</si>
  <si>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</si>
  <si>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</si>
  <si>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</si>
  <si>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</si>
  <si>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</si>
  <si>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</si>
  <si>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</si>
  <si>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</si>
  <si>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</si>
  <si>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</si>
  <si>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</si>
  <si>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</si>
  <si>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</si>
  <si>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</si>
  <si>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</si>
  <si>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</si>
  <si>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</si>
  <si>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</si>
  <si>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</si>
  <si>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</si>
  <si>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</si>
  <si>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</si>
  <si>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</si>
  <si>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</si>
  <si>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</si>
  <si>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</si>
  <si>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</si>
  <si>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</si>
  <si>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</si>
  <si>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</si>
  <si>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</si>
  <si>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</si>
  <si>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</si>
  <si>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</si>
  <si>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</si>
  <si>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</si>
  <si>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</si>
  <si>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</si>
  <si>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</si>
  <si>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</si>
  <si>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</si>
  <si>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</si>
  <si>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</si>
  <si>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</si>
  <si>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</si>
  <si>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</si>
  <si>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</si>
  <si>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</si>
  <si>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</si>
  <si>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</si>
  <si>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</si>
  <si>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</si>
  <si>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</si>
  <si>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</si>
  <si>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</si>
  <si>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</si>
  <si>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</si>
  <si>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</si>
  <si>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</si>
  <si>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</si>
  <si>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</si>
  <si>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</si>
  <si>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</si>
  <si>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</si>
  <si>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</si>
  <si>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</si>
  <si>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</si>
  <si>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</si>
  <si>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</si>
  <si>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</si>
  <si>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</si>
  <si>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</si>
  <si>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</si>
  <si>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</si>
  <si>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</si>
  <si>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</si>
  <si>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</si>
  <si>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</si>
  <si>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</si>
  <si>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</si>
  <si>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</si>
  <si>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</si>
  <si>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</si>
  <si>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</si>
  <si>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</si>
  <si>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</si>
  <si>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</si>
  <si>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</si>
  <si>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</si>
  <si>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</si>
  <si>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</si>
  <si>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</si>
  <si>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</si>
  <si>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</si>
  <si>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</si>
  <si>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</si>
  <si>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</si>
  <si>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</si>
  <si>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</si>
  <si>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</si>
  <si>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</si>
  <si>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</si>
  <si>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</si>
  <si>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</si>
  <si>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</si>
  <si>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</si>
  <si>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</si>
  <si>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</si>
  <si>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</si>
  <si>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</si>
  <si>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</si>
  <si>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</si>
  <si>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</si>
  <si>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</si>
  <si>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</si>
  <si>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</si>
  <si>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</si>
  <si>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</si>
  <si>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</si>
  <si>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</si>
  <si>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</si>
  <si>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</si>
  <si>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</si>
  <si>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</si>
  <si>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</si>
  <si>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</si>
  <si>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</si>
  <si>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</si>
  <si>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</si>
  <si>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</si>
  <si>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</si>
  <si>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</si>
  <si>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</si>
  <si>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</si>
  <si>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</si>
  <si>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</si>
  <si>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</si>
  <si>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</si>
  <si>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</si>
  <si>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</si>
  <si>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</si>
  <si>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</si>
  <si>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</si>
  <si>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</si>
  <si>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</si>
  <si>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</si>
  <si>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</si>
  <si>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</si>
  <si>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</si>
  <si>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</si>
  <si>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</si>
  <si>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</si>
  <si>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</si>
  <si>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</si>
  <si>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</si>
  <si>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</si>
  <si>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</si>
  <si>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</si>
  <si>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</si>
  <si>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</si>
  <si>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</si>
  <si>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</si>
  <si>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</si>
  <si>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</si>
  <si>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</si>
  <si>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</si>
  <si>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</si>
  <si>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</si>
  <si>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</si>
  <si>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</si>
  <si>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</si>
  <si>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</si>
  <si>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</si>
  <si>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</si>
  <si>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</si>
  <si>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</si>
  <si>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</si>
  <si>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</si>
  <si>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</si>
  <si>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</si>
  <si>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</si>
  <si>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</si>
  <si>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</si>
  <si>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</si>
  <si>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</si>
  <si>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</si>
  <si>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</si>
  <si>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</si>
  <si>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</si>
  <si>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</si>
  <si>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</si>
  <si>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</si>
  <si>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</si>
  <si>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</si>
  <si>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</si>
  <si>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</si>
  <si>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</si>
  <si>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</si>
  <si>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</si>
  <si>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</si>
  <si>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</si>
  <si>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</si>
  <si>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</si>
  <si>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</si>
  <si>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</si>
  <si>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</si>
  <si>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</si>
  <si>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</si>
  <si>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</si>
  <si>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</si>
  <si>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</si>
  <si>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</si>
  <si>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</si>
  <si>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</si>
  <si>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</si>
  <si>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</si>
  <si>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</si>
  <si>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</si>
  <si>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</si>
  <si>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</si>
  <si>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</si>
  <si>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</si>
  <si>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</si>
  <si>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</si>
  <si>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</si>
  <si>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</si>
  <si>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</si>
  <si>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</si>
  <si>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</si>
  <si>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</si>
  <si>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</si>
  <si>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</si>
  <si>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</si>
  <si>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</si>
  <si>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</si>
  <si>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</si>
  <si>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</si>
  <si>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</si>
  <si>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</si>
  <si>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</si>
  <si>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</si>
  <si>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</si>
  <si>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</si>
  <si>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</si>
  <si>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</si>
  <si>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</si>
  <si>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</si>
  <si>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</si>
  <si>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</si>
  <si>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</si>
  <si>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</si>
  <si>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</si>
  <si>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</si>
  <si>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</si>
  <si>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</si>
  <si>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</si>
  <si>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</si>
  <si>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</si>
  <si>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</si>
  <si>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</si>
  <si>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</si>
  <si>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</si>
  <si>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</si>
  <si>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</si>
  <si>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</si>
  <si>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</si>
  <si>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</si>
  <si>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</si>
  <si>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</si>
  <si>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</si>
  <si>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</si>
  <si>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</si>
  <si>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</si>
  <si>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</si>
  <si>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</si>
  <si>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</si>
  <si>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</si>
  <si>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</si>
  <si>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</si>
  <si>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</si>
  <si>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</si>
  <si>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</si>
  <si>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</si>
  <si>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</si>
  <si>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</si>
  <si>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</si>
  <si>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</si>
  <si>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</si>
  <si>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</si>
  <si>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</si>
  <si>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</si>
  <si>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</si>
  <si>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</si>
  <si>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</si>
  <si>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</si>
  <si>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</si>
  <si>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</si>
  <si>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</si>
  <si>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</si>
  <si>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</si>
  <si>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</si>
  <si>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</si>
  <si>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</si>
  <si>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</si>
  <si>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</si>
  <si>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</si>
  <si>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</si>
  <si>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</si>
  <si>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</si>
  <si>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</si>
  <si>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</si>
  <si>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</si>
  <si>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</si>
  <si>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</si>
  <si>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</si>
  <si>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</si>
  <si>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</si>
  <si>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</si>
  <si>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</si>
  <si>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</si>
  <si>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</si>
  <si>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</si>
  <si>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</si>
  <si>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</si>
  <si>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</si>
  <si>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</si>
  <si>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</si>
  <si>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</si>
  <si>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</si>
  <si>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</si>
  <si>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</si>
  <si>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</si>
  <si>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</si>
  <si>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</si>
  <si>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</si>
  <si>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</si>
  <si>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</si>
  <si>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</si>
  <si>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</si>
  <si>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</si>
  <si>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</si>
  <si>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</si>
  <si>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</si>
  <si>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</si>
  <si>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</si>
  <si>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</si>
  <si>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</si>
  <si>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</si>
  <si>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</si>
  <si>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</si>
  <si>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</si>
  <si>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</si>
  <si>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</si>
  <si>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</si>
  <si>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</si>
  <si>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</si>
  <si>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</si>
  <si>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</si>
  <si>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</si>
  <si>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</si>
  <si>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</si>
  <si>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</si>
  <si>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</si>
  <si>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</si>
  <si>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</si>
  <si>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</si>
  <si>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</si>
  <si>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</si>
  <si>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</si>
  <si>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</si>
  <si>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</si>
  <si>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</si>
  <si>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</si>
  <si>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</si>
  <si>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</si>
  <si>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</si>
  <si>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</si>
  <si>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</si>
  <si>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</si>
  <si>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</si>
  <si>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</si>
  <si>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</si>
  <si>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</si>
  <si>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</si>
  <si>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</si>
  <si>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</si>
  <si>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</si>
  <si>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</si>
  <si>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</si>
  <si>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</si>
  <si>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</si>
  <si>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</si>
  <si>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</si>
  <si>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</si>
  <si>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</si>
  <si>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</si>
  <si>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</si>
  <si>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</si>
  <si>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</si>
  <si>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</si>
  <si>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</si>
  <si>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</si>
  <si>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</si>
  <si>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</si>
  <si>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</si>
  <si>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</si>
  <si>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</si>
  <si>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</si>
  <si>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</si>
  <si>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</si>
  <si>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</si>
  <si>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</si>
  <si>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</si>
  <si>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</si>
  <si>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</si>
  <si>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</si>
  <si>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</si>
  <si>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</si>
  <si>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</si>
  <si>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</si>
  <si>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</si>
  <si>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</si>
  <si>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</si>
  <si>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</si>
  <si>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</si>
  <si>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</si>
  <si>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</si>
  <si>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</si>
  <si>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</si>
  <si>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</si>
  <si>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</si>
  <si>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</si>
  <si>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</si>
  <si>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</si>
  <si>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</si>
  <si>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</si>
  <si>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</si>
  <si>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</si>
  <si>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</si>
  <si>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</si>
  <si>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</si>
  <si>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</si>
  <si>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</si>
  <si>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</si>
  <si>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</si>
  <si>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</si>
  <si>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</si>
  <si>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</si>
  <si>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</si>
  <si>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</si>
  <si>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</si>
  <si>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</si>
  <si>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</si>
  <si>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</si>
  <si>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</si>
  <si>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</si>
  <si>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</si>
  <si>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</si>
  <si>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</si>
  <si>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</si>
  <si>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</si>
  <si>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</si>
  <si>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</si>
  <si>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</si>
  <si>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</si>
  <si>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</si>
  <si>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</si>
  <si>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</si>
  <si>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</si>
  <si>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</si>
  <si>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</si>
  <si>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</si>
  <si>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</si>
  <si>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</si>
  <si>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</si>
  <si>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</si>
  <si>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</si>
  <si>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</si>
  <si>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</si>
  <si>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</si>
  <si>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</si>
  <si>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</si>
  <si>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</si>
  <si>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</si>
  <si>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</si>
  <si>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</si>
  <si>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</si>
  <si>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</si>
  <si>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</si>
  <si>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</si>
  <si>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</si>
  <si>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</si>
  <si>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</si>
  <si>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</si>
  <si>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</si>
  <si>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</si>
  <si>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</si>
  <si>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</si>
  <si>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</si>
  <si>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</si>
  <si>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</si>
  <si>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</si>
  <si>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</si>
  <si>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</si>
  <si>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</si>
  <si>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</si>
  <si>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</si>
  <si>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</si>
  <si>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</si>
  <si>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</si>
  <si>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</si>
  <si>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</si>
  <si>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</si>
  <si>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</si>
  <si>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</si>
  <si>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</si>
  <si>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</si>
  <si>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</si>
  <si>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</si>
  <si>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</si>
  <si>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</si>
  <si>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</si>
  <si>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</si>
  <si>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</si>
  <si>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</si>
  <si>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</si>
  <si>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</si>
  <si>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</si>
  <si>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</si>
  <si>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</si>
  <si>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</si>
  <si>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</si>
  <si>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</si>
  <si>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</si>
  <si>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</si>
  <si>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</si>
  <si>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</si>
  <si>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</si>
  <si>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</si>
  <si>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</si>
  <si>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</si>
  <si>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</si>
  <si>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</si>
  <si>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</si>
  <si>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</si>
  <si>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</si>
  <si>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</si>
  <si>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</si>
  <si>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</si>
  <si>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</si>
  <si>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</si>
  <si>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</si>
  <si>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</si>
  <si>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</si>
  <si>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</si>
  <si>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</si>
  <si>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</si>
  <si>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</si>
  <si>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</si>
  <si>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</si>
  <si>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</si>
  <si>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</si>
  <si>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</si>
  <si>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</si>
  <si>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</si>
  <si>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</si>
  <si>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</si>
  <si>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</si>
  <si>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</si>
  <si>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</si>
  <si>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</si>
  <si>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</si>
  <si>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</si>
  <si>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</si>
  <si>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</si>
  <si>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</si>
  <si>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</si>
  <si>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</si>
  <si>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</si>
  <si>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</si>
  <si>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</si>
  <si>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</si>
  <si>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</si>
  <si>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</si>
  <si>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</si>
  <si>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</si>
  <si>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</si>
  <si>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</si>
  <si>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</si>
  <si>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</si>
  <si>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</si>
  <si>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</si>
  <si>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</si>
  <si>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</si>
  <si>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</si>
  <si>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</si>
  <si>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</si>
  <si>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</si>
  <si>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</si>
  <si>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</si>
  <si>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</si>
  <si>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</si>
  <si>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</si>
  <si>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</si>
  <si>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</si>
  <si>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</si>
  <si>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</si>
  <si>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</si>
  <si>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</si>
  <si>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</si>
  <si>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</si>
  <si>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</si>
  <si>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</si>
  <si>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</si>
  <si>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</si>
  <si>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</si>
  <si>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</si>
  <si>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</si>
  <si>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</si>
  <si>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</si>
  <si>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</si>
  <si>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</si>
  <si>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</si>
  <si>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</si>
  <si>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</si>
  <si>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</si>
  <si>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</si>
  <si>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</si>
  <si>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</si>
  <si>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</si>
  <si>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</si>
  <si>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</si>
  <si>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</si>
  <si>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</si>
  <si>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</si>
  <si>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</si>
  <si>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</si>
  <si>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</si>
  <si>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</si>
  <si>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</si>
  <si>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</si>
  <si>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</si>
  <si>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</si>
  <si>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</si>
  <si>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</si>
  <si>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</si>
  <si>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</si>
  <si>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</si>
  <si>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</si>
  <si>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</si>
  <si>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</si>
  <si>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</si>
  <si>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</si>
  <si>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</si>
  <si>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</si>
  <si>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</si>
  <si>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</si>
  <si>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</si>
  <si>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</si>
  <si>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</si>
  <si>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</si>
  <si>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</si>
  <si>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</si>
  <si>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</si>
  <si>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</si>
  <si>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</si>
  <si>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</si>
  <si>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</si>
  <si>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</si>
  <si>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</si>
  <si>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</si>
  <si>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</si>
  <si>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</si>
  <si>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</si>
  <si>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</si>
  <si>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</si>
  <si>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</si>
  <si>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</si>
  <si>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</si>
  <si>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</si>
  <si>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</si>
  <si>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</si>
  <si>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</si>
  <si>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</si>
  <si>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</si>
  <si>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</si>
  <si>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</si>
  <si>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</si>
  <si>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</si>
  <si>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</si>
  <si>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</si>
  <si>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</si>
  <si>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</si>
  <si>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</si>
  <si>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</si>
  <si>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</si>
  <si>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</si>
  <si>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</si>
  <si>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</si>
  <si>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</si>
  <si>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</si>
  <si>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</si>
  <si>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</si>
  <si>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</si>
  <si>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</si>
  <si>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</si>
  <si>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</si>
  <si>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</si>
  <si>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</si>
  <si>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</si>
  <si>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</si>
  <si>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</si>
  <si>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</si>
  <si>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</si>
  <si>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</si>
  <si>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</si>
  <si>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</si>
  <si>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</si>
  <si>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</si>
  <si>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</si>
  <si>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</si>
  <si>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</si>
  <si>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</si>
  <si>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</si>
  <si>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</si>
  <si>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</si>
  <si>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</si>
  <si>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</si>
  <si>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</si>
  <si>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</si>
  <si>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</si>
  <si>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</si>
  <si>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</si>
  <si>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</si>
  <si>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</si>
  <si>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</si>
  <si>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</si>
  <si>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</si>
  <si>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</si>
  <si>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</si>
  <si>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</si>
  <si>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</si>
  <si>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</si>
  <si>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</si>
  <si>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</si>
  <si>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</si>
  <si>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</si>
  <si>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</si>
  <si>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</si>
  <si>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</si>
  <si>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</si>
  <si>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</si>
  <si>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</si>
  <si>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</si>
  <si>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</si>
  <si>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</si>
  <si>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</si>
  <si>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</si>
  <si>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</si>
  <si>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</si>
  <si>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</si>
  <si>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</si>
  <si>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</si>
  <si>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</si>
  <si>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</si>
  <si>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</si>
  <si>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</si>
  <si>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</si>
  <si>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</si>
  <si>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</si>
  <si>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</si>
  <si>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</si>
  <si>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</si>
  <si>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</si>
  <si>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</si>
  <si>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</si>
  <si>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</si>
  <si>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</si>
  <si>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</si>
  <si>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</si>
  <si>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</si>
  <si>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</si>
  <si>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</si>
  <si>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</si>
  <si>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</si>
  <si>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</si>
  <si>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</si>
  <si>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</si>
  <si>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</si>
  <si>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</si>
  <si>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</si>
  <si>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</si>
  <si>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</si>
  <si>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</si>
  <si>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</si>
  <si>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</si>
  <si>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</si>
  <si>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</si>
  <si>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</si>
  <si>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</si>
  <si>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</si>
  <si>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</si>
  <si>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</si>
  <si>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</si>
  <si>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</si>
  <si>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</si>
  <si>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</si>
  <si>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</si>
  <si>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</si>
  <si>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</si>
  <si>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</si>
  <si>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</si>
  <si>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</si>
  <si>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</si>
  <si>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</si>
  <si>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</si>
  <si>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</si>
  <si>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</si>
  <si>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</si>
  <si>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</si>
  <si>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</si>
  <si>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</si>
  <si>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</si>
  <si>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</si>
  <si>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</si>
  <si>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</si>
  <si>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</si>
  <si>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</si>
  <si>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</si>
  <si>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</si>
  <si>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</si>
  <si>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</si>
  <si>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</si>
  <si>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</si>
  <si>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</si>
  <si>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</si>
  <si>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</si>
  <si>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</si>
  <si>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</si>
  <si>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</si>
  <si>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</si>
  <si>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</si>
  <si>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</si>
  <si>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</si>
  <si>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</si>
  <si>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</si>
  <si>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</si>
  <si>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</si>
  <si>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</si>
  <si>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</si>
  <si>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</si>
  <si>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</si>
  <si>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</si>
  <si>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</si>
  <si>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</si>
  <si>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</si>
  <si>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</si>
  <si>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</si>
  <si>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</si>
  <si>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</si>
  <si>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</si>
  <si>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</si>
  <si>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</si>
  <si>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</si>
  <si>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</si>
  <si>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</si>
  <si>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</si>
  <si>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</si>
  <si>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</si>
  <si>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</si>
  <si>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</si>
  <si>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</si>
  <si>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</si>
  <si>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</si>
  <si>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</si>
  <si>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</si>
  <si>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</si>
  <si>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</si>
  <si>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</si>
  <si>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</si>
  <si>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</si>
  <si>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</si>
  <si>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</si>
  <si>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</si>
  <si>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</si>
  <si>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</si>
  <si>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</si>
  <si>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</si>
  <si>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</si>
  <si>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</si>
  <si>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</si>
  <si>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</si>
  <si>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</si>
  <si>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</si>
  <si>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</si>
  <si>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</si>
  <si>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</si>
  <si>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</si>
  <si>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</si>
  <si>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</si>
  <si>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</si>
  <si>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</si>
  <si>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</si>
  <si>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</si>
  <si>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</si>
  <si>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</si>
  <si>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</si>
  <si>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</si>
  <si>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</si>
  <si>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</si>
  <si>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</si>
  <si>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</si>
  <si>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</si>
  <si>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</si>
  <si>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</si>
  <si>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</si>
  <si>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</si>
  <si>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</si>
  <si>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</si>
  <si>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</si>
  <si>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</si>
  <si>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</si>
  <si>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</si>
  <si>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</si>
  <si>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</si>
  <si>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</si>
  <si>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</si>
  <si>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</si>
  <si>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</si>
  <si>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</si>
  <si>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</si>
  <si>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</si>
  <si>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</si>
  <si>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</si>
  <si>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</si>
  <si>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</si>
  <si>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</si>
  <si>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</si>
  <si>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</si>
  <si>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</si>
  <si>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</si>
  <si>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</si>
  <si>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</si>
  <si>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</si>
  <si>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</si>
  <si>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</si>
  <si>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</si>
  <si>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</si>
  <si>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</si>
  <si>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</si>
  <si>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</si>
  <si>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</si>
  <si>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</si>
  <si>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</si>
  <si>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</si>
  <si>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</si>
  <si>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</si>
  <si>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</si>
  <si>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</si>
  <si>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</si>
  <si>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</si>
  <si>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</si>
  <si>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</si>
  <si>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</si>
  <si>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</si>
  <si>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</si>
  <si>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</si>
  <si>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</si>
  <si>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</si>
  <si>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</si>
  <si>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</si>
  <si>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</si>
  <si>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</si>
  <si>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</si>
  <si>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</si>
  <si>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</si>
  <si>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</si>
  <si>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</si>
  <si>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</si>
  <si>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</si>
  <si>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</si>
  <si>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</si>
  <si>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</si>
  <si>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</si>
  <si>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</si>
  <si>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</si>
  <si>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</si>
  <si>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</si>
  <si>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</si>
  <si>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</si>
  <si>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</si>
  <si>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</si>
  <si>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</si>
  <si>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</si>
  <si>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</si>
  <si>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</si>
  <si>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</si>
  <si>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</si>
  <si>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</si>
  <si>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</si>
  <si>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</si>
  <si>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</si>
  <si>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</si>
  <si>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</si>
  <si>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</si>
  <si>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</si>
  <si>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</si>
  <si>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</si>
  <si>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</si>
  <si>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</si>
  <si>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</si>
  <si>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</si>
  <si>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</si>
  <si>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</si>
  <si>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</si>
  <si>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</si>
  <si>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</si>
  <si>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</si>
  <si>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</si>
  <si>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</si>
  <si>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</si>
  <si>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</si>
  <si>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</si>
  <si>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</si>
  <si>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</si>
  <si>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</si>
  <si>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</si>
  <si>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</si>
  <si>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</si>
  <si>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</si>
  <si>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</si>
  <si>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</si>
  <si>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</si>
  <si>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</si>
  <si>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</si>
  <si>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</si>
  <si>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</si>
  <si>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</si>
  <si>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</si>
  <si>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</si>
  <si>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</si>
  <si>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</si>
  <si>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</si>
  <si>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</si>
  <si>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</si>
  <si>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</si>
  <si>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</si>
  <si>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</si>
  <si>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</si>
  <si>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</si>
  <si>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</si>
  <si>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</si>
  <si>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</si>
  <si>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</si>
  <si>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</si>
  <si>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</si>
  <si>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</si>
  <si>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</si>
  <si>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</si>
  <si>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</si>
  <si>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</si>
  <si>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</si>
  <si>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</si>
  <si>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</si>
  <si>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</si>
  <si>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</si>
  <si>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</si>
  <si>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</si>
  <si>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</si>
  <si>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</si>
  <si>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</si>
  <si>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</si>
  <si>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</si>
  <si>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</si>
  <si>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</si>
  <si>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</si>
  <si>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</si>
  <si>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</si>
  <si>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</si>
  <si>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</si>
  <si>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</si>
  <si>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</si>
  <si>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</si>
  <si>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</si>
  <si>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</si>
  <si>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</si>
  <si>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</si>
  <si>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</si>
  <si>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</si>
  <si>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</si>
  <si>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</si>
  <si>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</si>
  <si>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</si>
  <si>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</si>
  <si>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</si>
  <si>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</si>
  <si>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</si>
  <si>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</si>
  <si>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</si>
  <si>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</si>
  <si>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</si>
  <si>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</si>
  <si>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</si>
  <si>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</si>
  <si>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</si>
  <si>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</si>
  <si>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</si>
  <si>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</si>
  <si>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</si>
  <si>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</si>
  <si>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</si>
  <si>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</si>
  <si>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</si>
  <si>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</si>
  <si>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</si>
  <si>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</si>
  <si>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</si>
  <si>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</si>
  <si>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</si>
  <si>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</si>
  <si>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</si>
  <si>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</si>
  <si>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</si>
  <si>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</si>
  <si>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</si>
  <si>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</si>
  <si>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</si>
  <si>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</si>
  <si>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</si>
  <si>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</si>
  <si>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</si>
  <si>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</si>
  <si>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</si>
  <si>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</si>
  <si>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</si>
  <si>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</si>
  <si>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</si>
  <si>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</si>
  <si>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</si>
  <si>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</si>
  <si>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</si>
  <si>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</si>
  <si>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</si>
  <si>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</si>
  <si>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</si>
  <si>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</si>
  <si>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</si>
  <si>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</si>
  <si>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</si>
  <si>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</si>
  <si>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</si>
  <si>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</si>
  <si>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</si>
  <si>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</si>
  <si>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</si>
  <si>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</si>
  <si>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</si>
  <si>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</si>
  <si>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</si>
  <si>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</si>
  <si>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</si>
  <si>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</si>
  <si>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</si>
  <si>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</si>
  <si>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</si>
  <si>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</si>
  <si>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</si>
  <si>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</si>
  <si>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</si>
  <si>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</si>
  <si>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</si>
  <si>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</si>
  <si>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</si>
  <si>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</si>
  <si>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</si>
  <si>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</si>
  <si>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</si>
  <si>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</si>
  <si>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</si>
  <si>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</si>
  <si>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</si>
  <si>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</si>
  <si>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</si>
  <si>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</si>
  <si>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</si>
  <si>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</si>
  <si>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</si>
  <si>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</si>
  <si>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</si>
  <si>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</si>
  <si>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</si>
  <si>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</si>
  <si>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</si>
  <si>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</si>
  <si>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</si>
  <si>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</si>
  <si>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</si>
  <si>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</si>
  <si>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</si>
  <si>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</si>
  <si>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</si>
  <si>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</si>
  <si>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</si>
  <si>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</si>
  <si>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</si>
  <si>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</si>
  <si>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</si>
  <si>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</si>
  <si>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</si>
  <si>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</si>
  <si>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</si>
  <si>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</si>
  <si>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</si>
  <si>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</si>
  <si>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</si>
  <si>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</si>
  <si>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</si>
  <si>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</si>
  <si>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</si>
  <si>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</si>
  <si>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</si>
  <si>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</si>
  <si>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</si>
  <si>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</si>
  <si>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</si>
  <si>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</si>
  <si>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</si>
  <si>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</si>
  <si>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</si>
  <si>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</si>
  <si>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</si>
  <si>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</si>
  <si>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</si>
  <si>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</si>
  <si>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</si>
  <si>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</si>
  <si>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</si>
  <si>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</si>
  <si>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</si>
  <si>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</si>
  <si>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</si>
  <si>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</si>
  <si>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</si>
  <si>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</si>
  <si>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</si>
  <si>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</si>
  <si>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</si>
  <si>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</si>
  <si>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</si>
  <si>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</si>
  <si>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</si>
  <si>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</si>
  <si>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</si>
  <si>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</si>
  <si>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</si>
  <si>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</si>
  <si>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</si>
  <si>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</si>
  <si>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16/06/2026</t>
    </r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</si>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</sst>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4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5" borderId="0" xfId="0" applyFill="1" applyAlignment="1">
      <alignment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8</xdr:col>
      <xdr:colOff>2926080</xdr:colOff>
      <xdr:row>0</xdr:row>
      <xdr:rowOff>60960</xdr:rowOff>
    </xdr:from>
    <xdr:to>
      <xdr:col>9</xdr:col>
      <xdr:colOff>929736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M1438" totalsRowShown="0" headerRowDxfId="18" dataDxfId="17">
  <autoFilter ref="A3:M1438" xr:uid="{55EBD2E6-4905-4F5C-BA52-B543D2ADF583}">
    <filterColumn colId="10">
      <dynamicFilter type="today" val="46189" maxVal="46190"/>
    </filterColumn>
  </autoFilter>
  <tableColumns count="13">
    <tableColumn id="1" xr3:uid="{45FEB92A-3BBB-4DD7-BFB4-FCF8193B9DA0}" name="DOCUMENTO" dataDxfId="16"/>
    <tableColumn id="11" xr3:uid="{66E71980-B85C-484D-AC00-35287F234007}" name="REVISÃO" dataDxfId="15">
      <calculatedColumnFormula>VLOOKUP(LD_01[[#This Row],[DOCUMENTO]],_xlfn.SORTBY(ARQUIVOS_RECEBIDOS!$E$2:$F$5010,ARQUIVOS_RECEBIDOS!$F$2:$F$5010,-1),2,)</calculatedColumnFormula>
    </tableColumn>
    <tableColumn id="13" xr3:uid="{2667FDC7-3645-4641-9F29-0FF98F460370}" name="ANO" dataDxfId="14"/>
    <tableColumn id="12" xr3:uid="{2216C95F-08BF-4922-8010-B09725A7896D}" name="TRECHO" dataDxfId="13"/>
    <tableColumn id="2" xr3:uid="{A68E7606-B91C-4A98-B278-CF72AE101DD9}" name="TÍTULO" dataDxfId="12"/>
    <tableColumn id="5" xr3:uid="{22F776BC-46B4-4CF1-8BC6-67E76E3A3A81}" name="DISCIPLINA" dataDxfId="11"/>
    <tableColumn id="6" xr3:uid="{65EE3D54-93BC-468C-BA59-93AC90D88F43}" name="SIGLA" dataDxfId="10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9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8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7">
      <calculatedColumnFormula array="1">_xlfn.TEXTJOIN(", ",TRUE,_xlfn.UNIQUE(_xlfn._xlws.FILTER(ARQUIVOS_RECEBIDOS!$F$2:$F$5010,ARQUIVOS_RECEBIDOS!$E$2:$E$5010=LD_01[[#This Row],[DOCUMENTO]])))</calculatedColumnFormula>
    </tableColumn>
    <tableColumn id="3" xr3:uid="{B6310292-962B-4FD1-8615-33E0F83AD21B}" name="DATA RECEBIMENTO" dataDxfId="6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5">
      <calculatedColumnFormula>_xlfn.TEXTJOIN("/",TRUE,"https://aterpa.sharepoint.com//sites/A373_Projetos/Documentos Compartilhados/11.Sala Tecnica/01.PROJETOS/ANO "&amp;TEXT(LD_01[[#This Row],[ANO]],"00"),LD_01[[#This Row],[PASTA]],LD_01[[#This Row],[ARQUIVO]])</calculatedColumnFormula>
    </tableColumn>
    <tableColumn id="9" xr3:uid="{17055F90-1AE1-4664-8E49-E8CA8523852F}" name="LOCAL" dataDxfId="4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567" totalsRowShown="0" headerRowDxfId="3">
  <autoFilter ref="A1:P3567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2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M1438"/>
  <sheetViews>
    <sheetView tabSelected="1" topLeftCell="C968" workbookViewId="0">
      <selection activeCell="L1099" sqref="L1099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10.33203125" style="8" bestFit="1" customWidth="1"/>
    <col min="5" max="5" width="40.44140625" style="8" customWidth="1"/>
    <col min="6" max="6" width="14.33203125" style="6" bestFit="1" customWidth="1"/>
    <col min="7" max="7" width="8.21875" style="6" bestFit="1" customWidth="1"/>
    <col min="8" max="8" width="27" style="6" bestFit="1" customWidth="1"/>
    <col min="9" max="9" width="45.109375" style="6" bestFit="1" customWidth="1"/>
    <col min="10" max="10" width="18.44140625" style="6" customWidth="1"/>
    <col min="11" max="11" width="11.88671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3" ht="38.4" customHeight="1" x14ac:dyDescent="0.3">
      <c r="A1" s="18" t="s">
        <v>4349</v>
      </c>
      <c r="B1" s="19"/>
      <c r="C1" s="19"/>
      <c r="D1" s="19"/>
      <c r="E1" s="19"/>
      <c r="F1" s="19"/>
      <c r="G1" s="19"/>
      <c r="H1" s="19"/>
      <c r="I1" s="19"/>
      <c r="J1" s="20"/>
    </row>
    <row r="2" spans="1:13" ht="15" thickBot="1" x14ac:dyDescent="0.35">
      <c r="A2" s="16" t="s">
        <v>4404</v>
      </c>
      <c r="B2" s="17"/>
      <c r="C2" s="24" t="s">
        <v>5991</v>
      </c>
      <c r="D2" s="25"/>
      <c r="E2" s="21" t="s">
        <v>6012</v>
      </c>
      <c r="F2" s="22"/>
      <c r="G2" s="22"/>
      <c r="H2" s="22"/>
      <c r="I2" s="22"/>
      <c r="J2" s="23"/>
    </row>
    <row r="3" spans="1:13" x14ac:dyDescent="0.3">
      <c r="A3" s="7" t="s">
        <v>4138</v>
      </c>
      <c r="B3" s="7" t="s">
        <v>4350</v>
      </c>
      <c r="C3" s="7" t="s">
        <v>5986</v>
      </c>
      <c r="D3" s="7" t="s">
        <v>4140</v>
      </c>
      <c r="E3" s="9" t="s">
        <v>4409</v>
      </c>
      <c r="F3" s="9" t="s">
        <v>4139</v>
      </c>
      <c r="G3" s="7" t="s">
        <v>4329</v>
      </c>
      <c r="H3" s="7" t="s">
        <v>4342</v>
      </c>
      <c r="I3" s="7" t="s">
        <v>4405</v>
      </c>
      <c r="J3" s="7" t="s">
        <v>4351</v>
      </c>
      <c r="K3" s="7" t="s">
        <v>4854</v>
      </c>
      <c r="L3" s="7" t="s">
        <v>5420</v>
      </c>
      <c r="M3" s="7" t="s">
        <v>5421</v>
      </c>
    </row>
    <row r="4" spans="1:13" hidden="1" x14ac:dyDescent="0.3">
      <c r="A4" s="6" t="s">
        <v>2785</v>
      </c>
      <c r="B4" s="6" t="str">
        <f>VLOOKUP(LD_01[[#This Row],[DOCUMENTO]],_xlfn.SORTBY(ARQUIVOS_RECEBIDOS!$E$2:$F$5010,ARQUIVOS_RECEBIDOS!$F$2:$F$5010,-1),2,)</f>
        <v>R00</v>
      </c>
      <c r="C4" s="15" t="s">
        <v>5987</v>
      </c>
      <c r="D4" s="6" t="s">
        <v>4309</v>
      </c>
      <c r="E4" s="8" t="s">
        <v>4164</v>
      </c>
      <c r="F4" s="8" t="s">
        <v>4163</v>
      </c>
      <c r="G4" s="6" t="str">
        <f>_xlfn.XLOOKUP(LD_01[[#This Row],[DISCIPLINA]],'CLASSES DE PROJETOS'!$F$3:$F$37,'CLASSES DE PROJETOS'!$C$3:$C$37)</f>
        <v>TO</v>
      </c>
      <c r="H4" t="str">
        <f>_xlfn.TEXTJOIN("/",TRUE,"MSV-163MS-"&amp;LD_01[[#This Row],[TRECHO]],_xlfn.XLOOKUP(LD_01[[#This Row],[SIGLA]],'CLASSES DE PROJETOS'!$C$3:$C$37,'CLASSES DE PROJETOS'!$E$3:$E$37))</f>
        <v>MSV-163MS-452-454/33.TO</v>
      </c>
      <c r="I4" s="6" t="str" cm="1">
        <f t="array" ref="I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J4" s="6" t="str" cm="1">
        <f t="array" ref="J4">_xlfn.TEXTJOIN(", ",TRUE,_xlfn.UNIQUE(_xlfn._xlws.FILTER(ARQUIVOS_RECEBIDOS!$F$2:$F$5010,ARQUIVOS_RECEBIDOS!$E$2:$E$5010=LD_01[[#This Row],[DOCUMENTO]])))</f>
        <v>R00</v>
      </c>
      <c r="K4" s="12" cm="1">
        <f t="array" ref="K4">_xlfn.UNIQUE(_xlfn._xlws.FILTER(ARQUIVOS[DATA RECEBIMENTO],(ARQUIVOS[DOCUMENTO]=LD_01[[#This Row],[DOCUMENTO]])*(ARQUIVOS[REVISÃO]=LD_01[[#This Row],[REVISÃO]])))</f>
        <v>45838</v>
      </c>
      <c r="L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M4" s="6" t="str">
        <f>LD_01[[#This Row],[PASTA]]&amp;"/"&amp;LD_01[[#This Row],[ARQUIVO]]</f>
        <v>MSV-163MS-452-454/33.TO/MSV-163MS-452-454-ACA-EXE-DE-C1-001-R00.pdf</v>
      </c>
    </row>
    <row r="5" spans="1:13" hidden="1" x14ac:dyDescent="0.3">
      <c r="A5" s="6" t="s">
        <v>2789</v>
      </c>
      <c r="B5" s="6" t="str">
        <f>VLOOKUP(LD_01[[#This Row],[DOCUMENTO]],_xlfn.SORTBY(ARQUIVOS_RECEBIDOS!$E$2:$F$5010,ARQUIVOS_RECEBIDOS!$F$2:$F$5010,-1),2,)</f>
        <v>R00</v>
      </c>
      <c r="C5" s="15" t="s">
        <v>5987</v>
      </c>
      <c r="D5" s="6" t="s">
        <v>4309</v>
      </c>
      <c r="E5" s="8" t="s">
        <v>4164</v>
      </c>
      <c r="F5" s="8" t="s">
        <v>4163</v>
      </c>
      <c r="G5" s="6" t="str">
        <f>_xlfn.XLOOKUP(LD_01[[#This Row],[DISCIPLINA]],'CLASSES DE PROJETOS'!$F$3:$F$37,'CLASSES DE PROJETOS'!$C$3:$C$37)</f>
        <v>TO</v>
      </c>
      <c r="H5" t="str">
        <f>_xlfn.TEXTJOIN("/",TRUE,"MSV-163MS-"&amp;LD_01[[#This Row],[TRECHO]],_xlfn.XLOOKUP(LD_01[[#This Row],[SIGLA]],'CLASSES DE PROJETOS'!$C$3:$C$37,'CLASSES DE PROJETOS'!$E$3:$E$37))</f>
        <v>MSV-163MS-452-454/33.TO</v>
      </c>
      <c r="I5" s="6" t="str" cm="1">
        <f t="array" ref="I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J5" s="6" t="str" cm="1">
        <f t="array" ref="J5">_xlfn.TEXTJOIN(", ",TRUE,_xlfn.UNIQUE(_xlfn._xlws.FILTER(ARQUIVOS_RECEBIDOS!$F$2:$F$5010,ARQUIVOS_RECEBIDOS!$E$2:$E$5010=LD_01[[#This Row],[DOCUMENTO]])))</f>
        <v>R00</v>
      </c>
      <c r="K5" s="12" cm="1">
        <f t="array" ref="K5">_xlfn.UNIQUE(_xlfn._xlws.FILTER(ARQUIVOS[DATA RECEBIMENTO],(ARQUIVOS[DOCUMENTO]=LD_01[[#This Row],[DOCUMENTO]])*(ARQUIVOS[REVISÃO]=LD_01[[#This Row],[REVISÃO]])))</f>
        <v>45838</v>
      </c>
      <c r="L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M5" s="6" t="str">
        <f>LD_01[[#This Row],[PASTA]]&amp;"/"&amp;LD_01[[#This Row],[ARQUIVO]]</f>
        <v>MSV-163MS-452-454/33.TO/MSV-163MS-452-454-ACA-EXE-DE-C1-002-R00.pdf</v>
      </c>
    </row>
    <row r="6" spans="1:13" ht="28.8" hidden="1" x14ac:dyDescent="0.3">
      <c r="A6" s="6" t="s">
        <v>2829</v>
      </c>
      <c r="B6" s="6" t="str">
        <f>VLOOKUP(LD_01[[#This Row],[DOCUMENTO]],_xlfn.SORTBY(ARQUIVOS_RECEBIDOS!$E$2:$F$5010,ARQUIVOS_RECEBIDOS!$F$2:$F$5010,-1),2,)</f>
        <v>R03</v>
      </c>
      <c r="C6" s="15" t="s">
        <v>5987</v>
      </c>
      <c r="D6" s="6" t="s">
        <v>4309</v>
      </c>
      <c r="E6" s="8" t="s">
        <v>4076</v>
      </c>
      <c r="F6" s="8" t="s">
        <v>4332</v>
      </c>
      <c r="G6" s="6" t="str">
        <f>_xlfn.XLOOKUP(LD_01[[#This Row],[DISCIPLINA]],'CLASSES DE PROJETOS'!$F$3:$F$37,'CLASSES DE PROJETOS'!$C$3:$C$37)</f>
        <v>GG</v>
      </c>
      <c r="H6" t="str">
        <f>_xlfn.TEXTJOIN("/",TRUE,"MSV-163MS-"&amp;LD_01[[#This Row],[TRECHO]],_xlfn.XLOOKUP(LD_01[[#This Row],[SIGLA]],'CLASSES DE PROJETOS'!$C$3:$C$37,'CLASSES DE PROJETOS'!$E$3:$E$37))</f>
        <v>MSV-163MS-452-454/19.GG</v>
      </c>
      <c r="I6" s="6" t="str" cm="1">
        <f t="array" ref="I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J6" s="6" t="str" cm="1">
        <f t="array" ref="J6">_xlfn.TEXTJOIN(", ",TRUE,_xlfn.UNIQUE(_xlfn._xlws.FILTER(ARQUIVOS_RECEBIDOS!$F$2:$F$5010,ARQUIVOS_RECEBIDOS!$E$2:$E$5010=LD_01[[#This Row],[DOCUMENTO]])))</f>
        <v>R03</v>
      </c>
      <c r="K6" s="12" cm="1">
        <f t="array" ref="K6">_xlfn.UNIQUE(_xlfn._xlws.FILTER(ARQUIVOS[DATA RECEBIMENTO],(ARQUIVOS[DOCUMENTO]=LD_01[[#This Row],[DOCUMENTO]])*(ARQUIVOS[REVISÃO]=LD_01[[#This Row],[REVISÃO]])))</f>
        <v>45838</v>
      </c>
      <c r="L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M6" s="6" t="str">
        <f>LD_01[[#This Row],[PASTA]]&amp;"/"&amp;LD_01[[#This Row],[ARQUIVO]]</f>
        <v>MSV-163MS-452-454/19.GG/MSV-163MS-452-454-ACA-EXE-DE-D3-001-R03.pdf</v>
      </c>
    </row>
    <row r="7" spans="1:13" ht="28.8" hidden="1" x14ac:dyDescent="0.3">
      <c r="A7" s="6" t="s">
        <v>2830</v>
      </c>
      <c r="B7" s="6" t="str">
        <f>VLOOKUP(LD_01[[#This Row],[DOCUMENTO]],_xlfn.SORTBY(ARQUIVOS_RECEBIDOS!$E$2:$F$5010,ARQUIVOS_RECEBIDOS!$F$2:$F$5010,-1),2,)</f>
        <v>R03</v>
      </c>
      <c r="C7" s="15" t="s">
        <v>5987</v>
      </c>
      <c r="D7" s="6" t="s">
        <v>4309</v>
      </c>
      <c r="E7" s="8" t="s">
        <v>4076</v>
      </c>
      <c r="F7" s="8" t="s">
        <v>4332</v>
      </c>
      <c r="G7" s="6" t="str">
        <f>_xlfn.XLOOKUP(LD_01[[#This Row],[DISCIPLINA]],'CLASSES DE PROJETOS'!$F$3:$F$37,'CLASSES DE PROJETOS'!$C$3:$C$37)</f>
        <v>GG</v>
      </c>
      <c r="H7" t="str">
        <f>_xlfn.TEXTJOIN("/",TRUE,"MSV-163MS-"&amp;LD_01[[#This Row],[TRECHO]],_xlfn.XLOOKUP(LD_01[[#This Row],[SIGLA]],'CLASSES DE PROJETOS'!$C$3:$C$37,'CLASSES DE PROJETOS'!$E$3:$E$37))</f>
        <v>MSV-163MS-452-454/19.GG</v>
      </c>
      <c r="I7" s="6" t="str" cm="1">
        <f t="array" ref="I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J7" s="6" t="str" cm="1">
        <f t="array" ref="J7">_xlfn.TEXTJOIN(", ",TRUE,_xlfn.UNIQUE(_xlfn._xlws.FILTER(ARQUIVOS_RECEBIDOS!$F$2:$F$5010,ARQUIVOS_RECEBIDOS!$E$2:$E$5010=LD_01[[#This Row],[DOCUMENTO]])))</f>
        <v>R03</v>
      </c>
      <c r="K7" s="12" cm="1">
        <f t="array" ref="K7">_xlfn.UNIQUE(_xlfn._xlws.FILTER(ARQUIVOS[DATA RECEBIMENTO],(ARQUIVOS[DOCUMENTO]=LD_01[[#This Row],[DOCUMENTO]])*(ARQUIVOS[REVISÃO]=LD_01[[#This Row],[REVISÃO]])))</f>
        <v>45838</v>
      </c>
      <c r="L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M7" s="6" t="str">
        <f>LD_01[[#This Row],[PASTA]]&amp;"/"&amp;LD_01[[#This Row],[ARQUIVO]]</f>
        <v>MSV-163MS-452-454/19.GG/MSV-163MS-452-454-ACA-EXE-DE-D3-002-R03.pdf</v>
      </c>
    </row>
    <row r="8" spans="1:13" ht="28.8" hidden="1" x14ac:dyDescent="0.3">
      <c r="A8" s="6" t="s">
        <v>2831</v>
      </c>
      <c r="B8" s="6" t="str">
        <f>VLOOKUP(LD_01[[#This Row],[DOCUMENTO]],_xlfn.SORTBY(ARQUIVOS_RECEBIDOS!$E$2:$F$5010,ARQUIVOS_RECEBIDOS!$F$2:$F$5010,-1),2,)</f>
        <v>R02</v>
      </c>
      <c r="C8" s="15" t="s">
        <v>5987</v>
      </c>
      <c r="D8" s="6" t="s">
        <v>4309</v>
      </c>
      <c r="E8" s="8" t="s">
        <v>4076</v>
      </c>
      <c r="F8" s="8" t="s">
        <v>4332</v>
      </c>
      <c r="G8" s="6" t="str">
        <f>_xlfn.XLOOKUP(LD_01[[#This Row],[DISCIPLINA]],'CLASSES DE PROJETOS'!$F$3:$F$37,'CLASSES DE PROJETOS'!$C$3:$C$37)</f>
        <v>GG</v>
      </c>
      <c r="H8" t="str">
        <f>_xlfn.TEXTJOIN("/",TRUE,"MSV-163MS-"&amp;LD_01[[#This Row],[TRECHO]],_xlfn.XLOOKUP(LD_01[[#This Row],[SIGLA]],'CLASSES DE PROJETOS'!$C$3:$C$37,'CLASSES DE PROJETOS'!$E$3:$E$37))</f>
        <v>MSV-163MS-452-454/19.GG</v>
      </c>
      <c r="I8" s="6" t="str" cm="1">
        <f t="array" ref="I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J8" s="6" t="str" cm="1">
        <f t="array" ref="J8">_xlfn.TEXTJOIN(", ",TRUE,_xlfn.UNIQUE(_xlfn._xlws.FILTER(ARQUIVOS_RECEBIDOS!$F$2:$F$5010,ARQUIVOS_RECEBIDOS!$E$2:$E$5010=LD_01[[#This Row],[DOCUMENTO]])))</f>
        <v>R02</v>
      </c>
      <c r="K8" s="12" cm="1">
        <f t="array" ref="K8">_xlfn.UNIQUE(_xlfn._xlws.FILTER(ARQUIVOS[DATA RECEBIMENTO],(ARQUIVOS[DOCUMENTO]=LD_01[[#This Row],[DOCUMENTO]])*(ARQUIVOS[REVISÃO]=LD_01[[#This Row],[REVISÃO]])))</f>
        <v>45838</v>
      </c>
      <c r="L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M8" s="6" t="str">
        <f>LD_01[[#This Row],[PASTA]]&amp;"/"&amp;LD_01[[#This Row],[ARQUIVO]]</f>
        <v>MSV-163MS-452-454/19.GG/MSV-163MS-452-454-ACA-EXE-DE-D3-003-R02.pdf</v>
      </c>
    </row>
    <row r="9" spans="1:13" ht="28.8" hidden="1" x14ac:dyDescent="0.3">
      <c r="A9" s="6" t="s">
        <v>2792</v>
      </c>
      <c r="B9" s="6" t="str">
        <f>VLOOKUP(LD_01[[#This Row],[DOCUMENTO]],_xlfn.SORTBY(ARQUIVOS_RECEBIDOS!$E$2:$F$5010,ARQUIVOS_RECEBIDOS!$F$2:$F$5010,-1),2,)</f>
        <v>R07</v>
      </c>
      <c r="C9" s="15" t="s">
        <v>5987</v>
      </c>
      <c r="D9" s="6" t="s">
        <v>4309</v>
      </c>
      <c r="E9" s="8" t="s">
        <v>4305</v>
      </c>
      <c r="F9" s="8" t="s">
        <v>4141</v>
      </c>
      <c r="G9" s="6" t="str">
        <f>_xlfn.XLOOKUP(LD_01[[#This Row],[DISCIPLINA]],'CLASSES DE PROJETOS'!$F$3:$F$37,'CLASSES DE PROJETOS'!$C$3:$C$37)</f>
        <v>GE</v>
      </c>
      <c r="H9" t="str">
        <f>_xlfn.TEXTJOIN("/",TRUE,"MSV-163MS-"&amp;LD_01[[#This Row],[TRECHO]],_xlfn.XLOOKUP(LD_01[[#This Row],[SIGLA]],'CLASSES DE PROJETOS'!$C$3:$C$37,'CLASSES DE PROJETOS'!$E$3:$E$37))</f>
        <v>MSV-163MS-452-454/18.GE</v>
      </c>
      <c r="I9" s="6" t="str" cm="1">
        <f t="array" ref="I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J9" s="6" t="str" cm="1">
        <f t="array" ref="J9">_xlfn.TEXTJOIN(", ",TRUE,_xlfn.UNIQUE(_xlfn._xlws.FILTER(ARQUIVOS_RECEBIDOS!$F$2:$F$5010,ARQUIVOS_RECEBIDOS!$E$2:$E$5010=LD_01[[#This Row],[DOCUMENTO]])))</f>
        <v>R07</v>
      </c>
      <c r="K9" s="12" cm="1">
        <f t="array" ref="K9">_xlfn.UNIQUE(_xlfn._xlws.FILTER(ARQUIVOS[DATA RECEBIMENTO],(ARQUIVOS[DOCUMENTO]=LD_01[[#This Row],[DOCUMENTO]])*(ARQUIVOS[REVISÃO]=LD_01[[#This Row],[REVISÃO]])))</f>
        <v>45838</v>
      </c>
      <c r="L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M9" s="6" t="str">
        <f>LD_01[[#This Row],[PASTA]]&amp;"/"&amp;LD_01[[#This Row],[ARQUIVO]]</f>
        <v>MSV-163MS-452-454/18.GE/MSV-163MS-452-454-ACA-EXE-DE-F1-001-R07.pdf</v>
      </c>
    </row>
    <row r="10" spans="1:13" ht="28.8" hidden="1" x14ac:dyDescent="0.3">
      <c r="A10" s="6" t="s">
        <v>2794</v>
      </c>
      <c r="B10" s="6" t="str">
        <f>VLOOKUP(LD_01[[#This Row],[DOCUMENTO]],_xlfn.SORTBY(ARQUIVOS_RECEBIDOS!$E$2:$F$5010,ARQUIVOS_RECEBIDOS!$F$2:$F$5010,-1),2,)</f>
        <v>R05</v>
      </c>
      <c r="C10" s="15" t="s">
        <v>5987</v>
      </c>
      <c r="D10" s="6" t="s">
        <v>4309</v>
      </c>
      <c r="E10" s="8" t="s">
        <v>4305</v>
      </c>
      <c r="F10" s="8" t="s">
        <v>4141</v>
      </c>
      <c r="G10" s="6" t="str">
        <f>_xlfn.XLOOKUP(LD_01[[#This Row],[DISCIPLINA]],'CLASSES DE PROJETOS'!$F$3:$F$37,'CLASSES DE PROJETOS'!$C$3:$C$37)</f>
        <v>GE</v>
      </c>
      <c r="H10" t="str">
        <f>_xlfn.TEXTJOIN("/",TRUE,"MSV-163MS-"&amp;LD_01[[#This Row],[TRECHO]],_xlfn.XLOOKUP(LD_01[[#This Row],[SIGLA]],'CLASSES DE PROJETOS'!$C$3:$C$37,'CLASSES DE PROJETOS'!$E$3:$E$37))</f>
        <v>MSV-163MS-452-454/18.GE</v>
      </c>
      <c r="I10" s="6" t="str" cm="1">
        <f t="array" ref="I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J10" s="6" t="str" cm="1">
        <f t="array" ref="J10">_xlfn.TEXTJOIN(", ",TRUE,_xlfn.UNIQUE(_xlfn._xlws.FILTER(ARQUIVOS_RECEBIDOS!$F$2:$F$5010,ARQUIVOS_RECEBIDOS!$E$2:$E$5010=LD_01[[#This Row],[DOCUMENTO]])))</f>
        <v>R05</v>
      </c>
      <c r="K10" s="12" cm="1">
        <f t="array" ref="K10">_xlfn.UNIQUE(_xlfn._xlws.FILTER(ARQUIVOS[DATA RECEBIMENTO],(ARQUIVOS[DOCUMENTO]=LD_01[[#This Row],[DOCUMENTO]])*(ARQUIVOS[REVISÃO]=LD_01[[#This Row],[REVISÃO]])))</f>
        <v>45838</v>
      </c>
      <c r="L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M10" s="6" t="str">
        <f>LD_01[[#This Row],[PASTA]]&amp;"/"&amp;LD_01[[#This Row],[ARQUIVO]]</f>
        <v>MSV-163MS-452-454/18.GE/MSV-163MS-452-454-ACA-EXE-DE-F1-002-R05.pdf</v>
      </c>
    </row>
    <row r="11" spans="1:13" ht="28.8" hidden="1" x14ac:dyDescent="0.3">
      <c r="A11" s="6" t="s">
        <v>2796</v>
      </c>
      <c r="B11" s="6" t="str">
        <f>VLOOKUP(LD_01[[#This Row],[DOCUMENTO]],_xlfn.SORTBY(ARQUIVOS_RECEBIDOS!$E$2:$F$5010,ARQUIVOS_RECEBIDOS!$F$2:$F$5010,-1),2,)</f>
        <v>R04</v>
      </c>
      <c r="C11" s="15" t="s">
        <v>5987</v>
      </c>
      <c r="D11" s="6" t="s">
        <v>4309</v>
      </c>
      <c r="E11" s="8" t="s">
        <v>4305</v>
      </c>
      <c r="F11" s="8" t="s">
        <v>4141</v>
      </c>
      <c r="G11" s="6" t="str">
        <f>_xlfn.XLOOKUP(LD_01[[#This Row],[DISCIPLINA]],'CLASSES DE PROJETOS'!$F$3:$F$37,'CLASSES DE PROJETOS'!$C$3:$C$37)</f>
        <v>GE</v>
      </c>
      <c r="H11" t="str">
        <f>_xlfn.TEXTJOIN("/",TRUE,"MSV-163MS-"&amp;LD_01[[#This Row],[TRECHO]],_xlfn.XLOOKUP(LD_01[[#This Row],[SIGLA]],'CLASSES DE PROJETOS'!$C$3:$C$37,'CLASSES DE PROJETOS'!$E$3:$E$37))</f>
        <v>MSV-163MS-452-454/18.GE</v>
      </c>
      <c r="I11" s="6" t="str" cm="1">
        <f t="array" ref="I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J11" s="6" t="str" cm="1">
        <f t="array" ref="J11">_xlfn.TEXTJOIN(", ",TRUE,_xlfn.UNIQUE(_xlfn._xlws.FILTER(ARQUIVOS_RECEBIDOS!$F$2:$F$5010,ARQUIVOS_RECEBIDOS!$E$2:$E$5010=LD_01[[#This Row],[DOCUMENTO]])))</f>
        <v>R04</v>
      </c>
      <c r="K11" s="12" cm="1">
        <f t="array" ref="K11">_xlfn.UNIQUE(_xlfn._xlws.FILTER(ARQUIVOS[DATA RECEBIMENTO],(ARQUIVOS[DOCUMENTO]=LD_01[[#This Row],[DOCUMENTO]])*(ARQUIVOS[REVISÃO]=LD_01[[#This Row],[REVISÃO]])))</f>
        <v>45838</v>
      </c>
      <c r="L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M11" s="6" t="str">
        <f>LD_01[[#This Row],[PASTA]]&amp;"/"&amp;LD_01[[#This Row],[ARQUIVO]]</f>
        <v>MSV-163MS-452-454/18.GE/MSV-163MS-452-454-ACA-EXE-DE-F1-003-R04.pdf</v>
      </c>
    </row>
    <row r="12" spans="1:13" ht="28.8" hidden="1" x14ac:dyDescent="0.3">
      <c r="A12" s="6" t="s">
        <v>2798</v>
      </c>
      <c r="B12" s="6" t="str">
        <f>VLOOKUP(LD_01[[#This Row],[DOCUMENTO]],_xlfn.SORTBY(ARQUIVOS_RECEBIDOS!$E$2:$F$5010,ARQUIVOS_RECEBIDOS!$F$2:$F$5010,-1),2,)</f>
        <v>R03</v>
      </c>
      <c r="C12" s="15" t="s">
        <v>5987</v>
      </c>
      <c r="D12" s="6" t="s">
        <v>4309</v>
      </c>
      <c r="E12" s="8" t="s">
        <v>4194</v>
      </c>
      <c r="F12" s="8" t="s">
        <v>4141</v>
      </c>
      <c r="G12" s="6" t="str">
        <f>_xlfn.XLOOKUP(LD_01[[#This Row],[DISCIPLINA]],'CLASSES DE PROJETOS'!$F$3:$F$37,'CLASSES DE PROJETOS'!$C$3:$C$37)</f>
        <v>GE</v>
      </c>
      <c r="H12" t="str">
        <f>_xlfn.TEXTJOIN("/",TRUE,"MSV-163MS-"&amp;LD_01[[#This Row],[TRECHO]],_xlfn.XLOOKUP(LD_01[[#This Row],[SIGLA]],'CLASSES DE PROJETOS'!$C$3:$C$37,'CLASSES DE PROJETOS'!$E$3:$E$37))</f>
        <v>MSV-163MS-452-454/18.GE</v>
      </c>
      <c r="I12" s="6" t="str" cm="1">
        <f t="array" ref="I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J12" s="6" t="str" cm="1">
        <f t="array" ref="J12">_xlfn.TEXTJOIN(", ",TRUE,_xlfn.UNIQUE(_xlfn._xlws.FILTER(ARQUIVOS_RECEBIDOS!$F$2:$F$5010,ARQUIVOS_RECEBIDOS!$E$2:$E$5010=LD_01[[#This Row],[DOCUMENTO]])))</f>
        <v>R03</v>
      </c>
      <c r="K12" s="12" cm="1">
        <f t="array" ref="K12">_xlfn.UNIQUE(_xlfn._xlws.FILTER(ARQUIVOS[DATA RECEBIMENTO],(ARQUIVOS[DOCUMENTO]=LD_01[[#This Row],[DOCUMENTO]])*(ARQUIVOS[REVISÃO]=LD_01[[#This Row],[REVISÃO]])))</f>
        <v>45838</v>
      </c>
      <c r="L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M12" s="6" t="str">
        <f>LD_01[[#This Row],[PASTA]]&amp;"/"&amp;LD_01[[#This Row],[ARQUIVO]]</f>
        <v>MSV-163MS-452-454/18.GE/MSV-163MS-452-454-ACA-EXE-DE-F1-004-R03.pdf</v>
      </c>
    </row>
    <row r="13" spans="1:13" ht="28.8" hidden="1" x14ac:dyDescent="0.3">
      <c r="A13" s="6" t="s">
        <v>2801</v>
      </c>
      <c r="B13" s="6" t="str">
        <f>VLOOKUP(LD_01[[#This Row],[DOCUMENTO]],_xlfn.SORTBY(ARQUIVOS_RECEBIDOS!$E$2:$F$5010,ARQUIVOS_RECEBIDOS!$F$2:$F$5010,-1),2,)</f>
        <v>R04</v>
      </c>
      <c r="C13" s="15" t="s">
        <v>5987</v>
      </c>
      <c r="D13" s="6" t="s">
        <v>4309</v>
      </c>
      <c r="E13" s="8" t="s">
        <v>4077</v>
      </c>
      <c r="F13" s="8" t="s">
        <v>4330</v>
      </c>
      <c r="G13" s="6" t="str">
        <f>_xlfn.XLOOKUP(LD_01[[#This Row],[DISCIPLINA]],'CLASSES DE PROJETOS'!$F$3:$F$37,'CLASSES DE PROJETOS'!$C$3:$C$37)</f>
        <v>TE</v>
      </c>
      <c r="H13" t="str">
        <f>_xlfn.TEXTJOIN("/",TRUE,"MSV-163MS-"&amp;LD_01[[#This Row],[TRECHO]],_xlfn.XLOOKUP(LD_01[[#This Row],[SIGLA]],'CLASSES DE PROJETOS'!$C$3:$C$37,'CLASSES DE PROJETOS'!$E$3:$E$37))</f>
        <v>MSV-163MS-452-454/32.TE</v>
      </c>
      <c r="I13" s="6" t="str" cm="1">
        <f t="array" ref="I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J13" s="6" t="str" cm="1">
        <f t="array" ref="J13">_xlfn.TEXTJOIN(", ",TRUE,_xlfn.UNIQUE(_xlfn._xlws.FILTER(ARQUIVOS_RECEBIDOS!$F$2:$F$5010,ARQUIVOS_RECEBIDOS!$E$2:$E$5010=LD_01[[#This Row],[DOCUMENTO]])))</f>
        <v>R04</v>
      </c>
      <c r="K13" s="12" cm="1">
        <f t="array" ref="K13">_xlfn.UNIQUE(_xlfn._xlws.FILTER(ARQUIVOS[DATA RECEBIMENTO],(ARQUIVOS[DOCUMENTO]=LD_01[[#This Row],[DOCUMENTO]])*(ARQUIVOS[REVISÃO]=LD_01[[#This Row],[REVISÃO]])))</f>
        <v>45838</v>
      </c>
      <c r="L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M13" s="6" t="str">
        <f>LD_01[[#This Row],[PASTA]]&amp;"/"&amp;LD_01[[#This Row],[ARQUIVO]]</f>
        <v>MSV-163MS-452-454/32.TE/MSV-163MS-452-454-ACA-EXE-DE-G1-001-R04.pdf</v>
      </c>
    </row>
    <row r="14" spans="1:13" ht="28.8" hidden="1" x14ac:dyDescent="0.3">
      <c r="A14" s="6" t="s">
        <v>2802</v>
      </c>
      <c r="B14" s="6" t="str">
        <f>VLOOKUP(LD_01[[#This Row],[DOCUMENTO]],_xlfn.SORTBY(ARQUIVOS_RECEBIDOS!$E$2:$F$5010,ARQUIVOS_RECEBIDOS!$F$2:$F$5010,-1),2,)</f>
        <v>R04</v>
      </c>
      <c r="C14" s="15" t="s">
        <v>5987</v>
      </c>
      <c r="D14" s="6" t="s">
        <v>4309</v>
      </c>
      <c r="E14" s="8" t="s">
        <v>4077</v>
      </c>
      <c r="F14" s="8" t="s">
        <v>4330</v>
      </c>
      <c r="G14" s="6" t="str">
        <f>_xlfn.XLOOKUP(LD_01[[#This Row],[DISCIPLINA]],'CLASSES DE PROJETOS'!$F$3:$F$37,'CLASSES DE PROJETOS'!$C$3:$C$37)</f>
        <v>TE</v>
      </c>
      <c r="H14" t="str">
        <f>_xlfn.TEXTJOIN("/",TRUE,"MSV-163MS-"&amp;LD_01[[#This Row],[TRECHO]],_xlfn.XLOOKUP(LD_01[[#This Row],[SIGLA]],'CLASSES DE PROJETOS'!$C$3:$C$37,'CLASSES DE PROJETOS'!$E$3:$E$37))</f>
        <v>MSV-163MS-452-454/32.TE</v>
      </c>
      <c r="I14" s="6" t="str" cm="1">
        <f t="array" ref="I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J14" s="6" t="str" cm="1">
        <f t="array" ref="J14">_xlfn.TEXTJOIN(", ",TRUE,_xlfn.UNIQUE(_xlfn._xlws.FILTER(ARQUIVOS_RECEBIDOS!$F$2:$F$5010,ARQUIVOS_RECEBIDOS!$E$2:$E$5010=LD_01[[#This Row],[DOCUMENTO]])))</f>
        <v>R04</v>
      </c>
      <c r="K14" s="12" cm="1">
        <f t="array" ref="K14">_xlfn.UNIQUE(_xlfn._xlws.FILTER(ARQUIVOS[DATA RECEBIMENTO],(ARQUIVOS[DOCUMENTO]=LD_01[[#This Row],[DOCUMENTO]])*(ARQUIVOS[REVISÃO]=LD_01[[#This Row],[REVISÃO]])))</f>
        <v>45838</v>
      </c>
      <c r="L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M14" s="6" t="str">
        <f>LD_01[[#This Row],[PASTA]]&amp;"/"&amp;LD_01[[#This Row],[ARQUIVO]]</f>
        <v>MSV-163MS-452-454/32.TE/MSV-163MS-452-454-ACA-EXE-DE-G1-002-R04.pdf</v>
      </c>
    </row>
    <row r="15" spans="1:13" ht="28.8" hidden="1" x14ac:dyDescent="0.3">
      <c r="A15" s="6" t="s">
        <v>2803</v>
      </c>
      <c r="B15" s="6" t="str">
        <f>VLOOKUP(LD_01[[#This Row],[DOCUMENTO]],_xlfn.SORTBY(ARQUIVOS_RECEBIDOS!$E$2:$F$5010,ARQUIVOS_RECEBIDOS!$F$2:$F$5010,-1),2,)</f>
        <v>R04</v>
      </c>
      <c r="C15" s="15" t="s">
        <v>5987</v>
      </c>
      <c r="D15" s="6" t="s">
        <v>4309</v>
      </c>
      <c r="E15" s="8" t="s">
        <v>4077</v>
      </c>
      <c r="F15" s="8" t="s">
        <v>4330</v>
      </c>
      <c r="G15" s="6" t="str">
        <f>_xlfn.XLOOKUP(LD_01[[#This Row],[DISCIPLINA]],'CLASSES DE PROJETOS'!$F$3:$F$37,'CLASSES DE PROJETOS'!$C$3:$C$37)</f>
        <v>TE</v>
      </c>
      <c r="H15" t="str">
        <f>_xlfn.TEXTJOIN("/",TRUE,"MSV-163MS-"&amp;LD_01[[#This Row],[TRECHO]],_xlfn.XLOOKUP(LD_01[[#This Row],[SIGLA]],'CLASSES DE PROJETOS'!$C$3:$C$37,'CLASSES DE PROJETOS'!$E$3:$E$37))</f>
        <v>MSV-163MS-452-454/32.TE</v>
      </c>
      <c r="I15" s="6" t="str" cm="1">
        <f t="array" ref="I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J15" s="6" t="str" cm="1">
        <f t="array" ref="J15">_xlfn.TEXTJOIN(", ",TRUE,_xlfn.UNIQUE(_xlfn._xlws.FILTER(ARQUIVOS_RECEBIDOS!$F$2:$F$5010,ARQUIVOS_RECEBIDOS!$E$2:$E$5010=LD_01[[#This Row],[DOCUMENTO]])))</f>
        <v>R04</v>
      </c>
      <c r="K15" s="12" cm="1">
        <f t="array" ref="K15">_xlfn.UNIQUE(_xlfn._xlws.FILTER(ARQUIVOS[DATA RECEBIMENTO],(ARQUIVOS[DOCUMENTO]=LD_01[[#This Row],[DOCUMENTO]])*(ARQUIVOS[REVISÃO]=LD_01[[#This Row],[REVISÃO]])))</f>
        <v>45838</v>
      </c>
      <c r="L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M15" s="6" t="str">
        <f>LD_01[[#This Row],[PASTA]]&amp;"/"&amp;LD_01[[#This Row],[ARQUIVO]]</f>
        <v>MSV-163MS-452-454/32.TE/MSV-163MS-452-454-ACA-EXE-DE-G1-003-R04.pdf</v>
      </c>
    </row>
    <row r="16" spans="1:13" ht="28.8" hidden="1" x14ac:dyDescent="0.3">
      <c r="A16" s="6" t="s">
        <v>2804</v>
      </c>
      <c r="B16" s="6" t="str">
        <f>VLOOKUP(LD_01[[#This Row],[DOCUMENTO]],_xlfn.SORTBY(ARQUIVOS_RECEBIDOS!$E$2:$F$5010,ARQUIVOS_RECEBIDOS!$F$2:$F$5010,-1),2,)</f>
        <v>R04</v>
      </c>
      <c r="C16" s="15" t="s">
        <v>5987</v>
      </c>
      <c r="D16" s="6" t="s">
        <v>4309</v>
      </c>
      <c r="E16" s="8" t="s">
        <v>4077</v>
      </c>
      <c r="F16" s="8" t="s">
        <v>4330</v>
      </c>
      <c r="G16" s="6" t="str">
        <f>_xlfn.XLOOKUP(LD_01[[#This Row],[DISCIPLINA]],'CLASSES DE PROJETOS'!$F$3:$F$37,'CLASSES DE PROJETOS'!$C$3:$C$37)</f>
        <v>TE</v>
      </c>
      <c r="H16" t="str">
        <f>_xlfn.TEXTJOIN("/",TRUE,"MSV-163MS-"&amp;LD_01[[#This Row],[TRECHO]],_xlfn.XLOOKUP(LD_01[[#This Row],[SIGLA]],'CLASSES DE PROJETOS'!$C$3:$C$37,'CLASSES DE PROJETOS'!$E$3:$E$37))</f>
        <v>MSV-163MS-452-454/32.TE</v>
      </c>
      <c r="I16" s="6" t="str" cm="1">
        <f t="array" ref="I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J16" s="6" t="str" cm="1">
        <f t="array" ref="J16">_xlfn.TEXTJOIN(", ",TRUE,_xlfn.UNIQUE(_xlfn._xlws.FILTER(ARQUIVOS_RECEBIDOS!$F$2:$F$5010,ARQUIVOS_RECEBIDOS!$E$2:$E$5010=LD_01[[#This Row],[DOCUMENTO]])))</f>
        <v>R04</v>
      </c>
      <c r="K16" s="12" cm="1">
        <f t="array" ref="K16">_xlfn.UNIQUE(_xlfn._xlws.FILTER(ARQUIVOS[DATA RECEBIMENTO],(ARQUIVOS[DOCUMENTO]=LD_01[[#This Row],[DOCUMENTO]])*(ARQUIVOS[REVISÃO]=LD_01[[#This Row],[REVISÃO]])))</f>
        <v>45838</v>
      </c>
      <c r="L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M16" s="6" t="str">
        <f>LD_01[[#This Row],[PASTA]]&amp;"/"&amp;LD_01[[#This Row],[ARQUIVO]]</f>
        <v>MSV-163MS-452-454/32.TE/MSV-163MS-452-454-ACA-EXE-DE-G1-004-R04.pdf</v>
      </c>
    </row>
    <row r="17" spans="1:13" hidden="1" x14ac:dyDescent="0.3">
      <c r="A17" s="6" t="s">
        <v>2807</v>
      </c>
      <c r="B17" s="6" t="str">
        <f>VLOOKUP(LD_01[[#This Row],[DOCUMENTO]],_xlfn.SORTBY(ARQUIVOS_RECEBIDOS!$E$2:$F$5010,ARQUIVOS_RECEBIDOS!$F$2:$F$5010,-1),2,)</f>
        <v>R03</v>
      </c>
      <c r="C17" s="15" t="s">
        <v>5987</v>
      </c>
      <c r="D17" s="6" t="s">
        <v>4309</v>
      </c>
      <c r="E17" s="8" t="s">
        <v>4076</v>
      </c>
      <c r="F17" s="8" t="s">
        <v>4142</v>
      </c>
      <c r="G17" s="6" t="str">
        <f>_xlfn.XLOOKUP(LD_01[[#This Row],[DISCIPLINA]],'CLASSES DE PROJETOS'!$F$3:$F$37,'CLASSES DE PROJETOS'!$C$3:$C$37)</f>
        <v>DR</v>
      </c>
      <c r="H17" t="str">
        <f>_xlfn.TEXTJOIN("/",TRUE,"MSV-163MS-"&amp;LD_01[[#This Row],[TRECHO]],_xlfn.XLOOKUP(LD_01[[#This Row],[SIGLA]],'CLASSES DE PROJETOS'!$C$3:$C$37,'CLASSES DE PROJETOS'!$E$3:$E$37))</f>
        <v>MSV-163MS-452-454/10.DR</v>
      </c>
      <c r="I17" s="6" t="str" cm="1">
        <f t="array" ref="I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J17" s="6" t="str" cm="1">
        <f t="array" ref="J17">_xlfn.TEXTJOIN(", ",TRUE,_xlfn.UNIQUE(_xlfn._xlws.FILTER(ARQUIVOS_RECEBIDOS!$F$2:$F$5010,ARQUIVOS_RECEBIDOS!$E$2:$E$5010=LD_01[[#This Row],[DOCUMENTO]])))</f>
        <v>R03</v>
      </c>
      <c r="K17" s="12" cm="1">
        <f t="array" ref="K17">_xlfn.UNIQUE(_xlfn._xlws.FILTER(ARQUIVOS[DATA RECEBIMENTO],(ARQUIVOS[DOCUMENTO]=LD_01[[#This Row],[DOCUMENTO]])*(ARQUIVOS[REVISÃO]=LD_01[[#This Row],[REVISÃO]])))</f>
        <v>45838</v>
      </c>
      <c r="L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M17" s="6" t="str">
        <f>LD_01[[#This Row],[PASTA]]&amp;"/"&amp;LD_01[[#This Row],[ARQUIVO]]</f>
        <v>MSV-163MS-452-454/10.DR/MSV-163MS-452-454-ACA-EXE-DE-H2-001-R03.pdf</v>
      </c>
    </row>
    <row r="18" spans="1:13" hidden="1" x14ac:dyDescent="0.3">
      <c r="A18" s="6" t="s">
        <v>2808</v>
      </c>
      <c r="B18" s="6" t="str">
        <f>VLOOKUP(LD_01[[#This Row],[DOCUMENTO]],_xlfn.SORTBY(ARQUIVOS_RECEBIDOS!$E$2:$F$5010,ARQUIVOS_RECEBIDOS!$F$2:$F$5010,-1),2,)</f>
        <v>R04</v>
      </c>
      <c r="C18" s="15" t="s">
        <v>5987</v>
      </c>
      <c r="D18" s="6" t="s">
        <v>4309</v>
      </c>
      <c r="E18" s="8" t="s">
        <v>4076</v>
      </c>
      <c r="F18" s="8" t="s">
        <v>4142</v>
      </c>
      <c r="G18" s="6" t="str">
        <f>_xlfn.XLOOKUP(LD_01[[#This Row],[DISCIPLINA]],'CLASSES DE PROJETOS'!$F$3:$F$37,'CLASSES DE PROJETOS'!$C$3:$C$37)</f>
        <v>DR</v>
      </c>
      <c r="H18" t="str">
        <f>_xlfn.TEXTJOIN("/",TRUE,"MSV-163MS-"&amp;LD_01[[#This Row],[TRECHO]],_xlfn.XLOOKUP(LD_01[[#This Row],[SIGLA]],'CLASSES DE PROJETOS'!$C$3:$C$37,'CLASSES DE PROJETOS'!$E$3:$E$37))</f>
        <v>MSV-163MS-452-454/10.DR</v>
      </c>
      <c r="I18" s="6" t="str" cm="1">
        <f t="array" ref="I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J18" s="6" t="str" cm="1">
        <f t="array" ref="J18">_xlfn.TEXTJOIN(", ",TRUE,_xlfn.UNIQUE(_xlfn._xlws.FILTER(ARQUIVOS_RECEBIDOS!$F$2:$F$5010,ARQUIVOS_RECEBIDOS!$E$2:$E$5010=LD_01[[#This Row],[DOCUMENTO]])))</f>
        <v>R03, R04</v>
      </c>
      <c r="K18" s="12" cm="1">
        <f t="array" ref="K18">_xlfn.UNIQUE(_xlfn._xlws.FILTER(ARQUIVOS[DATA RECEBIMENTO],(ARQUIVOS[DOCUMENTO]=LD_01[[#This Row],[DOCUMENTO]])*(ARQUIVOS[REVISÃO]=LD_01[[#This Row],[REVISÃO]])))</f>
        <v>45946</v>
      </c>
      <c r="L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M18" s="6" t="str">
        <f>LD_01[[#This Row],[PASTA]]&amp;"/"&amp;LD_01[[#This Row],[ARQUIVO]]</f>
        <v>MSV-163MS-452-454/10.DR/MSV-163MS-452-454-ACA-EXE-DE-H2-002-R04.pdf</v>
      </c>
    </row>
    <row r="19" spans="1:13" hidden="1" x14ac:dyDescent="0.3">
      <c r="A19" s="6" t="s">
        <v>2809</v>
      </c>
      <c r="B19" s="6" t="str">
        <f>VLOOKUP(LD_01[[#This Row],[DOCUMENTO]],_xlfn.SORTBY(ARQUIVOS_RECEBIDOS!$E$2:$F$5010,ARQUIVOS_RECEBIDOS!$F$2:$F$5010,-1),2,)</f>
        <v>R03</v>
      </c>
      <c r="C19" s="15" t="s">
        <v>5987</v>
      </c>
      <c r="D19" s="6" t="s">
        <v>4309</v>
      </c>
      <c r="E19" s="8" t="s">
        <v>4076</v>
      </c>
      <c r="F19" s="8" t="s">
        <v>4142</v>
      </c>
      <c r="G19" s="6" t="str">
        <f>_xlfn.XLOOKUP(LD_01[[#This Row],[DISCIPLINA]],'CLASSES DE PROJETOS'!$F$3:$F$37,'CLASSES DE PROJETOS'!$C$3:$C$37)</f>
        <v>DR</v>
      </c>
      <c r="H19" t="str">
        <f>_xlfn.TEXTJOIN("/",TRUE,"MSV-163MS-"&amp;LD_01[[#This Row],[TRECHO]],_xlfn.XLOOKUP(LD_01[[#This Row],[SIGLA]],'CLASSES DE PROJETOS'!$C$3:$C$37,'CLASSES DE PROJETOS'!$E$3:$E$37))</f>
        <v>MSV-163MS-452-454/10.DR</v>
      </c>
      <c r="I19" s="6" t="str" cm="1">
        <f t="array" ref="I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J19" s="6" t="str" cm="1">
        <f t="array" ref="J19">_xlfn.TEXTJOIN(", ",TRUE,_xlfn.UNIQUE(_xlfn._xlws.FILTER(ARQUIVOS_RECEBIDOS!$F$2:$F$5010,ARQUIVOS_RECEBIDOS!$E$2:$E$5010=LD_01[[#This Row],[DOCUMENTO]])))</f>
        <v>R03</v>
      </c>
      <c r="K19" s="12" cm="1">
        <f t="array" ref="K19">_xlfn.UNIQUE(_xlfn._xlws.FILTER(ARQUIVOS[DATA RECEBIMENTO],(ARQUIVOS[DOCUMENTO]=LD_01[[#This Row],[DOCUMENTO]])*(ARQUIVOS[REVISÃO]=LD_01[[#This Row],[REVISÃO]])))</f>
        <v>45838</v>
      </c>
      <c r="L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M19" s="6" t="str">
        <f>LD_01[[#This Row],[PASTA]]&amp;"/"&amp;LD_01[[#This Row],[ARQUIVO]]</f>
        <v>MSV-163MS-452-454/10.DR/MSV-163MS-452-454-ACA-EXE-DE-H2-003-R03.pdf</v>
      </c>
    </row>
    <row r="20" spans="1:13" hidden="1" x14ac:dyDescent="0.3">
      <c r="A20" s="6" t="s">
        <v>2810</v>
      </c>
      <c r="B20" s="6" t="str">
        <f>VLOOKUP(LD_01[[#This Row],[DOCUMENTO]],_xlfn.SORTBY(ARQUIVOS_RECEBIDOS!$E$2:$F$5010,ARQUIVOS_RECEBIDOS!$F$2:$F$5010,-1),2,)</f>
        <v>R05</v>
      </c>
      <c r="C20" s="15" t="s">
        <v>5987</v>
      </c>
      <c r="D20" s="6" t="s">
        <v>4309</v>
      </c>
      <c r="E20" s="8" t="s">
        <v>4078</v>
      </c>
      <c r="F20" s="8" t="s">
        <v>4142</v>
      </c>
      <c r="G20" s="6" t="str">
        <f>_xlfn.XLOOKUP(LD_01[[#This Row],[DISCIPLINA]],'CLASSES DE PROJETOS'!$F$3:$F$37,'CLASSES DE PROJETOS'!$C$3:$C$37)</f>
        <v>DR</v>
      </c>
      <c r="H20" t="str">
        <f>_xlfn.TEXTJOIN("/",TRUE,"MSV-163MS-"&amp;LD_01[[#This Row],[TRECHO]],_xlfn.XLOOKUP(LD_01[[#This Row],[SIGLA]],'CLASSES DE PROJETOS'!$C$3:$C$37,'CLASSES DE PROJETOS'!$E$3:$E$37))</f>
        <v>MSV-163MS-452-454/10.DR</v>
      </c>
      <c r="I20" s="6" t="str" cm="1">
        <f t="array" ref="I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J20" s="6" t="str" cm="1">
        <f t="array" ref="J20">_xlfn.TEXTJOIN(", ",TRUE,_xlfn.UNIQUE(_xlfn._xlws.FILTER(ARQUIVOS_RECEBIDOS!$F$2:$F$5010,ARQUIVOS_RECEBIDOS!$E$2:$E$5010=LD_01[[#This Row],[DOCUMENTO]])))</f>
        <v>R05</v>
      </c>
      <c r="K20" s="12" cm="1">
        <f t="array" ref="K20">_xlfn.UNIQUE(_xlfn._xlws.FILTER(ARQUIVOS[DATA RECEBIMENTO],(ARQUIVOS[DOCUMENTO]=LD_01[[#This Row],[DOCUMENTO]])*(ARQUIVOS[REVISÃO]=LD_01[[#This Row],[REVISÃO]])))</f>
        <v>45838</v>
      </c>
      <c r="L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M20" s="6" t="str">
        <f>LD_01[[#This Row],[PASTA]]&amp;"/"&amp;LD_01[[#This Row],[ARQUIVO]]</f>
        <v>MSV-163MS-452-454/10.DR/MSV-163MS-452-454-ACA-EXE-DE-H2-004-R05.pdf</v>
      </c>
    </row>
    <row r="21" spans="1:13" ht="28.8" hidden="1" x14ac:dyDescent="0.3">
      <c r="A21" s="6" t="s">
        <v>2811</v>
      </c>
      <c r="B21" s="6" t="str">
        <f>VLOOKUP(LD_01[[#This Row],[DOCUMENTO]],_xlfn.SORTBY(ARQUIVOS_RECEBIDOS!$E$2:$F$5010,ARQUIVOS_RECEBIDOS!$F$2:$F$5010,-1),2,)</f>
        <v>R03</v>
      </c>
      <c r="C21" s="15" t="s">
        <v>5987</v>
      </c>
      <c r="D21" s="6" t="s">
        <v>4309</v>
      </c>
      <c r="E21" s="8" t="s">
        <v>4079</v>
      </c>
      <c r="F21" s="8" t="s">
        <v>4142</v>
      </c>
      <c r="G21" s="6" t="str">
        <f>_xlfn.XLOOKUP(LD_01[[#This Row],[DISCIPLINA]],'CLASSES DE PROJETOS'!$F$3:$F$37,'CLASSES DE PROJETOS'!$C$3:$C$37)</f>
        <v>DR</v>
      </c>
      <c r="H21" t="str">
        <f>_xlfn.TEXTJOIN("/",TRUE,"MSV-163MS-"&amp;LD_01[[#This Row],[TRECHO]],_xlfn.XLOOKUP(LD_01[[#This Row],[SIGLA]],'CLASSES DE PROJETOS'!$C$3:$C$37,'CLASSES DE PROJETOS'!$E$3:$E$37))</f>
        <v>MSV-163MS-452-454/10.DR</v>
      </c>
      <c r="I21" s="6" t="str" cm="1">
        <f t="array" ref="I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J21" s="6" t="str" cm="1">
        <f t="array" ref="J21">_xlfn.TEXTJOIN(", ",TRUE,_xlfn.UNIQUE(_xlfn._xlws.FILTER(ARQUIVOS_RECEBIDOS!$F$2:$F$5010,ARQUIVOS_RECEBIDOS!$E$2:$E$5010=LD_01[[#This Row],[DOCUMENTO]])))</f>
        <v>R03</v>
      </c>
      <c r="K21" s="12" cm="1">
        <f t="array" ref="K21">_xlfn.UNIQUE(_xlfn._xlws.FILTER(ARQUIVOS[DATA RECEBIMENTO],(ARQUIVOS[DOCUMENTO]=LD_01[[#This Row],[DOCUMENTO]])*(ARQUIVOS[REVISÃO]=LD_01[[#This Row],[REVISÃO]])))</f>
        <v>45838</v>
      </c>
      <c r="L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M21" s="6" t="str">
        <f>LD_01[[#This Row],[PASTA]]&amp;"/"&amp;LD_01[[#This Row],[ARQUIVO]]</f>
        <v>MSV-163MS-452-454/10.DR/MSV-163MS-452-454-ACA-EXE-DE-H2-101-R03.pdf</v>
      </c>
    </row>
    <row r="22" spans="1:13" hidden="1" x14ac:dyDescent="0.3">
      <c r="A22" s="6" t="s">
        <v>2812</v>
      </c>
      <c r="B22" s="6" t="str">
        <f>VLOOKUP(LD_01[[#This Row],[DOCUMENTO]],_xlfn.SORTBY(ARQUIVOS_RECEBIDOS!$E$2:$F$5010,ARQUIVOS_RECEBIDOS!$F$2:$F$5010,-1),2,)</f>
        <v>R00</v>
      </c>
      <c r="C22" s="15" t="s">
        <v>5987</v>
      </c>
      <c r="D22" s="6" t="s">
        <v>4309</v>
      </c>
      <c r="E22" s="8" t="s">
        <v>4080</v>
      </c>
      <c r="F22" s="8" t="s">
        <v>4142</v>
      </c>
      <c r="G22" s="6" t="str">
        <f>_xlfn.XLOOKUP(LD_01[[#This Row],[DISCIPLINA]],'CLASSES DE PROJETOS'!$F$3:$F$37,'CLASSES DE PROJETOS'!$C$3:$C$37)</f>
        <v>DR</v>
      </c>
      <c r="H22" t="str">
        <f>_xlfn.TEXTJOIN("/",TRUE,"MSV-163MS-"&amp;LD_01[[#This Row],[TRECHO]],_xlfn.XLOOKUP(LD_01[[#This Row],[SIGLA]],'CLASSES DE PROJETOS'!$C$3:$C$37,'CLASSES DE PROJETOS'!$E$3:$E$37))</f>
        <v>MSV-163MS-452-454/10.DR</v>
      </c>
      <c r="I22" s="6" t="str" cm="1">
        <f t="array" ref="I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J22" s="6" t="str" cm="1">
        <f t="array" ref="J22">_xlfn.TEXTJOIN(", ",TRUE,_xlfn.UNIQUE(_xlfn._xlws.FILTER(ARQUIVOS_RECEBIDOS!$F$2:$F$5010,ARQUIVOS_RECEBIDOS!$E$2:$E$5010=LD_01[[#This Row],[DOCUMENTO]])))</f>
        <v>R00</v>
      </c>
      <c r="K22" s="12" cm="1">
        <f t="array" ref="K22">_xlfn.UNIQUE(_xlfn._xlws.FILTER(ARQUIVOS[DATA RECEBIMENTO],(ARQUIVOS[DOCUMENTO]=LD_01[[#This Row],[DOCUMENTO]])*(ARQUIVOS[REVISÃO]=LD_01[[#This Row],[REVISÃO]])))</f>
        <v>45838</v>
      </c>
      <c r="L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M22" s="6" t="str">
        <f>LD_01[[#This Row],[PASTA]]&amp;"/"&amp;LD_01[[#This Row],[ARQUIVO]]</f>
        <v>MSV-163MS-452-454/10.DR/MSV-163MS-452-454-ACA-EXE-DE-H2-102-R00.pdf</v>
      </c>
    </row>
    <row r="23" spans="1:13" hidden="1" x14ac:dyDescent="0.3">
      <c r="A23" s="6" t="s">
        <v>2821</v>
      </c>
      <c r="B23" s="6" t="str">
        <f>VLOOKUP(LD_01[[#This Row],[DOCUMENTO]],_xlfn.SORTBY(ARQUIVOS_RECEBIDOS!$E$2:$F$5010,ARQUIVOS_RECEBIDOS!$F$2:$F$5010,-1),2,)</f>
        <v>R04</v>
      </c>
      <c r="C23" s="15" t="s">
        <v>5987</v>
      </c>
      <c r="D23" s="6" t="s">
        <v>4309</v>
      </c>
      <c r="E23" s="8" t="s">
        <v>4087</v>
      </c>
      <c r="F23" s="8" t="s">
        <v>4143</v>
      </c>
      <c r="G23" s="6" t="str">
        <f>_xlfn.XLOOKUP(LD_01[[#This Row],[DISCIPLINA]],'CLASSES DE PROJETOS'!$F$3:$F$37,'CLASSES DE PROJETOS'!$C$3:$C$37)</f>
        <v>PV</v>
      </c>
      <c r="H23" t="str">
        <f>_xlfn.TEXTJOIN("/",TRUE,"MSV-163MS-"&amp;LD_01[[#This Row],[TRECHO]],_xlfn.XLOOKUP(LD_01[[#This Row],[SIGLA]],'CLASSES DE PROJETOS'!$C$3:$C$37,'CLASSES DE PROJETOS'!$E$3:$E$37))</f>
        <v>MSV-163MS-452-454/28.PV</v>
      </c>
      <c r="I23" s="6" t="str" cm="1">
        <f t="array" ref="I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J23" s="6" t="str" cm="1">
        <f t="array" ref="J23">_xlfn.TEXTJOIN(", ",TRUE,_xlfn.UNIQUE(_xlfn._xlws.FILTER(ARQUIVOS_RECEBIDOS!$F$2:$F$5010,ARQUIVOS_RECEBIDOS!$E$2:$E$5010=LD_01[[#This Row],[DOCUMENTO]])))</f>
        <v>R04</v>
      </c>
      <c r="K23" s="12" cm="1">
        <f t="array" ref="K23">_xlfn.UNIQUE(_xlfn._xlws.FILTER(ARQUIVOS[DATA RECEBIMENTO],(ARQUIVOS[DOCUMENTO]=LD_01[[#This Row],[DOCUMENTO]])*(ARQUIVOS[REVISÃO]=LD_01[[#This Row],[REVISÃO]])))</f>
        <v>45838</v>
      </c>
      <c r="L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M23" s="6" t="str">
        <f>LD_01[[#This Row],[PASTA]]&amp;"/"&amp;LD_01[[#This Row],[ARQUIVO]]</f>
        <v>MSV-163MS-452-454/28.PV/MSV-163MS-452-454-ACA-EXE-DE-I2-001-R04.pdf</v>
      </c>
    </row>
    <row r="24" spans="1:13" hidden="1" x14ac:dyDescent="0.3">
      <c r="A24" s="6" t="s">
        <v>2822</v>
      </c>
      <c r="B24" s="6" t="str">
        <f>VLOOKUP(LD_01[[#This Row],[DOCUMENTO]],_xlfn.SORTBY(ARQUIVOS_RECEBIDOS!$E$2:$F$5010,ARQUIVOS_RECEBIDOS!$F$2:$F$5010,-1),2,)</f>
        <v>R03</v>
      </c>
      <c r="C24" s="15" t="s">
        <v>5987</v>
      </c>
      <c r="D24" s="6" t="s">
        <v>4309</v>
      </c>
      <c r="E24" s="8" t="s">
        <v>4087</v>
      </c>
      <c r="F24" s="8" t="s">
        <v>4143</v>
      </c>
      <c r="G24" s="6" t="str">
        <f>_xlfn.XLOOKUP(LD_01[[#This Row],[DISCIPLINA]],'CLASSES DE PROJETOS'!$F$3:$F$37,'CLASSES DE PROJETOS'!$C$3:$C$37)</f>
        <v>PV</v>
      </c>
      <c r="H24" t="str">
        <f>_xlfn.TEXTJOIN("/",TRUE,"MSV-163MS-"&amp;LD_01[[#This Row],[TRECHO]],_xlfn.XLOOKUP(LD_01[[#This Row],[SIGLA]],'CLASSES DE PROJETOS'!$C$3:$C$37,'CLASSES DE PROJETOS'!$E$3:$E$37))</f>
        <v>MSV-163MS-452-454/28.PV</v>
      </c>
      <c r="I24" s="6" t="str" cm="1">
        <f t="array" ref="I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J24" s="6" t="str" cm="1">
        <f t="array" ref="J24">_xlfn.TEXTJOIN(", ",TRUE,_xlfn.UNIQUE(_xlfn._xlws.FILTER(ARQUIVOS_RECEBIDOS!$F$2:$F$5010,ARQUIVOS_RECEBIDOS!$E$2:$E$5010=LD_01[[#This Row],[DOCUMENTO]])))</f>
        <v>R03</v>
      </c>
      <c r="K24" s="12" cm="1">
        <f t="array" ref="K24">_xlfn.UNIQUE(_xlfn._xlws.FILTER(ARQUIVOS[DATA RECEBIMENTO],(ARQUIVOS[DOCUMENTO]=LD_01[[#This Row],[DOCUMENTO]])*(ARQUIVOS[REVISÃO]=LD_01[[#This Row],[REVISÃO]])))</f>
        <v>45838</v>
      </c>
      <c r="L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M24" s="6" t="str">
        <f>LD_01[[#This Row],[PASTA]]&amp;"/"&amp;LD_01[[#This Row],[ARQUIVO]]</f>
        <v>MSV-163MS-452-454/28.PV/MSV-163MS-452-454-ACA-EXE-DE-I2-002-R03.pdf</v>
      </c>
    </row>
    <row r="25" spans="1:13" hidden="1" x14ac:dyDescent="0.3">
      <c r="A25" s="6" t="s">
        <v>2823</v>
      </c>
      <c r="B25" s="6" t="str">
        <f>VLOOKUP(LD_01[[#This Row],[DOCUMENTO]],_xlfn.SORTBY(ARQUIVOS_RECEBIDOS!$E$2:$F$5010,ARQUIVOS_RECEBIDOS!$F$2:$F$5010,-1),2,)</f>
        <v>R03</v>
      </c>
      <c r="C25" s="15" t="s">
        <v>5987</v>
      </c>
      <c r="D25" s="6" t="s">
        <v>4309</v>
      </c>
      <c r="E25" s="8" t="s">
        <v>4087</v>
      </c>
      <c r="F25" s="8" t="s">
        <v>4143</v>
      </c>
      <c r="G25" s="6" t="str">
        <f>_xlfn.XLOOKUP(LD_01[[#This Row],[DISCIPLINA]],'CLASSES DE PROJETOS'!$F$3:$F$37,'CLASSES DE PROJETOS'!$C$3:$C$37)</f>
        <v>PV</v>
      </c>
      <c r="H25" t="str">
        <f>_xlfn.TEXTJOIN("/",TRUE,"MSV-163MS-"&amp;LD_01[[#This Row],[TRECHO]],_xlfn.XLOOKUP(LD_01[[#This Row],[SIGLA]],'CLASSES DE PROJETOS'!$C$3:$C$37,'CLASSES DE PROJETOS'!$E$3:$E$37))</f>
        <v>MSV-163MS-452-454/28.PV</v>
      </c>
      <c r="I25" s="6" t="str" cm="1">
        <f t="array" ref="I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J25" s="6" t="str" cm="1">
        <f t="array" ref="J25">_xlfn.TEXTJOIN(", ",TRUE,_xlfn.UNIQUE(_xlfn._xlws.FILTER(ARQUIVOS_RECEBIDOS!$F$2:$F$5010,ARQUIVOS_RECEBIDOS!$E$2:$E$5010=LD_01[[#This Row],[DOCUMENTO]])))</f>
        <v>R03</v>
      </c>
      <c r="K25" s="12" cm="1">
        <f t="array" ref="K25">_xlfn.UNIQUE(_xlfn._xlws.FILTER(ARQUIVOS[DATA RECEBIMENTO],(ARQUIVOS[DOCUMENTO]=LD_01[[#This Row],[DOCUMENTO]])*(ARQUIVOS[REVISÃO]=LD_01[[#This Row],[REVISÃO]])))</f>
        <v>45838</v>
      </c>
      <c r="L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M25" s="6" t="str">
        <f>LD_01[[#This Row],[PASTA]]&amp;"/"&amp;LD_01[[#This Row],[ARQUIVO]]</f>
        <v>MSV-163MS-452-454/28.PV/MSV-163MS-452-454-ACA-EXE-DE-I2-003-R03.pdf</v>
      </c>
    </row>
    <row r="26" spans="1:13" hidden="1" x14ac:dyDescent="0.3">
      <c r="A26" s="6" t="s">
        <v>2824</v>
      </c>
      <c r="B26" s="6" t="str">
        <f>VLOOKUP(LD_01[[#This Row],[DOCUMENTO]],_xlfn.SORTBY(ARQUIVOS_RECEBIDOS!$E$2:$F$5010,ARQUIVOS_RECEBIDOS!$F$2:$F$5010,-1),2,)</f>
        <v>R07</v>
      </c>
      <c r="C26" s="15" t="s">
        <v>5987</v>
      </c>
      <c r="D26" s="6" t="s">
        <v>4309</v>
      </c>
      <c r="E26" s="8" t="s">
        <v>4088</v>
      </c>
      <c r="F26" s="8" t="s">
        <v>4143</v>
      </c>
      <c r="G26" s="6" t="str">
        <f>_xlfn.XLOOKUP(LD_01[[#This Row],[DISCIPLINA]],'CLASSES DE PROJETOS'!$F$3:$F$37,'CLASSES DE PROJETOS'!$C$3:$C$37)</f>
        <v>PV</v>
      </c>
      <c r="H26" t="str">
        <f>_xlfn.TEXTJOIN("/",TRUE,"MSV-163MS-"&amp;LD_01[[#This Row],[TRECHO]],_xlfn.XLOOKUP(LD_01[[#This Row],[SIGLA]],'CLASSES DE PROJETOS'!$C$3:$C$37,'CLASSES DE PROJETOS'!$E$3:$E$37))</f>
        <v>MSV-163MS-452-454/28.PV</v>
      </c>
      <c r="I26" s="6" t="str" cm="1">
        <f t="array" ref="I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J26" s="6" t="str" cm="1">
        <f t="array" ref="J26">_xlfn.TEXTJOIN(", ",TRUE,_xlfn.UNIQUE(_xlfn._xlws.FILTER(ARQUIVOS_RECEBIDOS!$F$2:$F$5010,ARQUIVOS_RECEBIDOS!$E$2:$E$5010=LD_01[[#This Row],[DOCUMENTO]])))</f>
        <v>R06, R07</v>
      </c>
      <c r="K26" s="12" cm="1">
        <f t="array" ref="K26">_xlfn.UNIQUE(_xlfn._xlws.FILTER(ARQUIVOS[DATA RECEBIMENTO],(ARQUIVOS[DOCUMENTO]=LD_01[[#This Row],[DOCUMENTO]])*(ARQUIVOS[REVISÃO]=LD_01[[#This Row],[REVISÃO]])))</f>
        <v>45895</v>
      </c>
      <c r="L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M26" s="6" t="str">
        <f>LD_01[[#This Row],[PASTA]]&amp;"/"&amp;LD_01[[#This Row],[ARQUIVO]]</f>
        <v>MSV-163MS-452-454/28.PV/MSV-163MS-452-454-ACA-EXE-DE-I2-004-R07.pdf</v>
      </c>
    </row>
    <row r="27" spans="1:13" hidden="1" x14ac:dyDescent="0.3">
      <c r="A27" s="6" t="s">
        <v>2826</v>
      </c>
      <c r="B27" s="6" t="str">
        <f>VLOOKUP(LD_01[[#This Row],[DOCUMENTO]],_xlfn.SORTBY(ARQUIVOS_RECEBIDOS!$E$2:$F$5010,ARQUIVOS_RECEBIDOS!$F$2:$F$5010,-1),2,)</f>
        <v>R06</v>
      </c>
      <c r="C27" s="15" t="s">
        <v>5987</v>
      </c>
      <c r="D27" s="6" t="s">
        <v>4309</v>
      </c>
      <c r="E27" s="8" t="s">
        <v>4089</v>
      </c>
      <c r="F27" s="8" t="s">
        <v>4143</v>
      </c>
      <c r="G27" s="6" t="str">
        <f>_xlfn.XLOOKUP(LD_01[[#This Row],[DISCIPLINA]],'CLASSES DE PROJETOS'!$F$3:$F$37,'CLASSES DE PROJETOS'!$C$3:$C$37)</f>
        <v>PV</v>
      </c>
      <c r="H27" t="str">
        <f>_xlfn.TEXTJOIN("/",TRUE,"MSV-163MS-"&amp;LD_01[[#This Row],[TRECHO]],_xlfn.XLOOKUP(LD_01[[#This Row],[SIGLA]],'CLASSES DE PROJETOS'!$C$3:$C$37,'CLASSES DE PROJETOS'!$E$3:$E$37))</f>
        <v>MSV-163MS-452-454/28.PV</v>
      </c>
      <c r="I27" s="6" t="str" cm="1">
        <f t="array" ref="I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J27" s="6" t="str" cm="1">
        <f t="array" ref="J27">_xlfn.TEXTJOIN(", ",TRUE,_xlfn.UNIQUE(_xlfn._xlws.FILTER(ARQUIVOS_RECEBIDOS!$F$2:$F$5010,ARQUIVOS_RECEBIDOS!$E$2:$E$5010=LD_01[[#This Row],[DOCUMENTO]])))</f>
        <v>R06</v>
      </c>
      <c r="K27" s="12" cm="1">
        <f t="array" ref="K27">_xlfn.UNIQUE(_xlfn._xlws.FILTER(ARQUIVOS[DATA RECEBIMENTO],(ARQUIVOS[DOCUMENTO]=LD_01[[#This Row],[DOCUMENTO]])*(ARQUIVOS[REVISÃO]=LD_01[[#This Row],[REVISÃO]])))</f>
        <v>45838</v>
      </c>
      <c r="L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M27" s="6" t="str">
        <f>LD_01[[#This Row],[PASTA]]&amp;"/"&amp;LD_01[[#This Row],[ARQUIVO]]</f>
        <v>MSV-163MS-452-454/28.PV/MSV-163MS-452-454-ACA-EXE-DE-I2-005-R06.pdf</v>
      </c>
    </row>
    <row r="28" spans="1:13" hidden="1" x14ac:dyDescent="0.3">
      <c r="A28" s="6" t="s">
        <v>2815</v>
      </c>
      <c r="B28" s="6" t="str">
        <f>VLOOKUP(LD_01[[#This Row],[DOCUMENTO]],_xlfn.SORTBY(ARQUIVOS_RECEBIDOS!$E$2:$F$5010,ARQUIVOS_RECEBIDOS!$F$2:$F$5010,-1),2,)</f>
        <v>R05</v>
      </c>
      <c r="C28" s="15" t="s">
        <v>5987</v>
      </c>
      <c r="D28" s="6" t="s">
        <v>4309</v>
      </c>
      <c r="E28" s="8" t="s">
        <v>4083</v>
      </c>
      <c r="F28" s="8" t="s">
        <v>4331</v>
      </c>
      <c r="G28" s="6" t="str">
        <f>_xlfn.XLOOKUP(LD_01[[#This Row],[DISCIPLINA]],'CLASSES DE PROJETOS'!$F$3:$F$37,'CLASSES DE PROJETOS'!$C$3:$C$37)</f>
        <v>SI</v>
      </c>
      <c r="H28" t="str">
        <f>_xlfn.TEXTJOIN("/",TRUE,"MSV-163MS-"&amp;LD_01[[#This Row],[TRECHO]],_xlfn.XLOOKUP(LD_01[[#This Row],[SIGLA]],'CLASSES DE PROJETOS'!$C$3:$C$37,'CLASSES DE PROJETOS'!$E$3:$E$37))</f>
        <v>MSV-163MS-452-454/31.SI</v>
      </c>
      <c r="I28" s="6" t="str" cm="1">
        <f t="array" ref="I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J28" s="6" t="str" cm="1">
        <f t="array" ref="J28">_xlfn.TEXTJOIN(", ",TRUE,_xlfn.UNIQUE(_xlfn._xlws.FILTER(ARQUIVOS_RECEBIDOS!$F$2:$F$5010,ARQUIVOS_RECEBIDOS!$E$2:$E$5010=LD_01[[#This Row],[DOCUMENTO]])))</f>
        <v>R05</v>
      </c>
      <c r="K28" s="12" cm="1">
        <f t="array" ref="K28">_xlfn.UNIQUE(_xlfn._xlws.FILTER(ARQUIVOS[DATA RECEBIMENTO],(ARQUIVOS[DOCUMENTO]=LD_01[[#This Row],[DOCUMENTO]])*(ARQUIVOS[REVISÃO]=LD_01[[#This Row],[REVISÃO]])))</f>
        <v>45838</v>
      </c>
      <c r="L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M28" s="6" t="str">
        <f>LD_01[[#This Row],[PASTA]]&amp;"/"&amp;LD_01[[#This Row],[ARQUIVO]]</f>
        <v>MSV-163MS-452-454/31.SI/MSV-163MS-452-454-ACA-EXE-DE-J1-001-R05.pdf</v>
      </c>
    </row>
    <row r="29" spans="1:13" hidden="1" x14ac:dyDescent="0.3">
      <c r="A29" s="6" t="s">
        <v>2816</v>
      </c>
      <c r="B29" s="6" t="str">
        <f>VLOOKUP(LD_01[[#This Row],[DOCUMENTO]],_xlfn.SORTBY(ARQUIVOS_RECEBIDOS!$E$2:$F$5010,ARQUIVOS_RECEBIDOS!$F$2:$F$5010,-1),2,)</f>
        <v>R04</v>
      </c>
      <c r="C29" s="15" t="s">
        <v>5987</v>
      </c>
      <c r="D29" s="6" t="s">
        <v>4309</v>
      </c>
      <c r="E29" s="8" t="s">
        <v>4083</v>
      </c>
      <c r="F29" s="8" t="s">
        <v>4331</v>
      </c>
      <c r="G29" s="6" t="str">
        <f>_xlfn.XLOOKUP(LD_01[[#This Row],[DISCIPLINA]],'CLASSES DE PROJETOS'!$F$3:$F$37,'CLASSES DE PROJETOS'!$C$3:$C$37)</f>
        <v>SI</v>
      </c>
      <c r="H29" t="str">
        <f>_xlfn.TEXTJOIN("/",TRUE,"MSV-163MS-"&amp;LD_01[[#This Row],[TRECHO]],_xlfn.XLOOKUP(LD_01[[#This Row],[SIGLA]],'CLASSES DE PROJETOS'!$C$3:$C$37,'CLASSES DE PROJETOS'!$E$3:$E$37))</f>
        <v>MSV-163MS-452-454/31.SI</v>
      </c>
      <c r="I29" s="6" t="str" cm="1">
        <f t="array" ref="I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J29" s="6" t="str" cm="1">
        <f t="array" ref="J29">_xlfn.TEXTJOIN(", ",TRUE,_xlfn.UNIQUE(_xlfn._xlws.FILTER(ARQUIVOS_RECEBIDOS!$F$2:$F$5010,ARQUIVOS_RECEBIDOS!$E$2:$E$5010=LD_01[[#This Row],[DOCUMENTO]])))</f>
        <v>R04</v>
      </c>
      <c r="K29" s="12" cm="1">
        <f t="array" ref="K29">_xlfn.UNIQUE(_xlfn._xlws.FILTER(ARQUIVOS[DATA RECEBIMENTO],(ARQUIVOS[DOCUMENTO]=LD_01[[#This Row],[DOCUMENTO]])*(ARQUIVOS[REVISÃO]=LD_01[[#This Row],[REVISÃO]])))</f>
        <v>45838</v>
      </c>
      <c r="L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M29" s="6" t="str">
        <f>LD_01[[#This Row],[PASTA]]&amp;"/"&amp;LD_01[[#This Row],[ARQUIVO]]</f>
        <v>MSV-163MS-452-454/31.SI/MSV-163MS-452-454-ACA-EXE-DE-J1-002-R04.pdf</v>
      </c>
    </row>
    <row r="30" spans="1:13" hidden="1" x14ac:dyDescent="0.3">
      <c r="A30" s="6" t="s">
        <v>2817</v>
      </c>
      <c r="B30" s="6" t="str">
        <f>VLOOKUP(LD_01[[#This Row],[DOCUMENTO]],_xlfn.SORTBY(ARQUIVOS_RECEBIDOS!$E$2:$F$5010,ARQUIVOS_RECEBIDOS!$F$2:$F$5010,-1),2,)</f>
        <v>R02</v>
      </c>
      <c r="C30" s="15" t="s">
        <v>5987</v>
      </c>
      <c r="D30" s="6" t="s">
        <v>4309</v>
      </c>
      <c r="E30" s="8" t="s">
        <v>4084</v>
      </c>
      <c r="F30" s="8" t="s">
        <v>4331</v>
      </c>
      <c r="G30" s="6" t="str">
        <f>_xlfn.XLOOKUP(LD_01[[#This Row],[DISCIPLINA]],'CLASSES DE PROJETOS'!$F$3:$F$37,'CLASSES DE PROJETOS'!$C$3:$C$37)</f>
        <v>SI</v>
      </c>
      <c r="H30" t="str">
        <f>_xlfn.TEXTJOIN("/",TRUE,"MSV-163MS-"&amp;LD_01[[#This Row],[TRECHO]],_xlfn.XLOOKUP(LD_01[[#This Row],[SIGLA]],'CLASSES DE PROJETOS'!$C$3:$C$37,'CLASSES DE PROJETOS'!$E$3:$E$37))</f>
        <v>MSV-163MS-452-454/31.SI</v>
      </c>
      <c r="I30" s="6" t="str" cm="1">
        <f t="array" ref="I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J30" s="6" t="str" cm="1">
        <f t="array" ref="J30">_xlfn.TEXTJOIN(", ",TRUE,_xlfn.UNIQUE(_xlfn._xlws.FILTER(ARQUIVOS_RECEBIDOS!$F$2:$F$5010,ARQUIVOS_RECEBIDOS!$E$2:$E$5010=LD_01[[#This Row],[DOCUMENTO]])))</f>
        <v>R02</v>
      </c>
      <c r="K30" s="12" cm="1">
        <f t="array" ref="K30">_xlfn.UNIQUE(_xlfn._xlws.FILTER(ARQUIVOS[DATA RECEBIMENTO],(ARQUIVOS[DOCUMENTO]=LD_01[[#This Row],[DOCUMENTO]])*(ARQUIVOS[REVISÃO]=LD_01[[#This Row],[REVISÃO]])))</f>
        <v>45838</v>
      </c>
      <c r="L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M30" s="6" t="str">
        <f>LD_01[[#This Row],[PASTA]]&amp;"/"&amp;LD_01[[#This Row],[ARQUIVO]]</f>
        <v>MSV-163MS-452-454/31.SI/MSV-163MS-452-454-ACA-EXE-DE-J1-003-R02.pdf</v>
      </c>
    </row>
    <row r="31" spans="1:13" hidden="1" x14ac:dyDescent="0.3">
      <c r="A31" s="6" t="s">
        <v>2819</v>
      </c>
      <c r="B31" s="6" t="str">
        <f>VLOOKUP(LD_01[[#This Row],[DOCUMENTO]],_xlfn.SORTBY(ARQUIVOS_RECEBIDOS!$E$2:$F$5010,ARQUIVOS_RECEBIDOS!$F$2:$F$5010,-1),2,)</f>
        <v>R01</v>
      </c>
      <c r="C31" s="15" t="s">
        <v>5987</v>
      </c>
      <c r="D31" s="6" t="s">
        <v>4309</v>
      </c>
      <c r="E31" s="8" t="s">
        <v>4085</v>
      </c>
      <c r="F31" s="8" t="s">
        <v>4331</v>
      </c>
      <c r="G31" s="6" t="str">
        <f>_xlfn.XLOOKUP(LD_01[[#This Row],[DISCIPLINA]],'CLASSES DE PROJETOS'!$F$3:$F$37,'CLASSES DE PROJETOS'!$C$3:$C$37)</f>
        <v>SI</v>
      </c>
      <c r="H31" t="str">
        <f>_xlfn.TEXTJOIN("/",TRUE,"MSV-163MS-"&amp;LD_01[[#This Row],[TRECHO]],_xlfn.XLOOKUP(LD_01[[#This Row],[SIGLA]],'CLASSES DE PROJETOS'!$C$3:$C$37,'CLASSES DE PROJETOS'!$E$3:$E$37))</f>
        <v>MSV-163MS-452-454/31.SI</v>
      </c>
      <c r="I31" s="6" t="str" cm="1">
        <f t="array" ref="I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J31" s="6" t="str" cm="1">
        <f t="array" ref="J31">_xlfn.TEXTJOIN(", ",TRUE,_xlfn.UNIQUE(_xlfn._xlws.FILTER(ARQUIVOS_RECEBIDOS!$F$2:$F$5010,ARQUIVOS_RECEBIDOS!$E$2:$E$5010=LD_01[[#This Row],[DOCUMENTO]])))</f>
        <v>R01</v>
      </c>
      <c r="K31" s="12" cm="1">
        <f t="array" ref="K31">_xlfn.UNIQUE(_xlfn._xlws.FILTER(ARQUIVOS[DATA RECEBIMENTO],(ARQUIVOS[DOCUMENTO]=LD_01[[#This Row],[DOCUMENTO]])*(ARQUIVOS[REVISÃO]=LD_01[[#This Row],[REVISÃO]])))</f>
        <v>45838</v>
      </c>
      <c r="L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M31" s="6" t="str">
        <f>LD_01[[#This Row],[PASTA]]&amp;"/"&amp;LD_01[[#This Row],[ARQUIVO]]</f>
        <v>MSV-163MS-452-454/31.SI/MSV-163MS-452-454-ACA-EXE-DE-J1-004-R01.pdf</v>
      </c>
    </row>
    <row r="32" spans="1:13" hidden="1" x14ac:dyDescent="0.3">
      <c r="A32" s="6" t="s">
        <v>2820</v>
      </c>
      <c r="B32" s="6" t="str">
        <f>VLOOKUP(LD_01[[#This Row],[DOCUMENTO]],_xlfn.SORTBY(ARQUIVOS_RECEBIDOS!$E$2:$F$5010,ARQUIVOS_RECEBIDOS!$F$2:$F$5010,-1),2,)</f>
        <v>R00</v>
      </c>
      <c r="C32" s="15" t="s">
        <v>5987</v>
      </c>
      <c r="D32" s="6" t="s">
        <v>4309</v>
      </c>
      <c r="E32" s="8" t="s">
        <v>4086</v>
      </c>
      <c r="F32" s="8" t="s">
        <v>4331</v>
      </c>
      <c r="G32" s="6" t="str">
        <f>_xlfn.XLOOKUP(LD_01[[#This Row],[DISCIPLINA]],'CLASSES DE PROJETOS'!$F$3:$F$37,'CLASSES DE PROJETOS'!$C$3:$C$37)</f>
        <v>SI</v>
      </c>
      <c r="H32" t="str">
        <f>_xlfn.TEXTJOIN("/",TRUE,"MSV-163MS-"&amp;LD_01[[#This Row],[TRECHO]],_xlfn.XLOOKUP(LD_01[[#This Row],[SIGLA]],'CLASSES DE PROJETOS'!$C$3:$C$37,'CLASSES DE PROJETOS'!$E$3:$E$37))</f>
        <v>MSV-163MS-452-454/31.SI</v>
      </c>
      <c r="I32" s="6" t="str" cm="1">
        <f t="array" ref="I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J32" s="6" t="str" cm="1">
        <f t="array" ref="J32">_xlfn.TEXTJOIN(", ",TRUE,_xlfn.UNIQUE(_xlfn._xlws.FILTER(ARQUIVOS_RECEBIDOS!$F$2:$F$5010,ARQUIVOS_RECEBIDOS!$E$2:$E$5010=LD_01[[#This Row],[DOCUMENTO]])))</f>
        <v>R00</v>
      </c>
      <c r="K32" s="12" cm="1">
        <f t="array" ref="K32">_xlfn.UNIQUE(_xlfn._xlws.FILTER(ARQUIVOS[DATA RECEBIMENTO],(ARQUIVOS[DOCUMENTO]=LD_01[[#This Row],[DOCUMENTO]])*(ARQUIVOS[REVISÃO]=LD_01[[#This Row],[REVISÃO]])))</f>
        <v>45838</v>
      </c>
      <c r="L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M32" s="6" t="str">
        <f>LD_01[[#This Row],[PASTA]]&amp;"/"&amp;LD_01[[#This Row],[ARQUIVO]]</f>
        <v>MSV-163MS-452-454/31.SI/MSV-163MS-452-454-ACA-EXE-DE-J1-005-R00.pdf</v>
      </c>
    </row>
    <row r="33" spans="1:13" ht="43.2" hidden="1" x14ac:dyDescent="0.3">
      <c r="A33" s="6" t="s">
        <v>2834</v>
      </c>
      <c r="B33" s="6" t="str">
        <f>VLOOKUP(LD_01[[#This Row],[DOCUMENTO]],_xlfn.SORTBY(ARQUIVOS_RECEBIDOS!$E$2:$F$5010,ARQUIVOS_RECEBIDOS!$F$2:$F$5010,-1),2,)</f>
        <v>R03</v>
      </c>
      <c r="C33" s="15" t="s">
        <v>5987</v>
      </c>
      <c r="D33" s="6" t="s">
        <v>4309</v>
      </c>
      <c r="E33" s="8" t="s">
        <v>4170</v>
      </c>
      <c r="F33" s="8" t="s">
        <v>4333</v>
      </c>
      <c r="G33" s="6" t="str">
        <f>_xlfn.XLOOKUP(LD_01[[#This Row],[DISCIPLINA]],'CLASSES DE PROJETOS'!$F$3:$F$37,'CLASSES DE PROJETOS'!$C$3:$C$37)</f>
        <v>IN</v>
      </c>
      <c r="H33" t="str">
        <f>_xlfn.TEXTJOIN("/",TRUE,"MSV-163MS-"&amp;LD_01[[#This Row],[TRECHO]],_xlfn.XLOOKUP(LD_01[[#This Row],[SIGLA]],'CLASSES DE PROJETOS'!$C$3:$C$37,'CLASSES DE PROJETOS'!$E$3:$E$37))</f>
        <v>MSV-163MS-452-454/23.IN</v>
      </c>
      <c r="I33" s="6" t="str" cm="1">
        <f t="array" ref="I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J33" s="6" t="str" cm="1">
        <f t="array" ref="J33">_xlfn.TEXTJOIN(", ",TRUE,_xlfn.UNIQUE(_xlfn._xlws.FILTER(ARQUIVOS_RECEBIDOS!$F$2:$F$5010,ARQUIVOS_RECEBIDOS!$E$2:$E$5010=LD_01[[#This Row],[DOCUMENTO]])))</f>
        <v>R03</v>
      </c>
      <c r="K33" s="12" cm="1">
        <f t="array" ref="K33">_xlfn.UNIQUE(_xlfn._xlws.FILTER(ARQUIVOS[DATA RECEBIMENTO],(ARQUIVOS[DOCUMENTO]=LD_01[[#This Row],[DOCUMENTO]])*(ARQUIVOS[REVISÃO]=LD_01[[#This Row],[REVISÃO]])))</f>
        <v>45838</v>
      </c>
      <c r="L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M33" s="6" t="str">
        <f>LD_01[[#This Row],[PASTA]]&amp;"/"&amp;LD_01[[#This Row],[ARQUIVO]]</f>
        <v>MSV-163MS-452-454/23.IN/MSV-163MS-452-454-ACA-EXE-DE-M1-001-R03.pdf</v>
      </c>
    </row>
    <row r="34" spans="1:13" ht="43.2" hidden="1" x14ac:dyDescent="0.3">
      <c r="A34" s="6" t="s">
        <v>2835</v>
      </c>
      <c r="B34" s="6" t="str">
        <f>VLOOKUP(LD_01[[#This Row],[DOCUMENTO]],_xlfn.SORTBY(ARQUIVOS_RECEBIDOS!$E$2:$F$5010,ARQUIVOS_RECEBIDOS!$F$2:$F$5010,-1),2,)</f>
        <v>R03</v>
      </c>
      <c r="C34" s="15" t="s">
        <v>5987</v>
      </c>
      <c r="D34" s="6" t="s">
        <v>4309</v>
      </c>
      <c r="E34" s="8" t="s">
        <v>4170</v>
      </c>
      <c r="F34" s="8" t="s">
        <v>4333</v>
      </c>
      <c r="G34" s="6" t="str">
        <f>_xlfn.XLOOKUP(LD_01[[#This Row],[DISCIPLINA]],'CLASSES DE PROJETOS'!$F$3:$F$37,'CLASSES DE PROJETOS'!$C$3:$C$37)</f>
        <v>IN</v>
      </c>
      <c r="H34" t="str">
        <f>_xlfn.TEXTJOIN("/",TRUE,"MSV-163MS-"&amp;LD_01[[#This Row],[TRECHO]],_xlfn.XLOOKUP(LD_01[[#This Row],[SIGLA]],'CLASSES DE PROJETOS'!$C$3:$C$37,'CLASSES DE PROJETOS'!$E$3:$E$37))</f>
        <v>MSV-163MS-452-454/23.IN</v>
      </c>
      <c r="I34" s="6" t="str" cm="1">
        <f t="array" ref="I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J34" s="6" t="str" cm="1">
        <f t="array" ref="J34">_xlfn.TEXTJOIN(", ",TRUE,_xlfn.UNIQUE(_xlfn._xlws.FILTER(ARQUIVOS_RECEBIDOS!$F$2:$F$5010,ARQUIVOS_RECEBIDOS!$E$2:$E$5010=LD_01[[#This Row],[DOCUMENTO]])))</f>
        <v>R03</v>
      </c>
      <c r="K34" s="12" cm="1">
        <f t="array" ref="K34">_xlfn.UNIQUE(_xlfn._xlws.FILTER(ARQUIVOS[DATA RECEBIMENTO],(ARQUIVOS[DOCUMENTO]=LD_01[[#This Row],[DOCUMENTO]])*(ARQUIVOS[REVISÃO]=LD_01[[#This Row],[REVISÃO]])))</f>
        <v>45838</v>
      </c>
      <c r="L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M34" s="6" t="str">
        <f>LD_01[[#This Row],[PASTA]]&amp;"/"&amp;LD_01[[#This Row],[ARQUIVO]]</f>
        <v>MSV-163MS-452-454/23.IN/MSV-163MS-452-454-ACA-EXE-DE-M1-002-R03.pdf</v>
      </c>
    </row>
    <row r="35" spans="1:13" ht="28.8" hidden="1" x14ac:dyDescent="0.3">
      <c r="A35" s="6" t="s">
        <v>2843</v>
      </c>
      <c r="B35" s="6" t="str">
        <f>VLOOKUP(LD_01[[#This Row],[DOCUMENTO]],_xlfn.SORTBY(ARQUIVOS_RECEBIDOS!$E$2:$F$5010,ARQUIVOS_RECEBIDOS!$F$2:$F$5010,-1),2,)</f>
        <v>R04</v>
      </c>
      <c r="C35" s="15" t="s">
        <v>5987</v>
      </c>
      <c r="D35" s="6" t="s">
        <v>4309</v>
      </c>
      <c r="E35" s="8" t="s">
        <v>4168</v>
      </c>
      <c r="F35" s="8" t="s">
        <v>4334</v>
      </c>
      <c r="G35" s="6" t="str">
        <f>_xlfn.XLOOKUP(LD_01[[#This Row],[DISCIPLINA]],'CLASSES DE PROJETOS'!$F$3:$F$37,'CLASSES DE PROJETOS'!$C$3:$C$37)</f>
        <v>PA</v>
      </c>
      <c r="H35" t="str">
        <f>_xlfn.TEXTJOIN("/",TRUE,"MSV-163MS-"&amp;LD_01[[#This Row],[TRECHO]],_xlfn.XLOOKUP(LD_01[[#This Row],[SIGLA]],'CLASSES DE PROJETOS'!$C$3:$C$37,'CLASSES DE PROJETOS'!$E$3:$E$37))</f>
        <v>MSV-163MS-452-454/27.PA</v>
      </c>
      <c r="I35" s="6" t="str" cm="1">
        <f t="array" ref="I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J35" s="6" t="str" cm="1">
        <f t="array" ref="J35">_xlfn.TEXTJOIN(", ",TRUE,_xlfn.UNIQUE(_xlfn._xlws.FILTER(ARQUIVOS_RECEBIDOS!$F$2:$F$5010,ARQUIVOS_RECEBIDOS!$E$2:$E$5010=LD_01[[#This Row],[DOCUMENTO]])))</f>
        <v>R04</v>
      </c>
      <c r="K35" s="12" cm="1">
        <f t="array" ref="K35">_xlfn.UNIQUE(_xlfn._xlws.FILTER(ARQUIVOS[DATA RECEBIMENTO],(ARQUIVOS[DOCUMENTO]=LD_01[[#This Row],[DOCUMENTO]])*(ARQUIVOS[REVISÃO]=LD_01[[#This Row],[REVISÃO]])))</f>
        <v>45838</v>
      </c>
      <c r="L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M35" s="6" t="str">
        <f>LD_01[[#This Row],[PASTA]]&amp;"/"&amp;LD_01[[#This Row],[ARQUIVO]]</f>
        <v>MSV-163MS-452-454/27.PA/MSV-163MS-452-454-ACA-EXE-DE-N2-001-R04.pdf</v>
      </c>
    </row>
    <row r="36" spans="1:13" ht="28.8" hidden="1" x14ac:dyDescent="0.3">
      <c r="A36" s="6" t="s">
        <v>2844</v>
      </c>
      <c r="B36" s="6" t="str">
        <f>VLOOKUP(LD_01[[#This Row],[DOCUMENTO]],_xlfn.SORTBY(ARQUIVOS_RECEBIDOS!$E$2:$F$5010,ARQUIVOS_RECEBIDOS!$F$2:$F$5010,-1),2,)</f>
        <v>R05</v>
      </c>
      <c r="C36" s="15" t="s">
        <v>5987</v>
      </c>
      <c r="D36" s="6" t="s">
        <v>4309</v>
      </c>
      <c r="E36" s="8" t="s">
        <v>4168</v>
      </c>
      <c r="F36" s="8" t="s">
        <v>4334</v>
      </c>
      <c r="G36" s="6" t="str">
        <f>_xlfn.XLOOKUP(LD_01[[#This Row],[DISCIPLINA]],'CLASSES DE PROJETOS'!$F$3:$F$37,'CLASSES DE PROJETOS'!$C$3:$C$37)</f>
        <v>PA</v>
      </c>
      <c r="H36" t="str">
        <f>_xlfn.TEXTJOIN("/",TRUE,"MSV-163MS-"&amp;LD_01[[#This Row],[TRECHO]],_xlfn.XLOOKUP(LD_01[[#This Row],[SIGLA]],'CLASSES DE PROJETOS'!$C$3:$C$37,'CLASSES DE PROJETOS'!$E$3:$E$37))</f>
        <v>MSV-163MS-452-454/27.PA</v>
      </c>
      <c r="I36" s="6" t="str" cm="1">
        <f t="array" ref="I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J36" s="6" t="str" cm="1">
        <f t="array" ref="J36">_xlfn.TEXTJOIN(", ",TRUE,_xlfn.UNIQUE(_xlfn._xlws.FILTER(ARQUIVOS_RECEBIDOS!$F$2:$F$5010,ARQUIVOS_RECEBIDOS!$E$2:$E$5010=LD_01[[#This Row],[DOCUMENTO]])))</f>
        <v>R05</v>
      </c>
      <c r="K36" s="12" cm="1">
        <f t="array" ref="K36">_xlfn.UNIQUE(_xlfn._xlws.FILTER(ARQUIVOS[DATA RECEBIMENTO],(ARQUIVOS[DOCUMENTO]=LD_01[[#This Row],[DOCUMENTO]])*(ARQUIVOS[REVISÃO]=LD_01[[#This Row],[REVISÃO]])))</f>
        <v>45838</v>
      </c>
      <c r="L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M36" s="6" t="str">
        <f>LD_01[[#This Row],[PASTA]]&amp;"/"&amp;LD_01[[#This Row],[ARQUIVO]]</f>
        <v>MSV-163MS-452-454/27.PA/MSV-163MS-452-454-ACA-EXE-DE-N2-002-R05.pdf</v>
      </c>
    </row>
    <row r="37" spans="1:13" ht="28.8" hidden="1" x14ac:dyDescent="0.3">
      <c r="A37" s="6" t="s">
        <v>2837</v>
      </c>
      <c r="B37" s="6" t="str">
        <f>VLOOKUP(LD_01[[#This Row],[DOCUMENTO]],_xlfn.SORTBY(ARQUIVOS_RECEBIDOS!$E$2:$F$5010,ARQUIVOS_RECEBIDOS!$F$2:$F$5010,-1),2,)</f>
        <v>R03</v>
      </c>
      <c r="C37" s="15" t="s">
        <v>5987</v>
      </c>
      <c r="D37" s="6" t="s">
        <v>4309</v>
      </c>
      <c r="E37" s="8" t="s">
        <v>4094</v>
      </c>
      <c r="F37" s="8" t="s">
        <v>4144</v>
      </c>
      <c r="G37" s="6" t="str">
        <f>_xlfn.XLOOKUP(LD_01[[#This Row],[DISCIPLINA]],'CLASSES DE PROJETOS'!$F$3:$F$37,'CLASSES DE PROJETOS'!$C$3:$C$37)</f>
        <v>DV</v>
      </c>
      <c r="H37" t="str">
        <f>_xlfn.TEXTJOIN("/",TRUE,"MSV-163MS-"&amp;LD_01[[#This Row],[TRECHO]],_xlfn.XLOOKUP(LD_01[[#This Row],[SIGLA]],'CLASSES DE PROJETOS'!$C$3:$C$37,'CLASSES DE PROJETOS'!$E$3:$E$37))</f>
        <v>MSV-163MS-452-454/12.DV</v>
      </c>
      <c r="I37" s="6" t="str" cm="1">
        <f t="array" ref="I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J37" s="6" t="str" cm="1">
        <f t="array" ref="J37">_xlfn.TEXTJOIN(", ",TRUE,_xlfn.UNIQUE(_xlfn._xlws.FILTER(ARQUIVOS_RECEBIDOS!$F$2:$F$5010,ARQUIVOS_RECEBIDOS!$E$2:$E$5010=LD_01[[#This Row],[DOCUMENTO]])))</f>
        <v>R03</v>
      </c>
      <c r="K37" s="12" cm="1">
        <f t="array" ref="K37">_xlfn.UNIQUE(_xlfn._xlws.FILTER(ARQUIVOS[DATA RECEBIMENTO],(ARQUIVOS[DOCUMENTO]=LD_01[[#This Row],[DOCUMENTO]])*(ARQUIVOS[REVISÃO]=LD_01[[#This Row],[REVISÃO]])))</f>
        <v>45838</v>
      </c>
      <c r="L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M37" s="6" t="str">
        <f>LD_01[[#This Row],[PASTA]]&amp;"/"&amp;LD_01[[#This Row],[ARQUIVO]]</f>
        <v>MSV-163MS-452-454/12.DV/MSV-163MS-452-454-ACA-EXE-DE-O2-001-R03.pdf</v>
      </c>
    </row>
    <row r="38" spans="1:13" ht="28.8" hidden="1" x14ac:dyDescent="0.3">
      <c r="A38" s="6" t="s">
        <v>2838</v>
      </c>
      <c r="B38" s="6" t="str">
        <f>VLOOKUP(LD_01[[#This Row],[DOCUMENTO]],_xlfn.SORTBY(ARQUIVOS_RECEBIDOS!$E$2:$F$5010,ARQUIVOS_RECEBIDOS!$F$2:$F$5010,-1),2,)</f>
        <v>R02</v>
      </c>
      <c r="C38" s="15" t="s">
        <v>5987</v>
      </c>
      <c r="D38" s="6" t="s">
        <v>4309</v>
      </c>
      <c r="E38" s="8" t="s">
        <v>4094</v>
      </c>
      <c r="F38" s="8" t="s">
        <v>4144</v>
      </c>
      <c r="G38" s="6" t="str">
        <f>_xlfn.XLOOKUP(LD_01[[#This Row],[DISCIPLINA]],'CLASSES DE PROJETOS'!$F$3:$F$37,'CLASSES DE PROJETOS'!$C$3:$C$37)</f>
        <v>DV</v>
      </c>
      <c r="H38" t="str">
        <f>_xlfn.TEXTJOIN("/",TRUE,"MSV-163MS-"&amp;LD_01[[#This Row],[TRECHO]],_xlfn.XLOOKUP(LD_01[[#This Row],[SIGLA]],'CLASSES DE PROJETOS'!$C$3:$C$37,'CLASSES DE PROJETOS'!$E$3:$E$37))</f>
        <v>MSV-163MS-452-454/12.DV</v>
      </c>
      <c r="I38" s="6" t="str" cm="1">
        <f t="array" ref="I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J38" s="6" t="str" cm="1">
        <f t="array" ref="J38">_xlfn.TEXTJOIN(", ",TRUE,_xlfn.UNIQUE(_xlfn._xlws.FILTER(ARQUIVOS_RECEBIDOS!$F$2:$F$5010,ARQUIVOS_RECEBIDOS!$E$2:$E$5010=LD_01[[#This Row],[DOCUMENTO]])))</f>
        <v>R02</v>
      </c>
      <c r="K38" s="12" cm="1">
        <f t="array" ref="K38">_xlfn.UNIQUE(_xlfn._xlws.FILTER(ARQUIVOS[DATA RECEBIMENTO],(ARQUIVOS[DOCUMENTO]=LD_01[[#This Row],[DOCUMENTO]])*(ARQUIVOS[REVISÃO]=LD_01[[#This Row],[REVISÃO]])))</f>
        <v>45838</v>
      </c>
      <c r="L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M38" s="6" t="str">
        <f>LD_01[[#This Row],[PASTA]]&amp;"/"&amp;LD_01[[#This Row],[ARQUIVO]]</f>
        <v>MSV-163MS-452-454/12.DV/MSV-163MS-452-454-ACA-EXE-DE-O2-002-R02.pdf</v>
      </c>
    </row>
    <row r="39" spans="1:13" ht="28.8" hidden="1" x14ac:dyDescent="0.3">
      <c r="A39" s="6" t="s">
        <v>2839</v>
      </c>
      <c r="B39" s="6" t="str">
        <f>VLOOKUP(LD_01[[#This Row],[DOCUMENTO]],_xlfn.SORTBY(ARQUIVOS_RECEBIDOS!$E$2:$F$5010,ARQUIVOS_RECEBIDOS!$F$2:$F$5010,-1),2,)</f>
        <v>R02</v>
      </c>
      <c r="C39" s="15" t="s">
        <v>5987</v>
      </c>
      <c r="D39" s="6" t="s">
        <v>4309</v>
      </c>
      <c r="E39" s="8" t="s">
        <v>4171</v>
      </c>
      <c r="F39" s="8" t="s">
        <v>4144</v>
      </c>
      <c r="G39" s="6" t="str">
        <f>_xlfn.XLOOKUP(LD_01[[#This Row],[DISCIPLINA]],'CLASSES DE PROJETOS'!$F$3:$F$37,'CLASSES DE PROJETOS'!$C$3:$C$37)</f>
        <v>DV</v>
      </c>
      <c r="H39" t="str">
        <f>_xlfn.TEXTJOIN("/",TRUE,"MSV-163MS-"&amp;LD_01[[#This Row],[TRECHO]],_xlfn.XLOOKUP(LD_01[[#This Row],[SIGLA]],'CLASSES DE PROJETOS'!$C$3:$C$37,'CLASSES DE PROJETOS'!$E$3:$E$37))</f>
        <v>MSV-163MS-452-454/12.DV</v>
      </c>
      <c r="I39" s="6" t="str" cm="1">
        <f t="array" ref="I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J39" s="6" t="str" cm="1">
        <f t="array" ref="J39">_xlfn.TEXTJOIN(", ",TRUE,_xlfn.UNIQUE(_xlfn._xlws.FILTER(ARQUIVOS_RECEBIDOS!$F$2:$F$5010,ARQUIVOS_RECEBIDOS!$E$2:$E$5010=LD_01[[#This Row],[DOCUMENTO]])))</f>
        <v>R02</v>
      </c>
      <c r="K39" s="12" cm="1">
        <f t="array" ref="K39">_xlfn.UNIQUE(_xlfn._xlws.FILTER(ARQUIVOS[DATA RECEBIMENTO],(ARQUIVOS[DOCUMENTO]=LD_01[[#This Row],[DOCUMENTO]])*(ARQUIVOS[REVISÃO]=LD_01[[#This Row],[REVISÃO]])))</f>
        <v>45838</v>
      </c>
      <c r="L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M39" s="6" t="str">
        <f>LD_01[[#This Row],[PASTA]]&amp;"/"&amp;LD_01[[#This Row],[ARQUIVO]]</f>
        <v>MSV-163MS-452-454/12.DV/MSV-163MS-452-454-ACA-EXE-DE-O2-003-R02.pdf</v>
      </c>
    </row>
    <row r="40" spans="1:13" ht="28.8" hidden="1" x14ac:dyDescent="0.3">
      <c r="A40" s="6" t="s">
        <v>2840</v>
      </c>
      <c r="B40" s="6" t="str">
        <f>VLOOKUP(LD_01[[#This Row],[DOCUMENTO]],_xlfn.SORTBY(ARQUIVOS_RECEBIDOS!$E$2:$F$5010,ARQUIVOS_RECEBIDOS!$F$2:$F$5010,-1),2,)</f>
        <v>R00</v>
      </c>
      <c r="C40" s="15" t="s">
        <v>5987</v>
      </c>
      <c r="D40" s="6" t="s">
        <v>4309</v>
      </c>
      <c r="E40" s="8" t="s">
        <v>4171</v>
      </c>
      <c r="F40" s="8" t="s">
        <v>4144</v>
      </c>
      <c r="G40" s="6" t="str">
        <f>_xlfn.XLOOKUP(LD_01[[#This Row],[DISCIPLINA]],'CLASSES DE PROJETOS'!$F$3:$F$37,'CLASSES DE PROJETOS'!$C$3:$C$37)</f>
        <v>DV</v>
      </c>
      <c r="H40" t="str">
        <f>_xlfn.TEXTJOIN("/",TRUE,"MSV-163MS-"&amp;LD_01[[#This Row],[TRECHO]],_xlfn.XLOOKUP(LD_01[[#This Row],[SIGLA]],'CLASSES DE PROJETOS'!$C$3:$C$37,'CLASSES DE PROJETOS'!$E$3:$E$37))</f>
        <v>MSV-163MS-452-454/12.DV</v>
      </c>
      <c r="I40" s="6" t="str" cm="1">
        <f t="array" ref="I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J40" s="6" t="str" cm="1">
        <f t="array" ref="J40">_xlfn.TEXTJOIN(", ",TRUE,_xlfn.UNIQUE(_xlfn._xlws.FILTER(ARQUIVOS_RECEBIDOS!$F$2:$F$5010,ARQUIVOS_RECEBIDOS!$E$2:$E$5010=LD_01[[#This Row],[DOCUMENTO]])))</f>
        <v>R00</v>
      </c>
      <c r="K40" s="12" cm="1">
        <f t="array" ref="K40">_xlfn.UNIQUE(_xlfn._xlws.FILTER(ARQUIVOS[DATA RECEBIMENTO],(ARQUIVOS[DOCUMENTO]=LD_01[[#This Row],[DOCUMENTO]])*(ARQUIVOS[REVISÃO]=LD_01[[#This Row],[REVISÃO]])))</f>
        <v>45838</v>
      </c>
      <c r="L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M40" s="6" t="str">
        <f>LD_01[[#This Row],[PASTA]]&amp;"/"&amp;LD_01[[#This Row],[ARQUIVO]]</f>
        <v>MSV-163MS-452-454/12.DV/MSV-163MS-452-454-ACA-EXE-DE-O2-004-R00.pdf</v>
      </c>
    </row>
    <row r="41" spans="1:13" ht="28.8" hidden="1" x14ac:dyDescent="0.3">
      <c r="A41" s="6" t="s">
        <v>2841</v>
      </c>
      <c r="B41" s="6" t="str">
        <f>VLOOKUP(LD_01[[#This Row],[DOCUMENTO]],_xlfn.SORTBY(ARQUIVOS_RECEBIDOS!$E$2:$F$5010,ARQUIVOS_RECEBIDOS!$F$2:$F$5010,-1),2,)</f>
        <v>R02</v>
      </c>
      <c r="C41" s="15" t="s">
        <v>5987</v>
      </c>
      <c r="D41" s="6" t="s">
        <v>4309</v>
      </c>
      <c r="E41" s="8" t="s">
        <v>4172</v>
      </c>
      <c r="F41" s="8" t="s">
        <v>4144</v>
      </c>
      <c r="G41" s="6" t="str">
        <f>_xlfn.XLOOKUP(LD_01[[#This Row],[DISCIPLINA]],'CLASSES DE PROJETOS'!$F$3:$F$37,'CLASSES DE PROJETOS'!$C$3:$C$37)</f>
        <v>DV</v>
      </c>
      <c r="H41" t="str">
        <f>_xlfn.TEXTJOIN("/",TRUE,"MSV-163MS-"&amp;LD_01[[#This Row],[TRECHO]],_xlfn.XLOOKUP(LD_01[[#This Row],[SIGLA]],'CLASSES DE PROJETOS'!$C$3:$C$37,'CLASSES DE PROJETOS'!$E$3:$E$37))</f>
        <v>MSV-163MS-452-454/12.DV</v>
      </c>
      <c r="I41" s="6" t="str" cm="1">
        <f t="array" ref="I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J41" s="6" t="str" cm="1">
        <f t="array" ref="J41">_xlfn.TEXTJOIN(", ",TRUE,_xlfn.UNIQUE(_xlfn._xlws.FILTER(ARQUIVOS_RECEBIDOS!$F$2:$F$5010,ARQUIVOS_RECEBIDOS!$E$2:$E$5010=LD_01[[#This Row],[DOCUMENTO]])))</f>
        <v>R02</v>
      </c>
      <c r="K41" s="12" cm="1">
        <f t="array" ref="K41">_xlfn.UNIQUE(_xlfn._xlws.FILTER(ARQUIVOS[DATA RECEBIMENTO],(ARQUIVOS[DOCUMENTO]=LD_01[[#This Row],[DOCUMENTO]])*(ARQUIVOS[REVISÃO]=LD_01[[#This Row],[REVISÃO]])))</f>
        <v>45838</v>
      </c>
      <c r="L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M41" s="6" t="str">
        <f>LD_01[[#This Row],[PASTA]]&amp;"/"&amp;LD_01[[#This Row],[ARQUIVO]]</f>
        <v>MSV-163MS-452-454/12.DV/MSV-163MS-452-454-ACA-EXE-DE-O2-005-R02.pdf</v>
      </c>
    </row>
    <row r="42" spans="1:13" ht="28.8" hidden="1" x14ac:dyDescent="0.3">
      <c r="A42" s="6" t="s">
        <v>2805</v>
      </c>
      <c r="B42" s="6" t="str">
        <f>VLOOKUP(LD_01[[#This Row],[DOCUMENTO]],_xlfn.SORTBY(ARQUIVOS_RECEBIDOS!$E$2:$F$5010,ARQUIVOS_RECEBIDOS!$F$2:$F$5010,-1),2,)</f>
        <v>R07</v>
      </c>
      <c r="C42" s="15" t="s">
        <v>5987</v>
      </c>
      <c r="D42" s="6" t="s">
        <v>4309</v>
      </c>
      <c r="E42" s="8" t="s">
        <v>4323</v>
      </c>
      <c r="F42" s="8" t="s">
        <v>4330</v>
      </c>
      <c r="G42" s="6" t="str">
        <f>_xlfn.XLOOKUP(LD_01[[#This Row],[DISCIPLINA]],'CLASSES DE PROJETOS'!$F$3:$F$37,'CLASSES DE PROJETOS'!$C$3:$C$37)</f>
        <v>TE</v>
      </c>
      <c r="H42" t="str">
        <f>_xlfn.TEXTJOIN("/",TRUE,"MSV-163MS-"&amp;LD_01[[#This Row],[TRECHO]],_xlfn.XLOOKUP(LD_01[[#This Row],[SIGLA]],'CLASSES DE PROJETOS'!$C$3:$C$37,'CLASSES DE PROJETOS'!$E$3:$E$37))</f>
        <v>MSV-163MS-452-454/32.TE</v>
      </c>
      <c r="I42" s="6" t="str" cm="1">
        <f t="array" ref="I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J42" s="6" t="str" cm="1">
        <f t="array" ref="J42">_xlfn.TEXTJOIN(", ",TRUE,_xlfn.UNIQUE(_xlfn._xlws.FILTER(ARQUIVOS_RECEBIDOS!$F$2:$F$5010,ARQUIVOS_RECEBIDOS!$E$2:$E$5010=LD_01[[#This Row],[DOCUMENTO]])))</f>
        <v>R07</v>
      </c>
      <c r="K42" s="12" cm="1">
        <f t="array" ref="K42">_xlfn.UNIQUE(_xlfn._xlws.FILTER(ARQUIVOS[DATA RECEBIMENTO],(ARQUIVOS[DOCUMENTO]=LD_01[[#This Row],[DOCUMENTO]])*(ARQUIVOS[REVISÃO]=LD_01[[#This Row],[REVISÃO]])))</f>
        <v>45838</v>
      </c>
      <c r="L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M42" s="6" t="str">
        <f>LD_01[[#This Row],[PASTA]]&amp;"/"&amp;LD_01[[#This Row],[ARQUIVO]]</f>
        <v>MSV-163MS-452-454/32.TE/MSV-163MS-452-454-ACA-EXE-MC-G1-001-R07.pdf</v>
      </c>
    </row>
    <row r="43" spans="1:13" ht="28.8" hidden="1" x14ac:dyDescent="0.3">
      <c r="A43" s="6" t="s">
        <v>2813</v>
      </c>
      <c r="B43" s="6" t="str">
        <f>VLOOKUP(LD_01[[#This Row],[DOCUMENTO]],_xlfn.SORTBY(ARQUIVOS_RECEBIDOS!$E$2:$F$5010,ARQUIVOS_RECEBIDOS!$F$2:$F$5010,-1),2,)</f>
        <v>R04</v>
      </c>
      <c r="C43" s="15" t="s">
        <v>5987</v>
      </c>
      <c r="D43" s="6" t="s">
        <v>4309</v>
      </c>
      <c r="E43" s="8" t="s">
        <v>4081</v>
      </c>
      <c r="F43" s="8" t="s">
        <v>4142</v>
      </c>
      <c r="G43" s="6" t="str">
        <f>_xlfn.XLOOKUP(LD_01[[#This Row],[DISCIPLINA]],'CLASSES DE PROJETOS'!$F$3:$F$37,'CLASSES DE PROJETOS'!$C$3:$C$37)</f>
        <v>DR</v>
      </c>
      <c r="H43" t="str">
        <f>_xlfn.TEXTJOIN("/",TRUE,"MSV-163MS-"&amp;LD_01[[#This Row],[TRECHO]],_xlfn.XLOOKUP(LD_01[[#This Row],[SIGLA]],'CLASSES DE PROJETOS'!$C$3:$C$37,'CLASSES DE PROJETOS'!$E$3:$E$37))</f>
        <v>MSV-163MS-452-454/10.DR</v>
      </c>
      <c r="I43" s="6" t="str" cm="1">
        <f t="array" ref="I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J43" s="6" t="str" cm="1">
        <f t="array" ref="J43">_xlfn.TEXTJOIN(", ",TRUE,_xlfn.UNIQUE(_xlfn._xlws.FILTER(ARQUIVOS_RECEBIDOS!$F$2:$F$5010,ARQUIVOS_RECEBIDOS!$E$2:$E$5010=LD_01[[#This Row],[DOCUMENTO]])))</f>
        <v>R04</v>
      </c>
      <c r="K43" s="12" cm="1">
        <f t="array" ref="K43">_xlfn.UNIQUE(_xlfn._xlws.FILTER(ARQUIVOS[DATA RECEBIMENTO],(ARQUIVOS[DOCUMENTO]=LD_01[[#This Row],[DOCUMENTO]])*(ARQUIVOS[REVISÃO]=LD_01[[#This Row],[REVISÃO]])))</f>
        <v>45838</v>
      </c>
      <c r="L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M43" s="6" t="str">
        <f>LD_01[[#This Row],[PASTA]]&amp;"/"&amp;LD_01[[#This Row],[ARQUIVO]]</f>
        <v>MSV-163MS-452-454/10.DR/MSV-163MS-452-454-ACA-EXE-MC-H2-001-R04.pdf</v>
      </c>
    </row>
    <row r="44" spans="1:13" ht="28.8" hidden="1" x14ac:dyDescent="0.3">
      <c r="A44" s="6" t="s">
        <v>2814</v>
      </c>
      <c r="B44" s="6" t="str">
        <f>VLOOKUP(LD_01[[#This Row],[DOCUMENTO]],_xlfn.SORTBY(ARQUIVOS_RECEBIDOS!$E$2:$F$5010,ARQUIVOS_RECEBIDOS!$F$2:$F$5010,-1),2,)</f>
        <v>R01</v>
      </c>
      <c r="C44" s="15" t="s">
        <v>5987</v>
      </c>
      <c r="D44" s="6" t="s">
        <v>4309</v>
      </c>
      <c r="E44" s="8" t="s">
        <v>4082</v>
      </c>
      <c r="F44" s="8" t="s">
        <v>4142</v>
      </c>
      <c r="G44" s="6" t="str">
        <f>_xlfn.XLOOKUP(LD_01[[#This Row],[DISCIPLINA]],'CLASSES DE PROJETOS'!$F$3:$F$37,'CLASSES DE PROJETOS'!$C$3:$C$37)</f>
        <v>DR</v>
      </c>
      <c r="H44" t="str">
        <f>_xlfn.TEXTJOIN("/",TRUE,"MSV-163MS-"&amp;LD_01[[#This Row],[TRECHO]],_xlfn.XLOOKUP(LD_01[[#This Row],[SIGLA]],'CLASSES DE PROJETOS'!$C$3:$C$37,'CLASSES DE PROJETOS'!$E$3:$E$37))</f>
        <v>MSV-163MS-452-454/10.DR</v>
      </c>
      <c r="I44" s="6" t="str" cm="1">
        <f t="array" ref="I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J44" s="6" t="str" cm="1">
        <f t="array" ref="J44">_xlfn.TEXTJOIN(", ",TRUE,_xlfn.UNIQUE(_xlfn._xlws.FILTER(ARQUIVOS_RECEBIDOS!$F$2:$F$5010,ARQUIVOS_RECEBIDOS!$E$2:$E$5010=LD_01[[#This Row],[DOCUMENTO]])))</f>
        <v>R01</v>
      </c>
      <c r="K44" s="12" cm="1">
        <f t="array" ref="K44">_xlfn.UNIQUE(_xlfn._xlws.FILTER(ARQUIVOS[DATA RECEBIMENTO],(ARQUIVOS[DOCUMENTO]=LD_01[[#This Row],[DOCUMENTO]])*(ARQUIVOS[REVISÃO]=LD_01[[#This Row],[REVISÃO]])))</f>
        <v>45838</v>
      </c>
      <c r="L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M44" s="6" t="str">
        <f>LD_01[[#This Row],[PASTA]]&amp;"/"&amp;LD_01[[#This Row],[ARQUIVO]]</f>
        <v>MSV-163MS-452-454/10.DR/MSV-163MS-452-454-ACA-EXE-MD-H1-001-R01.pdf</v>
      </c>
    </row>
    <row r="45" spans="1:13" hidden="1" x14ac:dyDescent="0.3">
      <c r="A45" s="6" t="s">
        <v>2827</v>
      </c>
      <c r="B45" s="6" t="str">
        <f>VLOOKUP(LD_01[[#This Row],[DOCUMENTO]],_xlfn.SORTBY(ARQUIVOS_RECEBIDOS!$E$2:$F$5010,ARQUIVOS_RECEBIDOS!$F$2:$F$5010,-1),2,)</f>
        <v>R05</v>
      </c>
      <c r="C45" s="15" t="s">
        <v>5987</v>
      </c>
      <c r="D45" s="6" t="s">
        <v>4309</v>
      </c>
      <c r="E45" s="8" t="s">
        <v>4090</v>
      </c>
      <c r="F45" s="8" t="s">
        <v>4143</v>
      </c>
      <c r="G45" s="6" t="str">
        <f>_xlfn.XLOOKUP(LD_01[[#This Row],[DISCIPLINA]],'CLASSES DE PROJETOS'!$F$3:$F$37,'CLASSES DE PROJETOS'!$C$3:$C$37)</f>
        <v>PV</v>
      </c>
      <c r="H45" t="str">
        <f>_xlfn.TEXTJOIN("/",TRUE,"MSV-163MS-"&amp;LD_01[[#This Row],[TRECHO]],_xlfn.XLOOKUP(LD_01[[#This Row],[SIGLA]],'CLASSES DE PROJETOS'!$C$3:$C$37,'CLASSES DE PROJETOS'!$E$3:$E$37))</f>
        <v>MSV-163MS-452-454/28.PV</v>
      </c>
      <c r="I45" s="6" t="str" cm="1">
        <f t="array" ref="I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J45" s="6" t="str" cm="1">
        <f t="array" ref="J45">_xlfn.TEXTJOIN(", ",TRUE,_xlfn.UNIQUE(_xlfn._xlws.FILTER(ARQUIVOS_RECEBIDOS!$F$2:$F$5010,ARQUIVOS_RECEBIDOS!$E$2:$E$5010=LD_01[[#This Row],[DOCUMENTO]])))</f>
        <v>R05</v>
      </c>
      <c r="K45" s="12" cm="1">
        <f t="array" ref="K45">_xlfn.UNIQUE(_xlfn._xlws.FILTER(ARQUIVOS[DATA RECEBIMENTO],(ARQUIVOS[DOCUMENTO]=LD_01[[#This Row],[DOCUMENTO]])*(ARQUIVOS[REVISÃO]=LD_01[[#This Row],[REVISÃO]])))</f>
        <v>45838</v>
      </c>
      <c r="L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M45" s="6" t="str">
        <f>LD_01[[#This Row],[PASTA]]&amp;"/"&amp;LD_01[[#This Row],[ARQUIVO]]</f>
        <v>MSV-163MS-452-454/28.PV/MSV-163MS-452-454-ACA-EXE-MD-I2-001-R05.pdf</v>
      </c>
    </row>
    <row r="46" spans="1:13" ht="28.8" hidden="1" x14ac:dyDescent="0.3">
      <c r="A46" s="6" t="s">
        <v>4058</v>
      </c>
      <c r="B46" s="6" t="str">
        <f>VLOOKUP(LD_01[[#This Row],[DOCUMENTO]],_xlfn.SORTBY(ARQUIVOS_RECEBIDOS!$E$2:$F$5010,ARQUIVOS_RECEBIDOS!$F$2:$F$5010,-1),2,)</f>
        <v>R00</v>
      </c>
      <c r="C46" s="15" t="s">
        <v>5987</v>
      </c>
      <c r="D46" s="6" t="s">
        <v>4309</v>
      </c>
      <c r="E46" s="8" t="s">
        <v>4245</v>
      </c>
      <c r="F46" s="8" t="s">
        <v>4331</v>
      </c>
      <c r="G46" s="6" t="str">
        <f>_xlfn.XLOOKUP(LD_01[[#This Row],[DISCIPLINA]],'CLASSES DE PROJETOS'!$F$3:$F$37,'CLASSES DE PROJETOS'!$C$3:$C$37)</f>
        <v>SI</v>
      </c>
      <c r="H46" t="str">
        <f>_xlfn.TEXTJOIN("/",TRUE,"MSV-163MS-"&amp;LD_01[[#This Row],[TRECHO]],_xlfn.XLOOKUP(LD_01[[#This Row],[SIGLA]],'CLASSES DE PROJETOS'!$C$3:$C$37,'CLASSES DE PROJETOS'!$E$3:$E$37))</f>
        <v>MSV-163MS-452-454/31.SI</v>
      </c>
      <c r="I46" s="6" t="str" cm="1">
        <f t="array" ref="I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J46" s="6" t="str" cm="1">
        <f t="array" ref="J46">_xlfn.TEXTJOIN(", ",TRUE,_xlfn.UNIQUE(_xlfn._xlws.FILTER(ARQUIVOS_RECEBIDOS!$F$2:$F$5010,ARQUIVOS_RECEBIDOS!$E$2:$E$5010=LD_01[[#This Row],[DOCUMENTO]])))</f>
        <v>R00</v>
      </c>
      <c r="K46" s="12" cm="1">
        <f t="array" ref="K46">_xlfn.UNIQUE(_xlfn._xlws.FILTER(ARQUIVOS[DATA RECEBIMENTO],(ARQUIVOS[DOCUMENTO]=LD_01[[#This Row],[DOCUMENTO]])*(ARQUIVOS[REVISÃO]=LD_01[[#This Row],[REVISÃO]])))</f>
        <v>45895</v>
      </c>
      <c r="L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M46" s="6" t="str">
        <f>LD_01[[#This Row],[PASTA]]&amp;"/"&amp;LD_01[[#This Row],[ARQUIVO]]</f>
        <v>MSV-163MS-452-454/31.SI/MSV-163MS-452-454-ACA-EXE-MD-J1-001-R00.pdf</v>
      </c>
    </row>
    <row r="47" spans="1:13" ht="28.8" hidden="1" x14ac:dyDescent="0.3">
      <c r="A47" s="6" t="s">
        <v>2845</v>
      </c>
      <c r="B47" s="6" t="str">
        <f>VLOOKUP(LD_01[[#This Row],[DOCUMENTO]],_xlfn.SORTBY(ARQUIVOS_RECEBIDOS!$E$2:$F$5010,ARQUIVOS_RECEBIDOS!$F$2:$F$5010,-1),2,)</f>
        <v>R00</v>
      </c>
      <c r="C47" s="15" t="s">
        <v>5987</v>
      </c>
      <c r="D47" s="6" t="s">
        <v>4309</v>
      </c>
      <c r="E47" s="8" t="s">
        <v>4169</v>
      </c>
      <c r="F47" s="8" t="s">
        <v>4334</v>
      </c>
      <c r="G47" s="6" t="str">
        <f>_xlfn.XLOOKUP(LD_01[[#This Row],[DISCIPLINA]],'CLASSES DE PROJETOS'!$F$3:$F$37,'CLASSES DE PROJETOS'!$C$3:$C$37)</f>
        <v>PA</v>
      </c>
      <c r="H47" t="str">
        <f>_xlfn.TEXTJOIN("/",TRUE,"MSV-163MS-"&amp;LD_01[[#This Row],[TRECHO]],_xlfn.XLOOKUP(LD_01[[#This Row],[SIGLA]],'CLASSES DE PROJETOS'!$C$3:$C$37,'CLASSES DE PROJETOS'!$E$3:$E$37))</f>
        <v>MSV-163MS-452-454/27.PA</v>
      </c>
      <c r="I47" s="6" t="str" cm="1">
        <f t="array" ref="I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J47" s="6" t="str" cm="1">
        <f t="array" ref="J47">_xlfn.TEXTJOIN(", ",TRUE,_xlfn.UNIQUE(_xlfn._xlws.FILTER(ARQUIVOS_RECEBIDOS!$F$2:$F$5010,ARQUIVOS_RECEBIDOS!$E$2:$E$5010=LD_01[[#This Row],[DOCUMENTO]])))</f>
        <v>R00</v>
      </c>
      <c r="K47" s="12" cm="1">
        <f t="array" ref="K47">_xlfn.UNIQUE(_xlfn._xlws.FILTER(ARQUIVOS[DATA RECEBIMENTO],(ARQUIVOS[DOCUMENTO]=LD_01[[#This Row],[DOCUMENTO]])*(ARQUIVOS[REVISÃO]=LD_01[[#This Row],[REVISÃO]])))</f>
        <v>45838</v>
      </c>
      <c r="L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M47" s="6" t="str">
        <f>LD_01[[#This Row],[PASTA]]&amp;"/"&amp;LD_01[[#This Row],[ARQUIVO]]</f>
        <v>MSV-163MS-452-454/27.PA/MSV-163MS-452-454-ACA-EXE-MD-N2-001-R00.pdf</v>
      </c>
    </row>
    <row r="48" spans="1:13" ht="28.8" hidden="1" x14ac:dyDescent="0.3">
      <c r="A48" s="6" t="s">
        <v>2842</v>
      </c>
      <c r="B48" s="6" t="str">
        <f>VLOOKUP(LD_01[[#This Row],[DOCUMENTO]],_xlfn.SORTBY(ARQUIVOS_RECEBIDOS!$E$2:$F$5010,ARQUIVOS_RECEBIDOS!$F$2:$F$5010,-1),2,)</f>
        <v>R00</v>
      </c>
      <c r="C48" s="15" t="s">
        <v>5987</v>
      </c>
      <c r="D48" s="6" t="s">
        <v>4309</v>
      </c>
      <c r="E48" s="8" t="s">
        <v>4167</v>
      </c>
      <c r="F48" s="8" t="s">
        <v>4144</v>
      </c>
      <c r="G48" s="6" t="str">
        <f>_xlfn.XLOOKUP(LD_01[[#This Row],[DISCIPLINA]],'CLASSES DE PROJETOS'!$F$3:$F$37,'CLASSES DE PROJETOS'!$C$3:$C$37)</f>
        <v>DV</v>
      </c>
      <c r="H48" t="str">
        <f>_xlfn.TEXTJOIN("/",TRUE,"MSV-163MS-"&amp;LD_01[[#This Row],[TRECHO]],_xlfn.XLOOKUP(LD_01[[#This Row],[SIGLA]],'CLASSES DE PROJETOS'!$C$3:$C$37,'CLASSES DE PROJETOS'!$E$3:$E$37))</f>
        <v>MSV-163MS-452-454/12.DV</v>
      </c>
      <c r="I48" s="6" t="str" cm="1">
        <f t="array" ref="I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J48" s="6" t="str" cm="1">
        <f t="array" ref="J48">_xlfn.TEXTJOIN(", ",TRUE,_xlfn.UNIQUE(_xlfn._xlws.FILTER(ARQUIVOS_RECEBIDOS!$F$2:$F$5010,ARQUIVOS_RECEBIDOS!$E$2:$E$5010=LD_01[[#This Row],[DOCUMENTO]])))</f>
        <v>R00</v>
      </c>
      <c r="K48" s="12" cm="1">
        <f t="array" ref="K48">_xlfn.UNIQUE(_xlfn._xlws.FILTER(ARQUIVOS[DATA RECEBIMENTO],(ARQUIVOS[DOCUMENTO]=LD_01[[#This Row],[DOCUMENTO]])*(ARQUIVOS[REVISÃO]=LD_01[[#This Row],[REVISÃO]])))</f>
        <v>45838</v>
      </c>
      <c r="L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M48" s="6" t="str">
        <f>LD_01[[#This Row],[PASTA]]&amp;"/"&amp;LD_01[[#This Row],[ARQUIVO]]</f>
        <v>MSV-163MS-452-454/12.DV/MSV-163MS-452-454-ACA-EXE-MD-O2-001-R00.pdf</v>
      </c>
    </row>
    <row r="49" spans="1:13" hidden="1" x14ac:dyDescent="0.3">
      <c r="A49" s="6" t="s">
        <v>2828</v>
      </c>
      <c r="B49" s="6" t="str">
        <f>VLOOKUP(LD_01[[#This Row],[DOCUMENTO]],_xlfn.SORTBY(ARQUIVOS_RECEBIDOS!$E$2:$F$5010,ARQUIVOS_RECEBIDOS!$F$2:$F$5010,-1),2,)</f>
        <v>R03</v>
      </c>
      <c r="C49" s="15" t="s">
        <v>5987</v>
      </c>
      <c r="D49" s="6" t="s">
        <v>4309</v>
      </c>
      <c r="E49" s="8" t="s">
        <v>4091</v>
      </c>
      <c r="F49" s="8" t="s">
        <v>4143</v>
      </c>
      <c r="G49" s="6" t="str">
        <f>_xlfn.XLOOKUP(LD_01[[#This Row],[DISCIPLINA]],'CLASSES DE PROJETOS'!$F$3:$F$37,'CLASSES DE PROJETOS'!$C$3:$C$37)</f>
        <v>PV</v>
      </c>
      <c r="H49" t="str">
        <f>_xlfn.TEXTJOIN("/",TRUE,"MSV-163MS-"&amp;LD_01[[#This Row],[TRECHO]],_xlfn.XLOOKUP(LD_01[[#This Row],[SIGLA]],'CLASSES DE PROJETOS'!$C$3:$C$37,'CLASSES DE PROJETOS'!$E$3:$E$37))</f>
        <v>MSV-163MS-452-454/28.PV</v>
      </c>
      <c r="I49" s="6" t="str" cm="1">
        <f t="array" ref="I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J49" s="6" t="str" cm="1">
        <f t="array" ref="J49">_xlfn.TEXTJOIN(", ",TRUE,_xlfn.UNIQUE(_xlfn._xlws.FILTER(ARQUIVOS_RECEBIDOS!$F$2:$F$5010,ARQUIVOS_RECEBIDOS!$E$2:$E$5010=LD_01[[#This Row],[DOCUMENTO]])))</f>
        <v>R03</v>
      </c>
      <c r="K49" s="12" cm="1">
        <f t="array" ref="K49">_xlfn.UNIQUE(_xlfn._xlws.FILTER(ARQUIVOS[DATA RECEBIMENTO],(ARQUIVOS[DOCUMENTO]=LD_01[[#This Row],[DOCUMENTO]])*(ARQUIVOS[REVISÃO]=LD_01[[#This Row],[REVISÃO]])))</f>
        <v>45838</v>
      </c>
      <c r="L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M49" s="6" t="str">
        <f>LD_01[[#This Row],[PASTA]]&amp;"/"&amp;LD_01[[#This Row],[ARQUIVO]]</f>
        <v>MSV-163MS-452-454/28.PV/MSV-163MS-452-454-ACA-EXE-NS-C3-001-R03.pdf</v>
      </c>
    </row>
    <row r="50" spans="1:13" hidden="1" x14ac:dyDescent="0.3">
      <c r="A50" s="6" t="s">
        <v>2790</v>
      </c>
      <c r="B50" s="6" t="str">
        <f>VLOOKUP(LD_01[[#This Row],[DOCUMENTO]],_xlfn.SORTBY(ARQUIVOS_RECEBIDOS!$E$2:$F$5010,ARQUIVOS_RECEBIDOS!$F$2:$F$5010,-1),2,)</f>
        <v>R01</v>
      </c>
      <c r="C50" s="15" t="s">
        <v>5987</v>
      </c>
      <c r="D50" s="6" t="s">
        <v>4309</v>
      </c>
      <c r="E50" s="8" t="s">
        <v>4165</v>
      </c>
      <c r="F50" s="8" t="s">
        <v>4163</v>
      </c>
      <c r="G50" s="6" t="str">
        <f>_xlfn.XLOOKUP(LD_01[[#This Row],[DISCIPLINA]],'CLASSES DE PROJETOS'!$F$3:$F$37,'CLASSES DE PROJETOS'!$C$3:$C$37)</f>
        <v>TO</v>
      </c>
      <c r="H50" t="str">
        <f>_xlfn.TEXTJOIN("/",TRUE,"MSV-163MS-"&amp;LD_01[[#This Row],[TRECHO]],_xlfn.XLOOKUP(LD_01[[#This Row],[SIGLA]],'CLASSES DE PROJETOS'!$C$3:$C$37,'CLASSES DE PROJETOS'!$E$3:$E$37))</f>
        <v>MSV-163MS-452-454/33.TO</v>
      </c>
      <c r="I50" s="6" t="str" cm="1">
        <f t="array" ref="I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J50" s="6" t="str" cm="1">
        <f t="array" ref="J50">_xlfn.TEXTJOIN(", ",TRUE,_xlfn.UNIQUE(_xlfn._xlws.FILTER(ARQUIVOS_RECEBIDOS!$F$2:$F$5010,ARQUIVOS_RECEBIDOS!$E$2:$E$5010=LD_01[[#This Row],[DOCUMENTO]])))</f>
        <v>R01</v>
      </c>
      <c r="K50" s="12" cm="1">
        <f t="array" ref="K50">_xlfn.UNIQUE(_xlfn._xlws.FILTER(ARQUIVOS[DATA RECEBIMENTO],(ARQUIVOS[DOCUMENTO]=LD_01[[#This Row],[DOCUMENTO]])*(ARQUIVOS[REVISÃO]=LD_01[[#This Row],[REVISÃO]])))</f>
        <v>45838</v>
      </c>
      <c r="L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M50" s="6" t="str">
        <f>LD_01[[#This Row],[PASTA]]&amp;"/"&amp;LD_01[[#This Row],[ARQUIVO]]</f>
        <v>MSV-163MS-452-454/33.TO/MSV-163MS-452-454-ACA-EXE-RT-C1-001-R01.pdf</v>
      </c>
    </row>
    <row r="51" spans="1:13" ht="28.8" hidden="1" x14ac:dyDescent="0.3">
      <c r="A51" s="6" t="s">
        <v>2832</v>
      </c>
      <c r="B51" s="6" t="str">
        <f>VLOOKUP(LD_01[[#This Row],[DOCUMENTO]],_xlfn.SORTBY(ARQUIVOS_RECEBIDOS!$E$2:$F$5010,ARQUIVOS_RECEBIDOS!$F$2:$F$5010,-1),2,)</f>
        <v>R02</v>
      </c>
      <c r="C51" s="15" t="s">
        <v>5987</v>
      </c>
      <c r="D51" s="6" t="s">
        <v>4309</v>
      </c>
      <c r="E51" s="8" t="s">
        <v>4092</v>
      </c>
      <c r="F51" s="8" t="s">
        <v>4332</v>
      </c>
      <c r="G51" s="6" t="str">
        <f>_xlfn.XLOOKUP(LD_01[[#This Row],[DISCIPLINA]],'CLASSES DE PROJETOS'!$F$3:$F$37,'CLASSES DE PROJETOS'!$C$3:$C$37)</f>
        <v>GG</v>
      </c>
      <c r="H51" t="str">
        <f>_xlfn.TEXTJOIN("/",TRUE,"MSV-163MS-"&amp;LD_01[[#This Row],[TRECHO]],_xlfn.XLOOKUP(LD_01[[#This Row],[SIGLA]],'CLASSES DE PROJETOS'!$C$3:$C$37,'CLASSES DE PROJETOS'!$E$3:$E$37))</f>
        <v>MSV-163MS-452-454/19.GG</v>
      </c>
      <c r="I51" s="6" t="str" cm="1">
        <f t="array" ref="I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J51" s="6" t="str" cm="1">
        <f t="array" ref="J51">_xlfn.TEXTJOIN(", ",TRUE,_xlfn.UNIQUE(_xlfn._xlws.FILTER(ARQUIVOS_RECEBIDOS!$F$2:$F$5010,ARQUIVOS_RECEBIDOS!$E$2:$E$5010=LD_01[[#This Row],[DOCUMENTO]])))</f>
        <v>R02</v>
      </c>
      <c r="K51" s="12" cm="1">
        <f t="array" ref="K51">_xlfn.UNIQUE(_xlfn._xlws.FILTER(ARQUIVOS[DATA RECEBIMENTO],(ARQUIVOS[DOCUMENTO]=LD_01[[#This Row],[DOCUMENTO]])*(ARQUIVOS[REVISÃO]=LD_01[[#This Row],[REVISÃO]])))</f>
        <v>45838</v>
      </c>
      <c r="L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M51" s="6" t="str">
        <f>LD_01[[#This Row],[PASTA]]&amp;"/"&amp;LD_01[[#This Row],[ARQUIVO]]</f>
        <v>MSV-163MS-452-454/19.GG/MSV-163MS-452-454-ACA-EXE-RT-D3-001-R02.pdf</v>
      </c>
    </row>
    <row r="52" spans="1:13" ht="28.8" hidden="1" x14ac:dyDescent="0.3">
      <c r="A52" s="6" t="s">
        <v>2833</v>
      </c>
      <c r="B52" s="6" t="str">
        <f>VLOOKUP(LD_01[[#This Row],[DOCUMENTO]],_xlfn.SORTBY(ARQUIVOS_RECEBIDOS!$E$2:$F$5010,ARQUIVOS_RECEBIDOS!$F$2:$F$5010,-1),2,)</f>
        <v>R00</v>
      </c>
      <c r="C52" s="15" t="s">
        <v>5987</v>
      </c>
      <c r="D52" s="6" t="s">
        <v>4309</v>
      </c>
      <c r="E52" s="8" t="s">
        <v>4093</v>
      </c>
      <c r="F52" s="8" t="s">
        <v>4332</v>
      </c>
      <c r="G52" s="6" t="str">
        <f>_xlfn.XLOOKUP(LD_01[[#This Row],[DISCIPLINA]],'CLASSES DE PROJETOS'!$F$3:$F$37,'CLASSES DE PROJETOS'!$C$3:$C$37)</f>
        <v>GG</v>
      </c>
      <c r="H52" t="str">
        <f>_xlfn.TEXTJOIN("/",TRUE,"MSV-163MS-"&amp;LD_01[[#This Row],[TRECHO]],_xlfn.XLOOKUP(LD_01[[#This Row],[SIGLA]],'CLASSES DE PROJETOS'!$C$3:$C$37,'CLASSES DE PROJETOS'!$E$3:$E$37))</f>
        <v>MSV-163MS-452-454/19.GG</v>
      </c>
      <c r="I52" s="6" t="str" cm="1">
        <f t="array" ref="I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J52" s="6" t="str" cm="1">
        <f t="array" ref="J52">_xlfn.TEXTJOIN(", ",TRUE,_xlfn.UNIQUE(_xlfn._xlws.FILTER(ARQUIVOS_RECEBIDOS!$F$2:$F$5010,ARQUIVOS_RECEBIDOS!$E$2:$E$5010=LD_01[[#This Row],[DOCUMENTO]])))</f>
        <v>R00</v>
      </c>
      <c r="K52" s="12" cm="1">
        <f t="array" ref="K52">_xlfn.UNIQUE(_xlfn._xlws.FILTER(ARQUIVOS[DATA RECEBIMENTO],(ARQUIVOS[DOCUMENTO]=LD_01[[#This Row],[DOCUMENTO]])*(ARQUIVOS[REVISÃO]=LD_01[[#This Row],[REVISÃO]])))</f>
        <v>45838</v>
      </c>
      <c r="L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M52" s="6" t="str">
        <f>LD_01[[#This Row],[PASTA]]&amp;"/"&amp;LD_01[[#This Row],[ARQUIVO]]</f>
        <v>MSV-163MS-452-454/19.GG/MSV-163MS-452-454-ACA-EXE-RT-D3-101-R00.pdf</v>
      </c>
    </row>
    <row r="53" spans="1:13" ht="28.8" hidden="1" x14ac:dyDescent="0.3">
      <c r="A53" s="6" t="s">
        <v>2846</v>
      </c>
      <c r="B53" s="6" t="str">
        <f>VLOOKUP(LD_01[[#This Row],[DOCUMENTO]],_xlfn.SORTBY(ARQUIVOS_RECEBIDOS!$E$2:$F$5010,ARQUIVOS_RECEBIDOS!$F$2:$F$5010,-1),2,)</f>
        <v>R01</v>
      </c>
      <c r="C53" s="15" t="s">
        <v>5987</v>
      </c>
      <c r="D53" s="6" t="s">
        <v>4309</v>
      </c>
      <c r="E53" s="8" t="s">
        <v>4173</v>
      </c>
      <c r="F53" s="8" t="s">
        <v>4335</v>
      </c>
      <c r="G53" s="6" t="str">
        <f>_xlfn.XLOOKUP(LD_01[[#This Row],[DISCIPLINA]],'CLASSES DE PROJETOS'!$F$3:$F$37,'CLASSES DE PROJETOS'!$C$3:$C$37)</f>
        <v>TR</v>
      </c>
      <c r="H53" t="str">
        <f>_xlfn.TEXTJOIN("/",TRUE,"MSV-163MS-"&amp;LD_01[[#This Row],[TRECHO]],_xlfn.XLOOKUP(LD_01[[#This Row],[SIGLA]],'CLASSES DE PROJETOS'!$C$3:$C$37,'CLASSES DE PROJETOS'!$E$3:$E$37))</f>
        <v>MSV-163MS-452-454/34.TR</v>
      </c>
      <c r="I53" s="6" t="str" cm="1">
        <f t="array" ref="I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J53" s="6" t="str" cm="1">
        <f t="array" ref="J53">_xlfn.TEXTJOIN(", ",TRUE,_xlfn.UNIQUE(_xlfn._xlws.FILTER(ARQUIVOS_RECEBIDOS!$F$2:$F$5010,ARQUIVOS_RECEBIDOS!$E$2:$E$5010=LD_01[[#This Row],[DOCUMENTO]])))</f>
        <v>R00, R01</v>
      </c>
      <c r="K53" s="12" cm="1">
        <f t="array" ref="K53">_xlfn.UNIQUE(_xlfn._xlws.FILTER(ARQUIVOS[DATA RECEBIMENTO],(ARQUIVOS[DOCUMENTO]=LD_01[[#This Row],[DOCUMENTO]])*(ARQUIVOS[REVISÃO]=LD_01[[#This Row],[REVISÃO]])))</f>
        <v>45838</v>
      </c>
      <c r="L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M53" s="6" t="str">
        <f>LD_01[[#This Row],[PASTA]]&amp;"/"&amp;LD_01[[#This Row],[ARQUIVO]]</f>
        <v>MSV-163MS-452-454/34.TR/MSV-163MS-452-454-ACA-EXE-RT-E1-001-R01.pdf</v>
      </c>
    </row>
    <row r="54" spans="1:13" ht="28.8" hidden="1" x14ac:dyDescent="0.3">
      <c r="A54" s="6" t="s">
        <v>2800</v>
      </c>
      <c r="B54" s="6" t="str">
        <f>VLOOKUP(LD_01[[#This Row],[DOCUMENTO]],_xlfn.SORTBY(ARQUIVOS_RECEBIDOS!$E$2:$F$5010,ARQUIVOS_RECEBIDOS!$F$2:$F$5010,-1),2,)</f>
        <v>R03</v>
      </c>
      <c r="C54" s="15" t="s">
        <v>5987</v>
      </c>
      <c r="D54" s="6" t="s">
        <v>4309</v>
      </c>
      <c r="E54" s="8" t="s">
        <v>4259</v>
      </c>
      <c r="F54" s="8" t="s">
        <v>4141</v>
      </c>
      <c r="G54" s="6" t="str">
        <f>_xlfn.XLOOKUP(LD_01[[#This Row],[DISCIPLINA]],'CLASSES DE PROJETOS'!$F$3:$F$37,'CLASSES DE PROJETOS'!$C$3:$C$37)</f>
        <v>GE</v>
      </c>
      <c r="H54" t="str">
        <f>_xlfn.TEXTJOIN("/",TRUE,"MSV-163MS-"&amp;LD_01[[#This Row],[TRECHO]],_xlfn.XLOOKUP(LD_01[[#This Row],[SIGLA]],'CLASSES DE PROJETOS'!$C$3:$C$37,'CLASSES DE PROJETOS'!$E$3:$E$37))</f>
        <v>MSV-163MS-452-454/18.GE</v>
      </c>
      <c r="I54" s="6" t="str" cm="1">
        <f t="array" ref="I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J54" s="6" t="str" cm="1">
        <f t="array" ref="J54">_xlfn.TEXTJOIN(", ",TRUE,_xlfn.UNIQUE(_xlfn._xlws.FILTER(ARQUIVOS_RECEBIDOS!$F$2:$F$5010,ARQUIVOS_RECEBIDOS!$E$2:$E$5010=LD_01[[#This Row],[DOCUMENTO]])))</f>
        <v>R03</v>
      </c>
      <c r="K54" s="12" cm="1">
        <f t="array" ref="K54">_xlfn.UNIQUE(_xlfn._xlws.FILTER(ARQUIVOS[DATA RECEBIMENTO],(ARQUIVOS[DOCUMENTO]=LD_01[[#This Row],[DOCUMENTO]])*(ARQUIVOS[REVISÃO]=LD_01[[#This Row],[REVISÃO]])))</f>
        <v>45838</v>
      </c>
      <c r="L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M54" s="6" t="str">
        <f>LD_01[[#This Row],[PASTA]]&amp;"/"&amp;LD_01[[#This Row],[ARQUIVO]]</f>
        <v>MSV-163MS-452-454/18.GE/MSV-163MS-452-454-ACA-EXE-RT-F1-001-R03.pdf</v>
      </c>
    </row>
    <row r="55" spans="1:13" ht="43.2" hidden="1" x14ac:dyDescent="0.3">
      <c r="A55" s="6" t="s">
        <v>2836</v>
      </c>
      <c r="B55" s="6" t="str">
        <f>VLOOKUP(LD_01[[#This Row],[DOCUMENTO]],_xlfn.SORTBY(ARQUIVOS_RECEBIDOS!$E$2:$F$5010,ARQUIVOS_RECEBIDOS!$F$2:$F$5010,-1),2,)</f>
        <v>R00</v>
      </c>
      <c r="C55" s="15" t="s">
        <v>5987</v>
      </c>
      <c r="D55" s="6" t="s">
        <v>4309</v>
      </c>
      <c r="E55" s="8" t="s">
        <v>4166</v>
      </c>
      <c r="F55" s="8" t="s">
        <v>4333</v>
      </c>
      <c r="G55" s="6" t="str">
        <f>_xlfn.XLOOKUP(LD_01[[#This Row],[DISCIPLINA]],'CLASSES DE PROJETOS'!$F$3:$F$37,'CLASSES DE PROJETOS'!$C$3:$C$37)</f>
        <v>IN</v>
      </c>
      <c r="H55" t="str">
        <f>_xlfn.TEXTJOIN("/",TRUE,"MSV-163MS-"&amp;LD_01[[#This Row],[TRECHO]],_xlfn.XLOOKUP(LD_01[[#This Row],[SIGLA]],'CLASSES DE PROJETOS'!$C$3:$C$37,'CLASSES DE PROJETOS'!$E$3:$E$37))</f>
        <v>MSV-163MS-452-454/23.IN</v>
      </c>
      <c r="I55" s="6" t="str" cm="1">
        <f t="array" ref="I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J55" s="6" t="str" cm="1">
        <f t="array" ref="J55">_xlfn.TEXTJOIN(", ",TRUE,_xlfn.UNIQUE(_xlfn._xlws.FILTER(ARQUIVOS_RECEBIDOS!$F$2:$F$5010,ARQUIVOS_RECEBIDOS!$E$2:$E$5010=LD_01[[#This Row],[DOCUMENTO]])))</f>
        <v>R00</v>
      </c>
      <c r="K55" s="12" cm="1">
        <f t="array" ref="K55">_xlfn.UNIQUE(_xlfn._xlws.FILTER(ARQUIVOS[DATA RECEBIMENTO],(ARQUIVOS[DOCUMENTO]=LD_01[[#This Row],[DOCUMENTO]])*(ARQUIVOS[REVISÃO]=LD_01[[#This Row],[REVISÃO]])))</f>
        <v>45838</v>
      </c>
      <c r="L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M55" s="6" t="str">
        <f>LD_01[[#This Row],[PASTA]]&amp;"/"&amp;LD_01[[#This Row],[ARQUIVO]]</f>
        <v>MSV-163MS-452-454/23.IN/MSV-163MS-452-454-ACA-EXE-RT-M1-001-R00.pdf</v>
      </c>
    </row>
    <row r="56" spans="1:13" hidden="1" x14ac:dyDescent="0.3">
      <c r="A56" s="6" t="s">
        <v>2847</v>
      </c>
      <c r="B56" s="6" t="str">
        <f>VLOOKUP(LD_01[[#This Row],[DOCUMENTO]],_xlfn.SORTBY(ARQUIVOS_RECEBIDOS!$E$2:$F$5010,ARQUIVOS_RECEBIDOS!$F$2:$F$5010,-1),2,)</f>
        <v>R00</v>
      </c>
      <c r="C56" s="15" t="s">
        <v>5987</v>
      </c>
      <c r="D56" s="6" t="s">
        <v>4310</v>
      </c>
      <c r="E56" s="8" t="s">
        <v>4164</v>
      </c>
      <c r="F56" s="8" t="s">
        <v>4163</v>
      </c>
      <c r="G56" s="6" t="str">
        <f>_xlfn.XLOOKUP(LD_01[[#This Row],[DISCIPLINA]],'CLASSES DE PROJETOS'!$F$3:$F$37,'CLASSES DE PROJETOS'!$C$3:$C$37)</f>
        <v>TO</v>
      </c>
      <c r="H56" t="str">
        <f>_xlfn.TEXTJOIN("/",TRUE,"MSV-163MS-"&amp;LD_01[[#This Row],[TRECHO]],_xlfn.XLOOKUP(LD_01[[#This Row],[SIGLA]],'CLASSES DE PROJETOS'!$C$3:$C$37,'CLASSES DE PROJETOS'!$E$3:$E$37))</f>
        <v>MSV-163MS-454-460/33.TO</v>
      </c>
      <c r="I56" s="6" t="str" cm="1">
        <f t="array" ref="I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J56" s="6" t="str" cm="1">
        <f t="array" ref="J56">_xlfn.TEXTJOIN(", ",TRUE,_xlfn.UNIQUE(_xlfn._xlws.FILTER(ARQUIVOS_RECEBIDOS!$F$2:$F$5010,ARQUIVOS_RECEBIDOS!$E$2:$E$5010=LD_01[[#This Row],[DOCUMENTO]])))</f>
        <v>R00</v>
      </c>
      <c r="K56" s="12" cm="1">
        <f t="array" ref="K56">_xlfn.UNIQUE(_xlfn._xlws.FILTER(ARQUIVOS[DATA RECEBIMENTO],(ARQUIVOS[DOCUMENTO]=LD_01[[#This Row],[DOCUMENTO]])*(ARQUIVOS[REVISÃO]=LD_01[[#This Row],[REVISÃO]])))</f>
        <v>45838</v>
      </c>
      <c r="L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M56" s="6" t="str">
        <f>LD_01[[#This Row],[PASTA]]&amp;"/"&amp;LD_01[[#This Row],[ARQUIVO]]</f>
        <v>MSV-163MS-454-460/33.TO/MSV-163MS-454-460-ACA-EXE-DE-C1-001-R00.pdf</v>
      </c>
    </row>
    <row r="57" spans="1:13" hidden="1" x14ac:dyDescent="0.3">
      <c r="A57" s="6" t="s">
        <v>2848</v>
      </c>
      <c r="B57" s="6" t="str">
        <f>VLOOKUP(LD_01[[#This Row],[DOCUMENTO]],_xlfn.SORTBY(ARQUIVOS_RECEBIDOS!$E$2:$F$5010,ARQUIVOS_RECEBIDOS!$F$2:$F$5010,-1),2,)</f>
        <v>R00</v>
      </c>
      <c r="C57" s="15" t="s">
        <v>5987</v>
      </c>
      <c r="D57" s="6" t="s">
        <v>4310</v>
      </c>
      <c r="E57" s="8" t="s">
        <v>4164</v>
      </c>
      <c r="F57" s="8" t="s">
        <v>4163</v>
      </c>
      <c r="G57" s="6" t="str">
        <f>_xlfn.XLOOKUP(LD_01[[#This Row],[DISCIPLINA]],'CLASSES DE PROJETOS'!$F$3:$F$37,'CLASSES DE PROJETOS'!$C$3:$C$37)</f>
        <v>TO</v>
      </c>
      <c r="H57" t="str">
        <f>_xlfn.TEXTJOIN("/",TRUE,"MSV-163MS-"&amp;LD_01[[#This Row],[TRECHO]],_xlfn.XLOOKUP(LD_01[[#This Row],[SIGLA]],'CLASSES DE PROJETOS'!$C$3:$C$37,'CLASSES DE PROJETOS'!$E$3:$E$37))</f>
        <v>MSV-163MS-454-460/33.TO</v>
      </c>
      <c r="I57" s="6" t="str" cm="1">
        <f t="array" ref="I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J57" s="6" t="str" cm="1">
        <f t="array" ref="J57">_xlfn.TEXTJOIN(", ",TRUE,_xlfn.UNIQUE(_xlfn._xlws.FILTER(ARQUIVOS_RECEBIDOS!$F$2:$F$5010,ARQUIVOS_RECEBIDOS!$E$2:$E$5010=LD_01[[#This Row],[DOCUMENTO]])))</f>
        <v>R00</v>
      </c>
      <c r="K57" s="12" cm="1">
        <f t="array" ref="K57">_xlfn.UNIQUE(_xlfn._xlws.FILTER(ARQUIVOS[DATA RECEBIMENTO],(ARQUIVOS[DOCUMENTO]=LD_01[[#This Row],[DOCUMENTO]])*(ARQUIVOS[REVISÃO]=LD_01[[#This Row],[REVISÃO]])))</f>
        <v>45838</v>
      </c>
      <c r="L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M57" s="6" t="str">
        <f>LD_01[[#This Row],[PASTA]]&amp;"/"&amp;LD_01[[#This Row],[ARQUIVO]]</f>
        <v>MSV-163MS-454-460/33.TO/MSV-163MS-454-460-ACA-EXE-DE-C1-002-R00.pdf</v>
      </c>
    </row>
    <row r="58" spans="1:13" hidden="1" x14ac:dyDescent="0.3">
      <c r="A58" s="6" t="s">
        <v>2849</v>
      </c>
      <c r="B58" s="6" t="str">
        <f>VLOOKUP(LD_01[[#This Row],[DOCUMENTO]],_xlfn.SORTBY(ARQUIVOS_RECEBIDOS!$E$2:$F$5010,ARQUIVOS_RECEBIDOS!$F$2:$F$5010,-1),2,)</f>
        <v>R00</v>
      </c>
      <c r="C58" s="15" t="s">
        <v>5987</v>
      </c>
      <c r="D58" s="6" t="s">
        <v>4310</v>
      </c>
      <c r="E58" s="8" t="s">
        <v>4164</v>
      </c>
      <c r="F58" s="8" t="s">
        <v>4163</v>
      </c>
      <c r="G58" s="6" t="str">
        <f>_xlfn.XLOOKUP(LD_01[[#This Row],[DISCIPLINA]],'CLASSES DE PROJETOS'!$F$3:$F$37,'CLASSES DE PROJETOS'!$C$3:$C$37)</f>
        <v>TO</v>
      </c>
      <c r="H58" t="str">
        <f>_xlfn.TEXTJOIN("/",TRUE,"MSV-163MS-"&amp;LD_01[[#This Row],[TRECHO]],_xlfn.XLOOKUP(LD_01[[#This Row],[SIGLA]],'CLASSES DE PROJETOS'!$C$3:$C$37,'CLASSES DE PROJETOS'!$E$3:$E$37))</f>
        <v>MSV-163MS-454-460/33.TO</v>
      </c>
      <c r="I58" s="6" t="str" cm="1">
        <f t="array" ref="I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J58" s="6" t="str" cm="1">
        <f t="array" ref="J58">_xlfn.TEXTJOIN(", ",TRUE,_xlfn.UNIQUE(_xlfn._xlws.FILTER(ARQUIVOS_RECEBIDOS!$F$2:$F$5010,ARQUIVOS_RECEBIDOS!$E$2:$E$5010=LD_01[[#This Row],[DOCUMENTO]])))</f>
        <v>R00</v>
      </c>
      <c r="K58" s="12" cm="1">
        <f t="array" ref="K58">_xlfn.UNIQUE(_xlfn._xlws.FILTER(ARQUIVOS[DATA RECEBIMENTO],(ARQUIVOS[DOCUMENTO]=LD_01[[#This Row],[DOCUMENTO]])*(ARQUIVOS[REVISÃO]=LD_01[[#This Row],[REVISÃO]])))</f>
        <v>45838</v>
      </c>
      <c r="L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M58" s="6" t="str">
        <f>LD_01[[#This Row],[PASTA]]&amp;"/"&amp;LD_01[[#This Row],[ARQUIVO]]</f>
        <v>MSV-163MS-454-460/33.TO/MSV-163MS-454-460-ACA-EXE-DE-C1-003-R00.pdf</v>
      </c>
    </row>
    <row r="59" spans="1:13" hidden="1" x14ac:dyDescent="0.3">
      <c r="A59" s="6" t="s">
        <v>2850</v>
      </c>
      <c r="B59" s="6" t="str">
        <f>VLOOKUP(LD_01[[#This Row],[DOCUMENTO]],_xlfn.SORTBY(ARQUIVOS_RECEBIDOS!$E$2:$F$5010,ARQUIVOS_RECEBIDOS!$F$2:$F$5010,-1),2,)</f>
        <v>R00</v>
      </c>
      <c r="C59" s="15" t="s">
        <v>5987</v>
      </c>
      <c r="D59" s="6" t="s">
        <v>4310</v>
      </c>
      <c r="E59" s="8" t="s">
        <v>4164</v>
      </c>
      <c r="F59" s="8" t="s">
        <v>4163</v>
      </c>
      <c r="G59" s="6" t="str">
        <f>_xlfn.XLOOKUP(LD_01[[#This Row],[DISCIPLINA]],'CLASSES DE PROJETOS'!$F$3:$F$37,'CLASSES DE PROJETOS'!$C$3:$C$37)</f>
        <v>TO</v>
      </c>
      <c r="H59" t="str">
        <f>_xlfn.TEXTJOIN("/",TRUE,"MSV-163MS-"&amp;LD_01[[#This Row],[TRECHO]],_xlfn.XLOOKUP(LD_01[[#This Row],[SIGLA]],'CLASSES DE PROJETOS'!$C$3:$C$37,'CLASSES DE PROJETOS'!$E$3:$E$37))</f>
        <v>MSV-163MS-454-460/33.TO</v>
      </c>
      <c r="I59" s="6" t="str" cm="1">
        <f t="array" ref="I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J59" s="6" t="str" cm="1">
        <f t="array" ref="J59">_xlfn.TEXTJOIN(", ",TRUE,_xlfn.UNIQUE(_xlfn._xlws.FILTER(ARQUIVOS_RECEBIDOS!$F$2:$F$5010,ARQUIVOS_RECEBIDOS!$E$2:$E$5010=LD_01[[#This Row],[DOCUMENTO]])))</f>
        <v>R00</v>
      </c>
      <c r="K59" s="12" cm="1">
        <f t="array" ref="K59">_xlfn.UNIQUE(_xlfn._xlws.FILTER(ARQUIVOS[DATA RECEBIMENTO],(ARQUIVOS[DOCUMENTO]=LD_01[[#This Row],[DOCUMENTO]])*(ARQUIVOS[REVISÃO]=LD_01[[#This Row],[REVISÃO]])))</f>
        <v>45838</v>
      </c>
      <c r="L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M59" s="6" t="str">
        <f>LD_01[[#This Row],[PASTA]]&amp;"/"&amp;LD_01[[#This Row],[ARQUIVO]]</f>
        <v>MSV-163MS-454-460/33.TO/MSV-163MS-454-460-ACA-EXE-DE-C1-004-R00.pdf</v>
      </c>
    </row>
    <row r="60" spans="1:13" hidden="1" x14ac:dyDescent="0.3">
      <c r="A60" s="6" t="s">
        <v>2851</v>
      </c>
      <c r="B60" s="6" t="str">
        <f>VLOOKUP(LD_01[[#This Row],[DOCUMENTO]],_xlfn.SORTBY(ARQUIVOS_RECEBIDOS!$E$2:$F$5010,ARQUIVOS_RECEBIDOS!$F$2:$F$5010,-1),2,)</f>
        <v>R01</v>
      </c>
      <c r="C60" s="15" t="s">
        <v>5987</v>
      </c>
      <c r="D60" s="6" t="s">
        <v>4310</v>
      </c>
      <c r="E60" s="8" t="s">
        <v>4164</v>
      </c>
      <c r="F60" s="8" t="s">
        <v>4163</v>
      </c>
      <c r="G60" s="6" t="str">
        <f>_xlfn.XLOOKUP(LD_01[[#This Row],[DISCIPLINA]],'CLASSES DE PROJETOS'!$F$3:$F$37,'CLASSES DE PROJETOS'!$C$3:$C$37)</f>
        <v>TO</v>
      </c>
      <c r="H60" t="str">
        <f>_xlfn.TEXTJOIN("/",TRUE,"MSV-163MS-"&amp;LD_01[[#This Row],[TRECHO]],_xlfn.XLOOKUP(LD_01[[#This Row],[SIGLA]],'CLASSES DE PROJETOS'!$C$3:$C$37,'CLASSES DE PROJETOS'!$E$3:$E$37))</f>
        <v>MSV-163MS-454-460/33.TO</v>
      </c>
      <c r="I60" s="6" t="str" cm="1">
        <f t="array" ref="I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J60" s="6" t="str" cm="1">
        <f t="array" ref="J60">_xlfn.TEXTJOIN(", ",TRUE,_xlfn.UNIQUE(_xlfn._xlws.FILTER(ARQUIVOS_RECEBIDOS!$F$2:$F$5010,ARQUIVOS_RECEBIDOS!$E$2:$E$5010=LD_01[[#This Row],[DOCUMENTO]])))</f>
        <v>R01</v>
      </c>
      <c r="K60" s="12" cm="1">
        <f t="array" ref="K60">_xlfn.UNIQUE(_xlfn._xlws.FILTER(ARQUIVOS[DATA RECEBIMENTO],(ARQUIVOS[DOCUMENTO]=LD_01[[#This Row],[DOCUMENTO]])*(ARQUIVOS[REVISÃO]=LD_01[[#This Row],[REVISÃO]])))</f>
        <v>45838</v>
      </c>
      <c r="L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M60" s="6" t="str">
        <f>LD_01[[#This Row],[PASTA]]&amp;"/"&amp;LD_01[[#This Row],[ARQUIVO]]</f>
        <v>MSV-163MS-454-460/33.TO/MSV-163MS-454-460-ACA-EXE-DE-C1-005-R01.pdf</v>
      </c>
    </row>
    <row r="61" spans="1:13" hidden="1" x14ac:dyDescent="0.3">
      <c r="A61" s="6" t="s">
        <v>2852</v>
      </c>
      <c r="B61" s="6" t="str">
        <f>VLOOKUP(LD_01[[#This Row],[DOCUMENTO]],_xlfn.SORTBY(ARQUIVOS_RECEBIDOS!$E$2:$F$5010,ARQUIVOS_RECEBIDOS!$F$2:$F$5010,-1),2,)</f>
        <v>R00</v>
      </c>
      <c r="C61" s="15" t="s">
        <v>5987</v>
      </c>
      <c r="D61" s="6" t="s">
        <v>4310</v>
      </c>
      <c r="E61" s="8" t="s">
        <v>4164</v>
      </c>
      <c r="F61" s="8" t="s">
        <v>4163</v>
      </c>
      <c r="G61" s="6" t="str">
        <f>_xlfn.XLOOKUP(LD_01[[#This Row],[DISCIPLINA]],'CLASSES DE PROJETOS'!$F$3:$F$37,'CLASSES DE PROJETOS'!$C$3:$C$37)</f>
        <v>TO</v>
      </c>
      <c r="H61" t="str">
        <f>_xlfn.TEXTJOIN("/",TRUE,"MSV-163MS-"&amp;LD_01[[#This Row],[TRECHO]],_xlfn.XLOOKUP(LD_01[[#This Row],[SIGLA]],'CLASSES DE PROJETOS'!$C$3:$C$37,'CLASSES DE PROJETOS'!$E$3:$E$37))</f>
        <v>MSV-163MS-454-460/33.TO</v>
      </c>
      <c r="I61" s="6" t="str" cm="1">
        <f t="array" ref="I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J61" s="6" t="str" cm="1">
        <f t="array" ref="J61">_xlfn.TEXTJOIN(", ",TRUE,_xlfn.UNIQUE(_xlfn._xlws.FILTER(ARQUIVOS_RECEBIDOS!$F$2:$F$5010,ARQUIVOS_RECEBIDOS!$E$2:$E$5010=LD_01[[#This Row],[DOCUMENTO]])))</f>
        <v>R00</v>
      </c>
      <c r="K61" s="12" cm="1">
        <f t="array" ref="K61">_xlfn.UNIQUE(_xlfn._xlws.FILTER(ARQUIVOS[DATA RECEBIMENTO],(ARQUIVOS[DOCUMENTO]=LD_01[[#This Row],[DOCUMENTO]])*(ARQUIVOS[REVISÃO]=LD_01[[#This Row],[REVISÃO]])))</f>
        <v>45838</v>
      </c>
      <c r="L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M61" s="6" t="str">
        <f>LD_01[[#This Row],[PASTA]]&amp;"/"&amp;LD_01[[#This Row],[ARQUIVO]]</f>
        <v>MSV-163MS-454-460/33.TO/MSV-163MS-454-460-ACA-EXE-DE-C1-006-R00.pdf</v>
      </c>
    </row>
    <row r="62" spans="1:13" ht="28.8" hidden="1" x14ac:dyDescent="0.3">
      <c r="A62" s="6" t="s">
        <v>2963</v>
      </c>
      <c r="B62" s="6" t="str">
        <f>VLOOKUP(LD_01[[#This Row],[DOCUMENTO]],_xlfn.SORTBY(ARQUIVOS_RECEBIDOS!$E$2:$F$5010,ARQUIVOS_RECEBIDOS!$F$2:$F$5010,-1),2,)</f>
        <v>R02</v>
      </c>
      <c r="C62" s="15" t="s">
        <v>5987</v>
      </c>
      <c r="D62" s="6" t="s">
        <v>4310</v>
      </c>
      <c r="E62" s="8" t="s">
        <v>4076</v>
      </c>
      <c r="F62" s="8" t="s">
        <v>4332</v>
      </c>
      <c r="G62" s="6" t="str">
        <f>_xlfn.XLOOKUP(LD_01[[#This Row],[DISCIPLINA]],'CLASSES DE PROJETOS'!$F$3:$F$37,'CLASSES DE PROJETOS'!$C$3:$C$37)</f>
        <v>GG</v>
      </c>
      <c r="H62" t="str">
        <f>_xlfn.TEXTJOIN("/",TRUE,"MSV-163MS-"&amp;LD_01[[#This Row],[TRECHO]],_xlfn.XLOOKUP(LD_01[[#This Row],[SIGLA]],'CLASSES DE PROJETOS'!$C$3:$C$37,'CLASSES DE PROJETOS'!$E$3:$E$37))</f>
        <v>MSV-163MS-454-460/19.GG</v>
      </c>
      <c r="I62" s="6" t="str" cm="1">
        <f t="array" ref="I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J62" s="6" t="str" cm="1">
        <f t="array" ref="J62">_xlfn.TEXTJOIN(", ",TRUE,_xlfn.UNIQUE(_xlfn._xlws.FILTER(ARQUIVOS_RECEBIDOS!$F$2:$F$5010,ARQUIVOS_RECEBIDOS!$E$2:$E$5010=LD_01[[#This Row],[DOCUMENTO]])))</f>
        <v>R02</v>
      </c>
      <c r="K62" s="12" cm="1">
        <f t="array" ref="K62">_xlfn.UNIQUE(_xlfn._xlws.FILTER(ARQUIVOS[DATA RECEBIMENTO],(ARQUIVOS[DOCUMENTO]=LD_01[[#This Row],[DOCUMENTO]])*(ARQUIVOS[REVISÃO]=LD_01[[#This Row],[REVISÃO]])))</f>
        <v>45838</v>
      </c>
      <c r="L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M62" s="6" t="str">
        <f>LD_01[[#This Row],[PASTA]]&amp;"/"&amp;LD_01[[#This Row],[ARQUIVO]]</f>
        <v>MSV-163MS-454-460/19.GG/MSV-163MS-454-460-ACA-EXE-DE-D3-001-R02.pdf</v>
      </c>
    </row>
    <row r="63" spans="1:13" ht="28.8" hidden="1" x14ac:dyDescent="0.3">
      <c r="A63" s="6" t="s">
        <v>2964</v>
      </c>
      <c r="B63" s="6" t="str">
        <f>VLOOKUP(LD_01[[#This Row],[DOCUMENTO]],_xlfn.SORTBY(ARQUIVOS_RECEBIDOS!$E$2:$F$5010,ARQUIVOS_RECEBIDOS!$F$2:$F$5010,-1),2,)</f>
        <v>R02</v>
      </c>
      <c r="C63" s="15" t="s">
        <v>5987</v>
      </c>
      <c r="D63" s="6" t="s">
        <v>4310</v>
      </c>
      <c r="E63" s="8" t="s">
        <v>4076</v>
      </c>
      <c r="F63" s="8" t="s">
        <v>4332</v>
      </c>
      <c r="G63" s="6" t="str">
        <f>_xlfn.XLOOKUP(LD_01[[#This Row],[DISCIPLINA]],'CLASSES DE PROJETOS'!$F$3:$F$37,'CLASSES DE PROJETOS'!$C$3:$C$37)</f>
        <v>GG</v>
      </c>
      <c r="H63" t="str">
        <f>_xlfn.TEXTJOIN("/",TRUE,"MSV-163MS-"&amp;LD_01[[#This Row],[TRECHO]],_xlfn.XLOOKUP(LD_01[[#This Row],[SIGLA]],'CLASSES DE PROJETOS'!$C$3:$C$37,'CLASSES DE PROJETOS'!$E$3:$E$37))</f>
        <v>MSV-163MS-454-460/19.GG</v>
      </c>
      <c r="I63" s="6" t="str" cm="1">
        <f t="array" ref="I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J63" s="6" t="str" cm="1">
        <f t="array" ref="J63">_xlfn.TEXTJOIN(", ",TRUE,_xlfn.UNIQUE(_xlfn._xlws.FILTER(ARQUIVOS_RECEBIDOS!$F$2:$F$5010,ARQUIVOS_RECEBIDOS!$E$2:$E$5010=LD_01[[#This Row],[DOCUMENTO]])))</f>
        <v>R02</v>
      </c>
      <c r="K63" s="12" cm="1">
        <f t="array" ref="K63">_xlfn.UNIQUE(_xlfn._xlws.FILTER(ARQUIVOS[DATA RECEBIMENTO],(ARQUIVOS[DOCUMENTO]=LD_01[[#This Row],[DOCUMENTO]])*(ARQUIVOS[REVISÃO]=LD_01[[#This Row],[REVISÃO]])))</f>
        <v>45838</v>
      </c>
      <c r="L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M63" s="6" t="str">
        <f>LD_01[[#This Row],[PASTA]]&amp;"/"&amp;LD_01[[#This Row],[ARQUIVO]]</f>
        <v>MSV-163MS-454-460/19.GG/MSV-163MS-454-460-ACA-EXE-DE-D3-002-R02.pdf</v>
      </c>
    </row>
    <row r="64" spans="1:13" ht="28.8" hidden="1" x14ac:dyDescent="0.3">
      <c r="A64" s="6" t="s">
        <v>2965</v>
      </c>
      <c r="B64" s="6" t="str">
        <f>VLOOKUP(LD_01[[#This Row],[DOCUMENTO]],_xlfn.SORTBY(ARQUIVOS_RECEBIDOS!$E$2:$F$5010,ARQUIVOS_RECEBIDOS!$F$2:$F$5010,-1),2,)</f>
        <v>R02</v>
      </c>
      <c r="C64" s="15" t="s">
        <v>5987</v>
      </c>
      <c r="D64" s="6" t="s">
        <v>4310</v>
      </c>
      <c r="E64" s="8" t="s">
        <v>4076</v>
      </c>
      <c r="F64" s="8" t="s">
        <v>4332</v>
      </c>
      <c r="G64" s="6" t="str">
        <f>_xlfn.XLOOKUP(LD_01[[#This Row],[DISCIPLINA]],'CLASSES DE PROJETOS'!$F$3:$F$37,'CLASSES DE PROJETOS'!$C$3:$C$37)</f>
        <v>GG</v>
      </c>
      <c r="H64" t="str">
        <f>_xlfn.TEXTJOIN("/",TRUE,"MSV-163MS-"&amp;LD_01[[#This Row],[TRECHO]],_xlfn.XLOOKUP(LD_01[[#This Row],[SIGLA]],'CLASSES DE PROJETOS'!$C$3:$C$37,'CLASSES DE PROJETOS'!$E$3:$E$37))</f>
        <v>MSV-163MS-454-460/19.GG</v>
      </c>
      <c r="I64" s="6" t="str" cm="1">
        <f t="array" ref="I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J64" s="6" t="str" cm="1">
        <f t="array" ref="J64">_xlfn.TEXTJOIN(", ",TRUE,_xlfn.UNIQUE(_xlfn._xlws.FILTER(ARQUIVOS_RECEBIDOS!$F$2:$F$5010,ARQUIVOS_RECEBIDOS!$E$2:$E$5010=LD_01[[#This Row],[DOCUMENTO]])))</f>
        <v>R02</v>
      </c>
      <c r="K64" s="12" cm="1">
        <f t="array" ref="K64">_xlfn.UNIQUE(_xlfn._xlws.FILTER(ARQUIVOS[DATA RECEBIMENTO],(ARQUIVOS[DOCUMENTO]=LD_01[[#This Row],[DOCUMENTO]])*(ARQUIVOS[REVISÃO]=LD_01[[#This Row],[REVISÃO]])))</f>
        <v>45838</v>
      </c>
      <c r="L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M64" s="6" t="str">
        <f>LD_01[[#This Row],[PASTA]]&amp;"/"&amp;LD_01[[#This Row],[ARQUIVO]]</f>
        <v>MSV-163MS-454-460/19.GG/MSV-163MS-454-460-ACA-EXE-DE-D3-003-R02.pdf</v>
      </c>
    </row>
    <row r="65" spans="1:13" ht="28.8" hidden="1" x14ac:dyDescent="0.3">
      <c r="A65" s="6" t="s">
        <v>2966</v>
      </c>
      <c r="B65" s="6" t="str">
        <f>VLOOKUP(LD_01[[#This Row],[DOCUMENTO]],_xlfn.SORTBY(ARQUIVOS_RECEBIDOS!$E$2:$F$5010,ARQUIVOS_RECEBIDOS!$F$2:$F$5010,-1),2,)</f>
        <v>R02</v>
      </c>
      <c r="C65" s="15" t="s">
        <v>5987</v>
      </c>
      <c r="D65" s="6" t="s">
        <v>4310</v>
      </c>
      <c r="E65" s="8" t="s">
        <v>4076</v>
      </c>
      <c r="F65" s="8" t="s">
        <v>4332</v>
      </c>
      <c r="G65" s="6" t="str">
        <f>_xlfn.XLOOKUP(LD_01[[#This Row],[DISCIPLINA]],'CLASSES DE PROJETOS'!$F$3:$F$37,'CLASSES DE PROJETOS'!$C$3:$C$37)</f>
        <v>GG</v>
      </c>
      <c r="H65" t="str">
        <f>_xlfn.TEXTJOIN("/",TRUE,"MSV-163MS-"&amp;LD_01[[#This Row],[TRECHO]],_xlfn.XLOOKUP(LD_01[[#This Row],[SIGLA]],'CLASSES DE PROJETOS'!$C$3:$C$37,'CLASSES DE PROJETOS'!$E$3:$E$37))</f>
        <v>MSV-163MS-454-460/19.GG</v>
      </c>
      <c r="I65" s="6" t="str" cm="1">
        <f t="array" ref="I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J65" s="6" t="str" cm="1">
        <f t="array" ref="J65">_xlfn.TEXTJOIN(", ",TRUE,_xlfn.UNIQUE(_xlfn._xlws.FILTER(ARQUIVOS_RECEBIDOS!$F$2:$F$5010,ARQUIVOS_RECEBIDOS!$E$2:$E$5010=LD_01[[#This Row],[DOCUMENTO]])))</f>
        <v>R02</v>
      </c>
      <c r="K65" s="12" cm="1">
        <f t="array" ref="K65">_xlfn.UNIQUE(_xlfn._xlws.FILTER(ARQUIVOS[DATA RECEBIMENTO],(ARQUIVOS[DOCUMENTO]=LD_01[[#This Row],[DOCUMENTO]])*(ARQUIVOS[REVISÃO]=LD_01[[#This Row],[REVISÃO]])))</f>
        <v>45838</v>
      </c>
      <c r="L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M65" s="6" t="str">
        <f>LD_01[[#This Row],[PASTA]]&amp;"/"&amp;LD_01[[#This Row],[ARQUIVO]]</f>
        <v>MSV-163MS-454-460/19.GG/MSV-163MS-454-460-ACA-EXE-DE-D3-004-R02.pdf</v>
      </c>
    </row>
    <row r="66" spans="1:13" ht="28.8" hidden="1" x14ac:dyDescent="0.3">
      <c r="A66" s="6" t="s">
        <v>2967</v>
      </c>
      <c r="B66" s="6" t="str">
        <f>VLOOKUP(LD_01[[#This Row],[DOCUMENTO]],_xlfn.SORTBY(ARQUIVOS_RECEBIDOS!$E$2:$F$5010,ARQUIVOS_RECEBIDOS!$F$2:$F$5010,-1),2,)</f>
        <v>R02</v>
      </c>
      <c r="C66" s="15" t="s">
        <v>5987</v>
      </c>
      <c r="D66" s="6" t="s">
        <v>4310</v>
      </c>
      <c r="E66" s="8" t="s">
        <v>4076</v>
      </c>
      <c r="F66" s="8" t="s">
        <v>4332</v>
      </c>
      <c r="G66" s="6" t="str">
        <f>_xlfn.XLOOKUP(LD_01[[#This Row],[DISCIPLINA]],'CLASSES DE PROJETOS'!$F$3:$F$37,'CLASSES DE PROJETOS'!$C$3:$C$37)</f>
        <v>GG</v>
      </c>
      <c r="H66" t="str">
        <f>_xlfn.TEXTJOIN("/",TRUE,"MSV-163MS-"&amp;LD_01[[#This Row],[TRECHO]],_xlfn.XLOOKUP(LD_01[[#This Row],[SIGLA]],'CLASSES DE PROJETOS'!$C$3:$C$37,'CLASSES DE PROJETOS'!$E$3:$E$37))</f>
        <v>MSV-163MS-454-460/19.GG</v>
      </c>
      <c r="I66" s="6" t="str" cm="1">
        <f t="array" ref="I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J66" s="6" t="str" cm="1">
        <f t="array" ref="J66">_xlfn.TEXTJOIN(", ",TRUE,_xlfn.UNIQUE(_xlfn._xlws.FILTER(ARQUIVOS_RECEBIDOS!$F$2:$F$5010,ARQUIVOS_RECEBIDOS!$E$2:$E$5010=LD_01[[#This Row],[DOCUMENTO]])))</f>
        <v>R02</v>
      </c>
      <c r="K66" s="12" cm="1">
        <f t="array" ref="K66">_xlfn.UNIQUE(_xlfn._xlws.FILTER(ARQUIVOS[DATA RECEBIMENTO],(ARQUIVOS[DOCUMENTO]=LD_01[[#This Row],[DOCUMENTO]])*(ARQUIVOS[REVISÃO]=LD_01[[#This Row],[REVISÃO]])))</f>
        <v>45838</v>
      </c>
      <c r="L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M66" s="6" t="str">
        <f>LD_01[[#This Row],[PASTA]]&amp;"/"&amp;LD_01[[#This Row],[ARQUIVO]]</f>
        <v>MSV-163MS-454-460/19.GG/MSV-163MS-454-460-ACA-EXE-DE-D3-005-R02.pdf</v>
      </c>
    </row>
    <row r="67" spans="1:13" ht="28.8" hidden="1" x14ac:dyDescent="0.3">
      <c r="A67" s="6" t="s">
        <v>2968</v>
      </c>
      <c r="B67" s="6" t="str">
        <f>VLOOKUP(LD_01[[#This Row],[DOCUMENTO]],_xlfn.SORTBY(ARQUIVOS_RECEBIDOS!$E$2:$F$5010,ARQUIVOS_RECEBIDOS!$F$2:$F$5010,-1),2,)</f>
        <v>R02</v>
      </c>
      <c r="C67" s="15" t="s">
        <v>5987</v>
      </c>
      <c r="D67" s="6" t="s">
        <v>4310</v>
      </c>
      <c r="E67" s="8" t="s">
        <v>4076</v>
      </c>
      <c r="F67" s="8" t="s">
        <v>4332</v>
      </c>
      <c r="G67" s="6" t="str">
        <f>_xlfn.XLOOKUP(LD_01[[#This Row],[DISCIPLINA]],'CLASSES DE PROJETOS'!$F$3:$F$37,'CLASSES DE PROJETOS'!$C$3:$C$37)</f>
        <v>GG</v>
      </c>
      <c r="H67" t="str">
        <f>_xlfn.TEXTJOIN("/",TRUE,"MSV-163MS-"&amp;LD_01[[#This Row],[TRECHO]],_xlfn.XLOOKUP(LD_01[[#This Row],[SIGLA]],'CLASSES DE PROJETOS'!$C$3:$C$37,'CLASSES DE PROJETOS'!$E$3:$E$37))</f>
        <v>MSV-163MS-454-460/19.GG</v>
      </c>
      <c r="I67" s="6" t="str" cm="1">
        <f t="array" ref="I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J67" s="6" t="str" cm="1">
        <f t="array" ref="J67">_xlfn.TEXTJOIN(", ",TRUE,_xlfn.UNIQUE(_xlfn._xlws.FILTER(ARQUIVOS_RECEBIDOS!$F$2:$F$5010,ARQUIVOS_RECEBIDOS!$E$2:$E$5010=LD_01[[#This Row],[DOCUMENTO]])))</f>
        <v>R02</v>
      </c>
      <c r="K67" s="12" cm="1">
        <f t="array" ref="K67">_xlfn.UNIQUE(_xlfn._xlws.FILTER(ARQUIVOS[DATA RECEBIMENTO],(ARQUIVOS[DOCUMENTO]=LD_01[[#This Row],[DOCUMENTO]])*(ARQUIVOS[REVISÃO]=LD_01[[#This Row],[REVISÃO]])))</f>
        <v>45838</v>
      </c>
      <c r="L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M67" s="6" t="str">
        <f>LD_01[[#This Row],[PASTA]]&amp;"/"&amp;LD_01[[#This Row],[ARQUIVO]]</f>
        <v>MSV-163MS-454-460/19.GG/MSV-163MS-454-460-ACA-EXE-DE-D3-006-R02.pdf</v>
      </c>
    </row>
    <row r="68" spans="1:13" ht="28.8" hidden="1" x14ac:dyDescent="0.3">
      <c r="A68" s="6" t="s">
        <v>2969</v>
      </c>
      <c r="B68" s="6" t="str">
        <f>VLOOKUP(LD_01[[#This Row],[DOCUMENTO]],_xlfn.SORTBY(ARQUIVOS_RECEBIDOS!$E$2:$F$5010,ARQUIVOS_RECEBIDOS!$F$2:$F$5010,-1),2,)</f>
        <v>R02</v>
      </c>
      <c r="C68" s="15" t="s">
        <v>5987</v>
      </c>
      <c r="D68" s="6" t="s">
        <v>4310</v>
      </c>
      <c r="E68" s="8" t="s">
        <v>4076</v>
      </c>
      <c r="F68" s="8" t="s">
        <v>4332</v>
      </c>
      <c r="G68" s="6" t="str">
        <f>_xlfn.XLOOKUP(LD_01[[#This Row],[DISCIPLINA]],'CLASSES DE PROJETOS'!$F$3:$F$37,'CLASSES DE PROJETOS'!$C$3:$C$37)</f>
        <v>GG</v>
      </c>
      <c r="H68" t="str">
        <f>_xlfn.TEXTJOIN("/",TRUE,"MSV-163MS-"&amp;LD_01[[#This Row],[TRECHO]],_xlfn.XLOOKUP(LD_01[[#This Row],[SIGLA]],'CLASSES DE PROJETOS'!$C$3:$C$37,'CLASSES DE PROJETOS'!$E$3:$E$37))</f>
        <v>MSV-163MS-454-460/19.GG</v>
      </c>
      <c r="I68" s="6" t="str" cm="1">
        <f t="array" ref="I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J68" s="6" t="str" cm="1">
        <f t="array" ref="J68">_xlfn.TEXTJOIN(", ",TRUE,_xlfn.UNIQUE(_xlfn._xlws.FILTER(ARQUIVOS_RECEBIDOS!$F$2:$F$5010,ARQUIVOS_RECEBIDOS!$E$2:$E$5010=LD_01[[#This Row],[DOCUMENTO]])))</f>
        <v>R02</v>
      </c>
      <c r="K68" s="12" cm="1">
        <f t="array" ref="K68">_xlfn.UNIQUE(_xlfn._xlws.FILTER(ARQUIVOS[DATA RECEBIMENTO],(ARQUIVOS[DOCUMENTO]=LD_01[[#This Row],[DOCUMENTO]])*(ARQUIVOS[REVISÃO]=LD_01[[#This Row],[REVISÃO]])))</f>
        <v>45838</v>
      </c>
      <c r="L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M68" s="6" t="str">
        <f>LD_01[[#This Row],[PASTA]]&amp;"/"&amp;LD_01[[#This Row],[ARQUIVO]]</f>
        <v>MSV-163MS-454-460/19.GG/MSV-163MS-454-460-ACA-EXE-DE-D3-007-R02.pdf</v>
      </c>
    </row>
    <row r="69" spans="1:13" ht="28.8" hidden="1" x14ac:dyDescent="0.3">
      <c r="A69" s="6" t="s">
        <v>2970</v>
      </c>
      <c r="B69" s="6" t="str">
        <f>VLOOKUP(LD_01[[#This Row],[DOCUMENTO]],_xlfn.SORTBY(ARQUIVOS_RECEBIDOS!$E$2:$F$5010,ARQUIVOS_RECEBIDOS!$F$2:$F$5010,-1),2,)</f>
        <v>R02</v>
      </c>
      <c r="C69" s="15" t="s">
        <v>5987</v>
      </c>
      <c r="D69" s="6" t="s">
        <v>4310</v>
      </c>
      <c r="E69" s="8" t="s">
        <v>4076</v>
      </c>
      <c r="F69" s="8" t="s">
        <v>4332</v>
      </c>
      <c r="G69" s="6" t="str">
        <f>_xlfn.XLOOKUP(LD_01[[#This Row],[DISCIPLINA]],'CLASSES DE PROJETOS'!$F$3:$F$37,'CLASSES DE PROJETOS'!$C$3:$C$37)</f>
        <v>GG</v>
      </c>
      <c r="H69" t="str">
        <f>_xlfn.TEXTJOIN("/",TRUE,"MSV-163MS-"&amp;LD_01[[#This Row],[TRECHO]],_xlfn.XLOOKUP(LD_01[[#This Row],[SIGLA]],'CLASSES DE PROJETOS'!$C$3:$C$37,'CLASSES DE PROJETOS'!$E$3:$E$37))</f>
        <v>MSV-163MS-454-460/19.GG</v>
      </c>
      <c r="I69" s="6" t="str" cm="1">
        <f t="array" ref="I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J69" s="6" t="str" cm="1">
        <f t="array" ref="J69">_xlfn.TEXTJOIN(", ",TRUE,_xlfn.UNIQUE(_xlfn._xlws.FILTER(ARQUIVOS_RECEBIDOS!$F$2:$F$5010,ARQUIVOS_RECEBIDOS!$E$2:$E$5010=LD_01[[#This Row],[DOCUMENTO]])))</f>
        <v>R02</v>
      </c>
      <c r="K69" s="12" cm="1">
        <f t="array" ref="K69">_xlfn.UNIQUE(_xlfn._xlws.FILTER(ARQUIVOS[DATA RECEBIMENTO],(ARQUIVOS[DOCUMENTO]=LD_01[[#This Row],[DOCUMENTO]])*(ARQUIVOS[REVISÃO]=LD_01[[#This Row],[REVISÃO]])))</f>
        <v>45838</v>
      </c>
      <c r="L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M69" s="6" t="str">
        <f>LD_01[[#This Row],[PASTA]]&amp;"/"&amp;LD_01[[#This Row],[ARQUIVO]]</f>
        <v>MSV-163MS-454-460/19.GG/MSV-163MS-454-460-ACA-EXE-DE-D3-008-R02.pdf</v>
      </c>
    </row>
    <row r="70" spans="1:13" ht="28.8" hidden="1" x14ac:dyDescent="0.3">
      <c r="A70" s="6" t="s">
        <v>2971</v>
      </c>
      <c r="B70" s="6" t="str">
        <f>VLOOKUP(LD_01[[#This Row],[DOCUMENTO]],_xlfn.SORTBY(ARQUIVOS_RECEBIDOS!$E$2:$F$5010,ARQUIVOS_RECEBIDOS!$F$2:$F$5010,-1),2,)</f>
        <v>R03</v>
      </c>
      <c r="C70" s="15" t="s">
        <v>5987</v>
      </c>
      <c r="D70" s="6" t="s">
        <v>4310</v>
      </c>
      <c r="E70" s="8" t="s">
        <v>4076</v>
      </c>
      <c r="F70" s="8" t="s">
        <v>4332</v>
      </c>
      <c r="G70" s="6" t="str">
        <f>_xlfn.XLOOKUP(LD_01[[#This Row],[DISCIPLINA]],'CLASSES DE PROJETOS'!$F$3:$F$37,'CLASSES DE PROJETOS'!$C$3:$C$37)</f>
        <v>GG</v>
      </c>
      <c r="H70" t="str">
        <f>_xlfn.TEXTJOIN("/",TRUE,"MSV-163MS-"&amp;LD_01[[#This Row],[TRECHO]],_xlfn.XLOOKUP(LD_01[[#This Row],[SIGLA]],'CLASSES DE PROJETOS'!$C$3:$C$37,'CLASSES DE PROJETOS'!$E$3:$E$37))</f>
        <v>MSV-163MS-454-460/19.GG</v>
      </c>
      <c r="I70" s="6" t="str" cm="1">
        <f t="array" ref="I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J70" s="6" t="str" cm="1">
        <f t="array" ref="J70">_xlfn.TEXTJOIN(", ",TRUE,_xlfn.UNIQUE(_xlfn._xlws.FILTER(ARQUIVOS_RECEBIDOS!$F$2:$F$5010,ARQUIVOS_RECEBIDOS!$E$2:$E$5010=LD_01[[#This Row],[DOCUMENTO]])))</f>
        <v>R03</v>
      </c>
      <c r="K70" s="12" cm="1">
        <f t="array" ref="K70">_xlfn.UNIQUE(_xlfn._xlws.FILTER(ARQUIVOS[DATA RECEBIMENTO],(ARQUIVOS[DOCUMENTO]=LD_01[[#This Row],[DOCUMENTO]])*(ARQUIVOS[REVISÃO]=LD_01[[#This Row],[REVISÃO]])))</f>
        <v>45838</v>
      </c>
      <c r="L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M70" s="6" t="str">
        <f>LD_01[[#This Row],[PASTA]]&amp;"/"&amp;LD_01[[#This Row],[ARQUIVO]]</f>
        <v>MSV-163MS-454-460/19.GG/MSV-163MS-454-460-ACA-EXE-DE-D3-009-R03.pdf</v>
      </c>
    </row>
    <row r="71" spans="1:13" ht="28.8" hidden="1" x14ac:dyDescent="0.3">
      <c r="A71" s="6" t="s">
        <v>2972</v>
      </c>
      <c r="B71" s="6" t="str">
        <f>VLOOKUP(LD_01[[#This Row],[DOCUMENTO]],_xlfn.SORTBY(ARQUIVOS_RECEBIDOS!$E$2:$F$5010,ARQUIVOS_RECEBIDOS!$F$2:$F$5010,-1),2,)</f>
        <v>R03</v>
      </c>
      <c r="C71" s="15" t="s">
        <v>5987</v>
      </c>
      <c r="D71" s="6" t="s">
        <v>4310</v>
      </c>
      <c r="E71" s="8" t="s">
        <v>4076</v>
      </c>
      <c r="F71" s="8" t="s">
        <v>4332</v>
      </c>
      <c r="G71" s="6" t="str">
        <f>_xlfn.XLOOKUP(LD_01[[#This Row],[DISCIPLINA]],'CLASSES DE PROJETOS'!$F$3:$F$37,'CLASSES DE PROJETOS'!$C$3:$C$37)</f>
        <v>GG</v>
      </c>
      <c r="H71" t="str">
        <f>_xlfn.TEXTJOIN("/",TRUE,"MSV-163MS-"&amp;LD_01[[#This Row],[TRECHO]],_xlfn.XLOOKUP(LD_01[[#This Row],[SIGLA]],'CLASSES DE PROJETOS'!$C$3:$C$37,'CLASSES DE PROJETOS'!$E$3:$E$37))</f>
        <v>MSV-163MS-454-460/19.GG</v>
      </c>
      <c r="I71" s="6" t="str" cm="1">
        <f t="array" ref="I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J71" s="6" t="str" cm="1">
        <f t="array" ref="J71">_xlfn.TEXTJOIN(", ",TRUE,_xlfn.UNIQUE(_xlfn._xlws.FILTER(ARQUIVOS_RECEBIDOS!$F$2:$F$5010,ARQUIVOS_RECEBIDOS!$E$2:$E$5010=LD_01[[#This Row],[DOCUMENTO]])))</f>
        <v>R03</v>
      </c>
      <c r="K71" s="12" cm="1">
        <f t="array" ref="K71">_xlfn.UNIQUE(_xlfn._xlws.FILTER(ARQUIVOS[DATA RECEBIMENTO],(ARQUIVOS[DOCUMENTO]=LD_01[[#This Row],[DOCUMENTO]])*(ARQUIVOS[REVISÃO]=LD_01[[#This Row],[REVISÃO]])))</f>
        <v>45838</v>
      </c>
      <c r="L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M71" s="6" t="str">
        <f>LD_01[[#This Row],[PASTA]]&amp;"/"&amp;LD_01[[#This Row],[ARQUIVO]]</f>
        <v>MSV-163MS-454-460/19.GG/MSV-163MS-454-460-ACA-EXE-DE-D3-010-R03.pdf</v>
      </c>
    </row>
    <row r="72" spans="1:13" ht="28.8" hidden="1" x14ac:dyDescent="0.3">
      <c r="A72" s="6" t="s">
        <v>2973</v>
      </c>
      <c r="B72" s="6" t="str">
        <f>VLOOKUP(LD_01[[#This Row],[DOCUMENTO]],_xlfn.SORTBY(ARQUIVOS_RECEBIDOS!$E$2:$F$5010,ARQUIVOS_RECEBIDOS!$F$2:$F$5010,-1),2,)</f>
        <v>R03</v>
      </c>
      <c r="C72" s="15" t="s">
        <v>5987</v>
      </c>
      <c r="D72" s="6" t="s">
        <v>4310</v>
      </c>
      <c r="E72" s="8" t="s">
        <v>4076</v>
      </c>
      <c r="F72" s="8" t="s">
        <v>4332</v>
      </c>
      <c r="G72" s="6" t="str">
        <f>_xlfn.XLOOKUP(LD_01[[#This Row],[DISCIPLINA]],'CLASSES DE PROJETOS'!$F$3:$F$37,'CLASSES DE PROJETOS'!$C$3:$C$37)</f>
        <v>GG</v>
      </c>
      <c r="H72" t="str">
        <f>_xlfn.TEXTJOIN("/",TRUE,"MSV-163MS-"&amp;LD_01[[#This Row],[TRECHO]],_xlfn.XLOOKUP(LD_01[[#This Row],[SIGLA]],'CLASSES DE PROJETOS'!$C$3:$C$37,'CLASSES DE PROJETOS'!$E$3:$E$37))</f>
        <v>MSV-163MS-454-460/19.GG</v>
      </c>
      <c r="I72" s="6" t="str" cm="1">
        <f t="array" ref="I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J72" s="6" t="str" cm="1">
        <f t="array" ref="J72">_xlfn.TEXTJOIN(", ",TRUE,_xlfn.UNIQUE(_xlfn._xlws.FILTER(ARQUIVOS_RECEBIDOS!$F$2:$F$5010,ARQUIVOS_RECEBIDOS!$E$2:$E$5010=LD_01[[#This Row],[DOCUMENTO]])))</f>
        <v>R03</v>
      </c>
      <c r="K72" s="12" cm="1">
        <f t="array" ref="K72">_xlfn.UNIQUE(_xlfn._xlws.FILTER(ARQUIVOS[DATA RECEBIMENTO],(ARQUIVOS[DOCUMENTO]=LD_01[[#This Row],[DOCUMENTO]])*(ARQUIVOS[REVISÃO]=LD_01[[#This Row],[REVISÃO]])))</f>
        <v>45838</v>
      </c>
      <c r="L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M72" s="6" t="str">
        <f>LD_01[[#This Row],[PASTA]]&amp;"/"&amp;LD_01[[#This Row],[ARQUIVO]]</f>
        <v>MSV-163MS-454-460/19.GG/MSV-163MS-454-460-ACA-EXE-DE-D3-011-R03.pdf</v>
      </c>
    </row>
    <row r="73" spans="1:13" ht="28.8" hidden="1" x14ac:dyDescent="0.3">
      <c r="A73" s="6" t="s">
        <v>2974</v>
      </c>
      <c r="B73" s="6" t="str">
        <f>VLOOKUP(LD_01[[#This Row],[DOCUMENTO]],_xlfn.SORTBY(ARQUIVOS_RECEBIDOS!$E$2:$F$5010,ARQUIVOS_RECEBIDOS!$F$2:$F$5010,-1),2,)</f>
        <v>R00</v>
      </c>
      <c r="C73" s="15" t="s">
        <v>5987</v>
      </c>
      <c r="D73" s="6" t="s">
        <v>4310</v>
      </c>
      <c r="E73" s="8" t="s">
        <v>4076</v>
      </c>
      <c r="F73" s="8" t="s">
        <v>4332</v>
      </c>
      <c r="G73" s="6" t="str">
        <f>_xlfn.XLOOKUP(LD_01[[#This Row],[DISCIPLINA]],'CLASSES DE PROJETOS'!$F$3:$F$37,'CLASSES DE PROJETOS'!$C$3:$C$37)</f>
        <v>GG</v>
      </c>
      <c r="H73" t="str">
        <f>_xlfn.TEXTJOIN("/",TRUE,"MSV-163MS-"&amp;LD_01[[#This Row],[TRECHO]],_xlfn.XLOOKUP(LD_01[[#This Row],[SIGLA]],'CLASSES DE PROJETOS'!$C$3:$C$37,'CLASSES DE PROJETOS'!$E$3:$E$37))</f>
        <v>MSV-163MS-454-460/19.GG</v>
      </c>
      <c r="I73" s="6" t="str" cm="1">
        <f t="array" ref="I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J73" s="6" t="str" cm="1">
        <f t="array" ref="J73">_xlfn.TEXTJOIN(", ",TRUE,_xlfn.UNIQUE(_xlfn._xlws.FILTER(ARQUIVOS_RECEBIDOS!$F$2:$F$5010,ARQUIVOS_RECEBIDOS!$E$2:$E$5010=LD_01[[#This Row],[DOCUMENTO]])))</f>
        <v>R00</v>
      </c>
      <c r="K73" s="12" cm="1">
        <f t="array" ref="K73">_xlfn.UNIQUE(_xlfn._xlws.FILTER(ARQUIVOS[DATA RECEBIMENTO],(ARQUIVOS[DOCUMENTO]=LD_01[[#This Row],[DOCUMENTO]])*(ARQUIVOS[REVISÃO]=LD_01[[#This Row],[REVISÃO]])))</f>
        <v>45838</v>
      </c>
      <c r="L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M73" s="6" t="str">
        <f>LD_01[[#This Row],[PASTA]]&amp;"/"&amp;LD_01[[#This Row],[ARQUIVO]]</f>
        <v>MSV-163MS-454-460/19.GG/MSV-163MS-454-460-ACA-EXE-DE-D3-012-R00.pdf</v>
      </c>
    </row>
    <row r="74" spans="1:13" ht="28.8" hidden="1" x14ac:dyDescent="0.3">
      <c r="A74" s="6" t="s">
        <v>2975</v>
      </c>
      <c r="B74" s="6" t="str">
        <f>VLOOKUP(LD_01[[#This Row],[DOCUMENTO]],_xlfn.SORTBY(ARQUIVOS_RECEBIDOS!$E$2:$F$5010,ARQUIVOS_RECEBIDOS!$F$2:$F$5010,-1),2,)</f>
        <v>R01</v>
      </c>
      <c r="C74" s="15" t="s">
        <v>5987</v>
      </c>
      <c r="D74" s="6" t="s">
        <v>4310</v>
      </c>
      <c r="E74" s="8" t="s">
        <v>4076</v>
      </c>
      <c r="F74" s="8" t="s">
        <v>4332</v>
      </c>
      <c r="G74" s="6" t="str">
        <f>_xlfn.XLOOKUP(LD_01[[#This Row],[DISCIPLINA]],'CLASSES DE PROJETOS'!$F$3:$F$37,'CLASSES DE PROJETOS'!$C$3:$C$37)</f>
        <v>GG</v>
      </c>
      <c r="H74" t="str">
        <f>_xlfn.TEXTJOIN("/",TRUE,"MSV-163MS-"&amp;LD_01[[#This Row],[TRECHO]],_xlfn.XLOOKUP(LD_01[[#This Row],[SIGLA]],'CLASSES DE PROJETOS'!$C$3:$C$37,'CLASSES DE PROJETOS'!$E$3:$E$37))</f>
        <v>MSV-163MS-454-460/19.GG</v>
      </c>
      <c r="I74" s="6" t="str" cm="1">
        <f t="array" ref="I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J74" s="6" t="str" cm="1">
        <f t="array" ref="J74">_xlfn.TEXTJOIN(", ",TRUE,_xlfn.UNIQUE(_xlfn._xlws.FILTER(ARQUIVOS_RECEBIDOS!$F$2:$F$5010,ARQUIVOS_RECEBIDOS!$E$2:$E$5010=LD_01[[#This Row],[DOCUMENTO]])))</f>
        <v>R01</v>
      </c>
      <c r="K74" s="12" cm="1">
        <f t="array" ref="K74">_xlfn.UNIQUE(_xlfn._xlws.FILTER(ARQUIVOS[DATA RECEBIMENTO],(ARQUIVOS[DOCUMENTO]=LD_01[[#This Row],[DOCUMENTO]])*(ARQUIVOS[REVISÃO]=LD_01[[#This Row],[REVISÃO]])))</f>
        <v>45838</v>
      </c>
      <c r="L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M74" s="6" t="str">
        <f>LD_01[[#This Row],[PASTA]]&amp;"/"&amp;LD_01[[#This Row],[ARQUIVO]]</f>
        <v>MSV-163MS-454-460/19.GG/MSV-163MS-454-460-ACA-EXE-DE-D3-013-R01.pdf</v>
      </c>
    </row>
    <row r="75" spans="1:13" ht="28.8" hidden="1" x14ac:dyDescent="0.3">
      <c r="A75" s="6" t="s">
        <v>2976</v>
      </c>
      <c r="B75" s="6" t="str">
        <f>VLOOKUP(LD_01[[#This Row],[DOCUMENTO]],_xlfn.SORTBY(ARQUIVOS_RECEBIDOS!$E$2:$F$5010,ARQUIVOS_RECEBIDOS!$F$2:$F$5010,-1),2,)</f>
        <v>R01</v>
      </c>
      <c r="C75" s="15" t="s">
        <v>5987</v>
      </c>
      <c r="D75" s="6" t="s">
        <v>4310</v>
      </c>
      <c r="E75" s="8" t="s">
        <v>4076</v>
      </c>
      <c r="F75" s="8" t="s">
        <v>4332</v>
      </c>
      <c r="G75" s="6" t="str">
        <f>_xlfn.XLOOKUP(LD_01[[#This Row],[DISCIPLINA]],'CLASSES DE PROJETOS'!$F$3:$F$37,'CLASSES DE PROJETOS'!$C$3:$C$37)</f>
        <v>GG</v>
      </c>
      <c r="H75" t="str">
        <f>_xlfn.TEXTJOIN("/",TRUE,"MSV-163MS-"&amp;LD_01[[#This Row],[TRECHO]],_xlfn.XLOOKUP(LD_01[[#This Row],[SIGLA]],'CLASSES DE PROJETOS'!$C$3:$C$37,'CLASSES DE PROJETOS'!$E$3:$E$37))</f>
        <v>MSV-163MS-454-460/19.GG</v>
      </c>
      <c r="I75" s="6" t="str" cm="1">
        <f t="array" ref="I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J75" s="6" t="str" cm="1">
        <f t="array" ref="J75">_xlfn.TEXTJOIN(", ",TRUE,_xlfn.UNIQUE(_xlfn._xlws.FILTER(ARQUIVOS_RECEBIDOS!$F$2:$F$5010,ARQUIVOS_RECEBIDOS!$E$2:$E$5010=LD_01[[#This Row],[DOCUMENTO]])))</f>
        <v>R01</v>
      </c>
      <c r="K75" s="12" cm="1">
        <f t="array" ref="K75">_xlfn.UNIQUE(_xlfn._xlws.FILTER(ARQUIVOS[DATA RECEBIMENTO],(ARQUIVOS[DOCUMENTO]=LD_01[[#This Row],[DOCUMENTO]])*(ARQUIVOS[REVISÃO]=LD_01[[#This Row],[REVISÃO]])))</f>
        <v>45838</v>
      </c>
      <c r="L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M75" s="6" t="str">
        <f>LD_01[[#This Row],[PASTA]]&amp;"/"&amp;LD_01[[#This Row],[ARQUIVO]]</f>
        <v>MSV-163MS-454-460/19.GG/MSV-163MS-454-460-ACA-EXE-DE-D3-014-R01.pdf</v>
      </c>
    </row>
    <row r="76" spans="1:13" ht="28.8" hidden="1" x14ac:dyDescent="0.3">
      <c r="A76" s="6" t="s">
        <v>2977</v>
      </c>
      <c r="B76" s="6" t="str">
        <f>VLOOKUP(LD_01[[#This Row],[DOCUMENTO]],_xlfn.SORTBY(ARQUIVOS_RECEBIDOS!$E$2:$F$5010,ARQUIVOS_RECEBIDOS!$F$2:$F$5010,-1),2,)</f>
        <v>R05</v>
      </c>
      <c r="C76" s="15" t="s">
        <v>5987</v>
      </c>
      <c r="D76" s="6" t="s">
        <v>4310</v>
      </c>
      <c r="E76" s="8" t="s">
        <v>5389</v>
      </c>
      <c r="F76" s="8" t="s">
        <v>4332</v>
      </c>
      <c r="G76" s="6" t="str">
        <f>_xlfn.XLOOKUP(LD_01[[#This Row],[DISCIPLINA]],'CLASSES DE PROJETOS'!$F$3:$F$37,'CLASSES DE PROJETOS'!$C$3:$C$37)</f>
        <v>GG</v>
      </c>
      <c r="H76" t="str">
        <f>_xlfn.TEXTJOIN("/",TRUE,"MSV-163MS-"&amp;LD_01[[#This Row],[TRECHO]],_xlfn.XLOOKUP(LD_01[[#This Row],[SIGLA]],'CLASSES DE PROJETOS'!$C$3:$C$37,'CLASSES DE PROJETOS'!$E$3:$E$37))</f>
        <v>MSV-163MS-454-460/19.GG</v>
      </c>
      <c r="I76" s="6" t="str" cm="1">
        <f t="array" ref="I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J76" s="6" t="str" cm="1">
        <f t="array" ref="J76">_xlfn.TEXTJOIN(", ",TRUE,_xlfn.UNIQUE(_xlfn._xlws.FILTER(ARQUIVOS_RECEBIDOS!$F$2:$F$5010,ARQUIVOS_RECEBIDOS!$E$2:$E$5010=LD_01[[#This Row],[DOCUMENTO]])))</f>
        <v>R05</v>
      </c>
      <c r="K76" s="12" cm="1">
        <f t="array" ref="K76">_xlfn.UNIQUE(_xlfn._xlws.FILTER(ARQUIVOS[DATA RECEBIMENTO],(ARQUIVOS[DOCUMENTO]=LD_01[[#This Row],[DOCUMENTO]])*(ARQUIVOS[REVISÃO]=LD_01[[#This Row],[REVISÃO]])))</f>
        <v>45838</v>
      </c>
      <c r="L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M76" s="6" t="str">
        <f>LD_01[[#This Row],[PASTA]]&amp;"/"&amp;LD_01[[#This Row],[ARQUIVO]]</f>
        <v>MSV-163MS-454-460/19.GG/MSV-163MS-454-460-ACA-EXE-DE-D3-101-R05.pdf</v>
      </c>
    </row>
    <row r="77" spans="1:13" ht="28.8" hidden="1" x14ac:dyDescent="0.3">
      <c r="A77" s="6" t="s">
        <v>2978</v>
      </c>
      <c r="B77" s="6" t="str">
        <f>VLOOKUP(LD_01[[#This Row],[DOCUMENTO]],_xlfn.SORTBY(ARQUIVOS_RECEBIDOS!$E$2:$F$5010,ARQUIVOS_RECEBIDOS!$F$2:$F$5010,-1),2,)</f>
        <v>R03</v>
      </c>
      <c r="C77" s="15" t="s">
        <v>5987</v>
      </c>
      <c r="D77" s="6" t="s">
        <v>4310</v>
      </c>
      <c r="E77" s="8" t="s">
        <v>5388</v>
      </c>
      <c r="F77" s="8" t="s">
        <v>4332</v>
      </c>
      <c r="G77" s="6" t="str">
        <f>_xlfn.XLOOKUP(LD_01[[#This Row],[DISCIPLINA]],'CLASSES DE PROJETOS'!$F$3:$F$37,'CLASSES DE PROJETOS'!$C$3:$C$37)</f>
        <v>GG</v>
      </c>
      <c r="H77" t="str">
        <f>_xlfn.TEXTJOIN("/",TRUE,"MSV-163MS-"&amp;LD_01[[#This Row],[TRECHO]],_xlfn.XLOOKUP(LD_01[[#This Row],[SIGLA]],'CLASSES DE PROJETOS'!$C$3:$C$37,'CLASSES DE PROJETOS'!$E$3:$E$37))</f>
        <v>MSV-163MS-454-460/19.GG</v>
      </c>
      <c r="I77" s="6" t="str" cm="1">
        <f t="array" ref="I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J77" s="6" t="str" cm="1">
        <f t="array" ref="J77">_xlfn.TEXTJOIN(", ",TRUE,_xlfn.UNIQUE(_xlfn._xlws.FILTER(ARQUIVOS_RECEBIDOS!$F$2:$F$5010,ARQUIVOS_RECEBIDOS!$E$2:$E$5010=LD_01[[#This Row],[DOCUMENTO]])))</f>
        <v>R03</v>
      </c>
      <c r="K77" s="12" cm="1">
        <f t="array" ref="K77">_xlfn.UNIQUE(_xlfn._xlws.FILTER(ARQUIVOS[DATA RECEBIMENTO],(ARQUIVOS[DOCUMENTO]=LD_01[[#This Row],[DOCUMENTO]])*(ARQUIVOS[REVISÃO]=LD_01[[#This Row],[REVISÃO]])))</f>
        <v>45838</v>
      </c>
      <c r="L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M77" s="6" t="str">
        <f>LD_01[[#This Row],[PASTA]]&amp;"/"&amp;LD_01[[#This Row],[ARQUIVO]]</f>
        <v>MSV-163MS-454-460/19.GG/MSV-163MS-454-460-ACA-EXE-DE-D3-102-R03.pdf</v>
      </c>
    </row>
    <row r="78" spans="1:13" ht="28.8" hidden="1" x14ac:dyDescent="0.3">
      <c r="A78" s="6" t="s">
        <v>2854</v>
      </c>
      <c r="B78" s="6" t="str">
        <f>VLOOKUP(LD_01[[#This Row],[DOCUMENTO]],_xlfn.SORTBY(ARQUIVOS_RECEBIDOS!$E$2:$F$5010,ARQUIVOS_RECEBIDOS!$F$2:$F$5010,-1),2,)</f>
        <v>R05</v>
      </c>
      <c r="C78" s="15" t="s">
        <v>5987</v>
      </c>
      <c r="D78" s="6" t="s">
        <v>4310</v>
      </c>
      <c r="E78" s="8" t="s">
        <v>4305</v>
      </c>
      <c r="F78" s="8" t="s">
        <v>4141</v>
      </c>
      <c r="G78" s="6" t="str">
        <f>_xlfn.XLOOKUP(LD_01[[#This Row],[DISCIPLINA]],'CLASSES DE PROJETOS'!$F$3:$F$37,'CLASSES DE PROJETOS'!$C$3:$C$37)</f>
        <v>GE</v>
      </c>
      <c r="H78" t="str">
        <f>_xlfn.TEXTJOIN("/",TRUE,"MSV-163MS-"&amp;LD_01[[#This Row],[TRECHO]],_xlfn.XLOOKUP(LD_01[[#This Row],[SIGLA]],'CLASSES DE PROJETOS'!$C$3:$C$37,'CLASSES DE PROJETOS'!$E$3:$E$37))</f>
        <v>MSV-163MS-454-460/18.GE</v>
      </c>
      <c r="I78" s="6" t="str" cm="1">
        <f t="array" ref="I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J78" s="6" t="str" cm="1">
        <f t="array" ref="J78">_xlfn.TEXTJOIN(", ",TRUE,_xlfn.UNIQUE(_xlfn._xlws.FILTER(ARQUIVOS_RECEBIDOS!$F$2:$F$5010,ARQUIVOS_RECEBIDOS!$E$2:$E$5010=LD_01[[#This Row],[DOCUMENTO]])))</f>
        <v>R05</v>
      </c>
      <c r="K78" s="12" cm="1">
        <f t="array" ref="K78">_xlfn.UNIQUE(_xlfn._xlws.FILTER(ARQUIVOS[DATA RECEBIMENTO],(ARQUIVOS[DOCUMENTO]=LD_01[[#This Row],[DOCUMENTO]])*(ARQUIVOS[REVISÃO]=LD_01[[#This Row],[REVISÃO]])))</f>
        <v>45838</v>
      </c>
      <c r="L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M78" s="6" t="str">
        <f>LD_01[[#This Row],[PASTA]]&amp;"/"&amp;LD_01[[#This Row],[ARQUIVO]]</f>
        <v>MSV-163MS-454-460/18.GE/MSV-163MS-454-460-ACA-EXE-DE-F1-001-R05.pdf</v>
      </c>
    </row>
    <row r="79" spans="1:13" ht="28.8" hidden="1" x14ac:dyDescent="0.3">
      <c r="A79" s="6" t="s">
        <v>2855</v>
      </c>
      <c r="B79" s="6" t="str">
        <f>VLOOKUP(LD_01[[#This Row],[DOCUMENTO]],_xlfn.SORTBY(ARQUIVOS_RECEBIDOS!$E$2:$F$5010,ARQUIVOS_RECEBIDOS!$F$2:$F$5010,-1),2,)</f>
        <v>R07</v>
      </c>
      <c r="C79" s="15" t="s">
        <v>5987</v>
      </c>
      <c r="D79" s="6" t="s">
        <v>4310</v>
      </c>
      <c r="E79" s="8" t="s">
        <v>4305</v>
      </c>
      <c r="F79" s="8" t="s">
        <v>4141</v>
      </c>
      <c r="G79" s="6" t="str">
        <f>_xlfn.XLOOKUP(LD_01[[#This Row],[DISCIPLINA]],'CLASSES DE PROJETOS'!$F$3:$F$37,'CLASSES DE PROJETOS'!$C$3:$C$37)</f>
        <v>GE</v>
      </c>
      <c r="H79" t="str">
        <f>_xlfn.TEXTJOIN("/",TRUE,"MSV-163MS-"&amp;LD_01[[#This Row],[TRECHO]],_xlfn.XLOOKUP(LD_01[[#This Row],[SIGLA]],'CLASSES DE PROJETOS'!$C$3:$C$37,'CLASSES DE PROJETOS'!$E$3:$E$37))</f>
        <v>MSV-163MS-454-460/18.GE</v>
      </c>
      <c r="I79" s="6" t="str" cm="1">
        <f t="array" ref="I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J79" s="6" t="str" cm="1">
        <f t="array" ref="J79">_xlfn.TEXTJOIN(", ",TRUE,_xlfn.UNIQUE(_xlfn._xlws.FILTER(ARQUIVOS_RECEBIDOS!$F$2:$F$5010,ARQUIVOS_RECEBIDOS!$E$2:$E$5010=LD_01[[#This Row],[DOCUMENTO]])))</f>
        <v>R07</v>
      </c>
      <c r="K79" s="12" cm="1">
        <f t="array" ref="K79">_xlfn.UNIQUE(_xlfn._xlws.FILTER(ARQUIVOS[DATA RECEBIMENTO],(ARQUIVOS[DOCUMENTO]=LD_01[[#This Row],[DOCUMENTO]])*(ARQUIVOS[REVISÃO]=LD_01[[#This Row],[REVISÃO]])))</f>
        <v>45838</v>
      </c>
      <c r="L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M79" s="6" t="str">
        <f>LD_01[[#This Row],[PASTA]]&amp;"/"&amp;LD_01[[#This Row],[ARQUIVO]]</f>
        <v>MSV-163MS-454-460/18.GE/MSV-163MS-454-460-ACA-EXE-DE-F1-002-R07.pdf</v>
      </c>
    </row>
    <row r="80" spans="1:13" ht="28.8" hidden="1" x14ac:dyDescent="0.3">
      <c r="A80" s="6" t="s">
        <v>2856</v>
      </c>
      <c r="B80" s="6" t="str">
        <f>VLOOKUP(LD_01[[#This Row],[DOCUMENTO]],_xlfn.SORTBY(ARQUIVOS_RECEBIDOS!$E$2:$F$5010,ARQUIVOS_RECEBIDOS!$F$2:$F$5010,-1),2,)</f>
        <v>R07</v>
      </c>
      <c r="C80" s="15" t="s">
        <v>5987</v>
      </c>
      <c r="D80" s="6" t="s">
        <v>4310</v>
      </c>
      <c r="E80" s="8" t="s">
        <v>4305</v>
      </c>
      <c r="F80" s="8" t="s">
        <v>4141</v>
      </c>
      <c r="G80" s="6" t="str">
        <f>_xlfn.XLOOKUP(LD_01[[#This Row],[DISCIPLINA]],'CLASSES DE PROJETOS'!$F$3:$F$37,'CLASSES DE PROJETOS'!$C$3:$C$37)</f>
        <v>GE</v>
      </c>
      <c r="H80" t="str">
        <f>_xlfn.TEXTJOIN("/",TRUE,"MSV-163MS-"&amp;LD_01[[#This Row],[TRECHO]],_xlfn.XLOOKUP(LD_01[[#This Row],[SIGLA]],'CLASSES DE PROJETOS'!$C$3:$C$37,'CLASSES DE PROJETOS'!$E$3:$E$37))</f>
        <v>MSV-163MS-454-460/18.GE</v>
      </c>
      <c r="I80" s="6" t="str" cm="1">
        <f t="array" ref="I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J80" s="6" t="str" cm="1">
        <f t="array" ref="J80">_xlfn.TEXTJOIN(", ",TRUE,_xlfn.UNIQUE(_xlfn._xlws.FILTER(ARQUIVOS_RECEBIDOS!$F$2:$F$5010,ARQUIVOS_RECEBIDOS!$E$2:$E$5010=LD_01[[#This Row],[DOCUMENTO]])))</f>
        <v>R07</v>
      </c>
      <c r="K80" s="12" cm="1">
        <f t="array" ref="K80">_xlfn.UNIQUE(_xlfn._xlws.FILTER(ARQUIVOS[DATA RECEBIMENTO],(ARQUIVOS[DOCUMENTO]=LD_01[[#This Row],[DOCUMENTO]])*(ARQUIVOS[REVISÃO]=LD_01[[#This Row],[REVISÃO]])))</f>
        <v>45838</v>
      </c>
      <c r="L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M80" s="6" t="str">
        <f>LD_01[[#This Row],[PASTA]]&amp;"/"&amp;LD_01[[#This Row],[ARQUIVO]]</f>
        <v>MSV-163MS-454-460/18.GE/MSV-163MS-454-460-ACA-EXE-DE-F1-003-R07.pdf</v>
      </c>
    </row>
    <row r="81" spans="1:13" ht="28.8" hidden="1" x14ac:dyDescent="0.3">
      <c r="A81" s="6" t="s">
        <v>2857</v>
      </c>
      <c r="B81" s="6" t="str">
        <f>VLOOKUP(LD_01[[#This Row],[DOCUMENTO]],_xlfn.SORTBY(ARQUIVOS_RECEBIDOS!$E$2:$F$5010,ARQUIVOS_RECEBIDOS!$F$2:$F$5010,-1),2,)</f>
        <v>R05</v>
      </c>
      <c r="C81" s="15" t="s">
        <v>5987</v>
      </c>
      <c r="D81" s="6" t="s">
        <v>4310</v>
      </c>
      <c r="E81" s="8" t="s">
        <v>4305</v>
      </c>
      <c r="F81" s="8" t="s">
        <v>4141</v>
      </c>
      <c r="G81" s="6" t="str">
        <f>_xlfn.XLOOKUP(LD_01[[#This Row],[DISCIPLINA]],'CLASSES DE PROJETOS'!$F$3:$F$37,'CLASSES DE PROJETOS'!$C$3:$C$37)</f>
        <v>GE</v>
      </c>
      <c r="H81" t="str">
        <f>_xlfn.TEXTJOIN("/",TRUE,"MSV-163MS-"&amp;LD_01[[#This Row],[TRECHO]],_xlfn.XLOOKUP(LD_01[[#This Row],[SIGLA]],'CLASSES DE PROJETOS'!$C$3:$C$37,'CLASSES DE PROJETOS'!$E$3:$E$37))</f>
        <v>MSV-163MS-454-460/18.GE</v>
      </c>
      <c r="I81" s="6" t="str" cm="1">
        <f t="array" ref="I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J81" s="6" t="str" cm="1">
        <f t="array" ref="J81">_xlfn.TEXTJOIN(", ",TRUE,_xlfn.UNIQUE(_xlfn._xlws.FILTER(ARQUIVOS_RECEBIDOS!$F$2:$F$5010,ARQUIVOS_RECEBIDOS!$E$2:$E$5010=LD_01[[#This Row],[DOCUMENTO]])))</f>
        <v>R05</v>
      </c>
      <c r="K81" s="12" cm="1">
        <f t="array" ref="K81">_xlfn.UNIQUE(_xlfn._xlws.FILTER(ARQUIVOS[DATA RECEBIMENTO],(ARQUIVOS[DOCUMENTO]=LD_01[[#This Row],[DOCUMENTO]])*(ARQUIVOS[REVISÃO]=LD_01[[#This Row],[REVISÃO]])))</f>
        <v>45838</v>
      </c>
      <c r="L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M81" s="6" t="str">
        <f>LD_01[[#This Row],[PASTA]]&amp;"/"&amp;LD_01[[#This Row],[ARQUIVO]]</f>
        <v>MSV-163MS-454-460/18.GE/MSV-163MS-454-460-ACA-EXE-DE-F1-004-R05.pdf</v>
      </c>
    </row>
    <row r="82" spans="1:13" ht="28.8" hidden="1" x14ac:dyDescent="0.3">
      <c r="A82" s="6" t="s">
        <v>2858</v>
      </c>
      <c r="B82" s="6" t="str">
        <f>VLOOKUP(LD_01[[#This Row],[DOCUMENTO]],_xlfn.SORTBY(ARQUIVOS_RECEBIDOS!$E$2:$F$5010,ARQUIVOS_RECEBIDOS!$F$2:$F$5010,-1),2,)</f>
        <v>R06</v>
      </c>
      <c r="C82" s="15" t="s">
        <v>5987</v>
      </c>
      <c r="D82" s="6" t="s">
        <v>4310</v>
      </c>
      <c r="E82" s="8" t="s">
        <v>4305</v>
      </c>
      <c r="F82" s="8" t="s">
        <v>4141</v>
      </c>
      <c r="G82" s="6" t="str">
        <f>_xlfn.XLOOKUP(LD_01[[#This Row],[DISCIPLINA]],'CLASSES DE PROJETOS'!$F$3:$F$37,'CLASSES DE PROJETOS'!$C$3:$C$37)</f>
        <v>GE</v>
      </c>
      <c r="H82" t="str">
        <f>_xlfn.TEXTJOIN("/",TRUE,"MSV-163MS-"&amp;LD_01[[#This Row],[TRECHO]],_xlfn.XLOOKUP(LD_01[[#This Row],[SIGLA]],'CLASSES DE PROJETOS'!$C$3:$C$37,'CLASSES DE PROJETOS'!$E$3:$E$37))</f>
        <v>MSV-163MS-454-460/18.GE</v>
      </c>
      <c r="I82" s="6" t="str" cm="1">
        <f t="array" ref="I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J82" s="6" t="str" cm="1">
        <f t="array" ref="J82">_xlfn.TEXTJOIN(", ",TRUE,_xlfn.UNIQUE(_xlfn._xlws.FILTER(ARQUIVOS_RECEBIDOS!$F$2:$F$5010,ARQUIVOS_RECEBIDOS!$E$2:$E$5010=LD_01[[#This Row],[DOCUMENTO]])))</f>
        <v>R06</v>
      </c>
      <c r="K82" s="12" cm="1">
        <f t="array" ref="K82">_xlfn.UNIQUE(_xlfn._xlws.FILTER(ARQUIVOS[DATA RECEBIMENTO],(ARQUIVOS[DOCUMENTO]=LD_01[[#This Row],[DOCUMENTO]])*(ARQUIVOS[REVISÃO]=LD_01[[#This Row],[REVISÃO]])))</f>
        <v>45838</v>
      </c>
      <c r="L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M82" s="6" t="str">
        <f>LD_01[[#This Row],[PASTA]]&amp;"/"&amp;LD_01[[#This Row],[ARQUIVO]]</f>
        <v>MSV-163MS-454-460/18.GE/MSV-163MS-454-460-ACA-EXE-DE-F1-005-R06.pdf</v>
      </c>
    </row>
    <row r="83" spans="1:13" ht="28.8" hidden="1" x14ac:dyDescent="0.3">
      <c r="A83" s="6" t="s">
        <v>2859</v>
      </c>
      <c r="B83" s="6" t="str">
        <f>VLOOKUP(LD_01[[#This Row],[DOCUMENTO]],_xlfn.SORTBY(ARQUIVOS_RECEBIDOS!$E$2:$F$5010,ARQUIVOS_RECEBIDOS!$F$2:$F$5010,-1),2,)</f>
        <v>R06</v>
      </c>
      <c r="C83" s="15" t="s">
        <v>5987</v>
      </c>
      <c r="D83" s="6" t="s">
        <v>4310</v>
      </c>
      <c r="E83" s="8" t="s">
        <v>4305</v>
      </c>
      <c r="F83" s="8" t="s">
        <v>4141</v>
      </c>
      <c r="G83" s="6" t="str">
        <f>_xlfn.XLOOKUP(LD_01[[#This Row],[DISCIPLINA]],'CLASSES DE PROJETOS'!$F$3:$F$37,'CLASSES DE PROJETOS'!$C$3:$C$37)</f>
        <v>GE</v>
      </c>
      <c r="H83" t="str">
        <f>_xlfn.TEXTJOIN("/",TRUE,"MSV-163MS-"&amp;LD_01[[#This Row],[TRECHO]],_xlfn.XLOOKUP(LD_01[[#This Row],[SIGLA]],'CLASSES DE PROJETOS'!$C$3:$C$37,'CLASSES DE PROJETOS'!$E$3:$E$37))</f>
        <v>MSV-163MS-454-460/18.GE</v>
      </c>
      <c r="I83" s="6" t="str" cm="1">
        <f t="array" ref="I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J83" s="6" t="str" cm="1">
        <f t="array" ref="J83">_xlfn.TEXTJOIN(", ",TRUE,_xlfn.UNIQUE(_xlfn._xlws.FILTER(ARQUIVOS_RECEBIDOS!$F$2:$F$5010,ARQUIVOS_RECEBIDOS!$E$2:$E$5010=LD_01[[#This Row],[DOCUMENTO]])))</f>
        <v>R06</v>
      </c>
      <c r="K83" s="12" cm="1">
        <f t="array" ref="K83">_xlfn.UNIQUE(_xlfn._xlws.FILTER(ARQUIVOS[DATA RECEBIMENTO],(ARQUIVOS[DOCUMENTO]=LD_01[[#This Row],[DOCUMENTO]])*(ARQUIVOS[REVISÃO]=LD_01[[#This Row],[REVISÃO]])))</f>
        <v>45838</v>
      </c>
      <c r="L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M83" s="6" t="str">
        <f>LD_01[[#This Row],[PASTA]]&amp;"/"&amp;LD_01[[#This Row],[ARQUIVO]]</f>
        <v>MSV-163MS-454-460/18.GE/MSV-163MS-454-460-ACA-EXE-DE-F1-006-R06.pdf</v>
      </c>
    </row>
    <row r="84" spans="1:13" ht="28.8" hidden="1" x14ac:dyDescent="0.3">
      <c r="A84" s="6" t="s">
        <v>2860</v>
      </c>
      <c r="B84" s="6" t="str">
        <f>VLOOKUP(LD_01[[#This Row],[DOCUMENTO]],_xlfn.SORTBY(ARQUIVOS_RECEBIDOS!$E$2:$F$5010,ARQUIVOS_RECEBIDOS!$F$2:$F$5010,-1),2,)</f>
        <v>R04</v>
      </c>
      <c r="C84" s="15" t="s">
        <v>5987</v>
      </c>
      <c r="D84" s="6" t="s">
        <v>4310</v>
      </c>
      <c r="E84" s="8" t="s">
        <v>4305</v>
      </c>
      <c r="F84" s="8" t="s">
        <v>4141</v>
      </c>
      <c r="G84" s="6" t="str">
        <f>_xlfn.XLOOKUP(LD_01[[#This Row],[DISCIPLINA]],'CLASSES DE PROJETOS'!$F$3:$F$37,'CLASSES DE PROJETOS'!$C$3:$C$37)</f>
        <v>GE</v>
      </c>
      <c r="H84" t="str">
        <f>_xlfn.TEXTJOIN("/",TRUE,"MSV-163MS-"&amp;LD_01[[#This Row],[TRECHO]],_xlfn.XLOOKUP(LD_01[[#This Row],[SIGLA]],'CLASSES DE PROJETOS'!$C$3:$C$37,'CLASSES DE PROJETOS'!$E$3:$E$37))</f>
        <v>MSV-163MS-454-460/18.GE</v>
      </c>
      <c r="I84" s="6" t="str" cm="1">
        <f t="array" ref="I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J84" s="6" t="str" cm="1">
        <f t="array" ref="J84">_xlfn.TEXTJOIN(", ",TRUE,_xlfn.UNIQUE(_xlfn._xlws.FILTER(ARQUIVOS_RECEBIDOS!$F$2:$F$5010,ARQUIVOS_RECEBIDOS!$E$2:$E$5010=LD_01[[#This Row],[DOCUMENTO]])))</f>
        <v>R04</v>
      </c>
      <c r="K84" s="12" cm="1">
        <f t="array" ref="K84">_xlfn.UNIQUE(_xlfn._xlws.FILTER(ARQUIVOS[DATA RECEBIMENTO],(ARQUIVOS[DOCUMENTO]=LD_01[[#This Row],[DOCUMENTO]])*(ARQUIVOS[REVISÃO]=LD_01[[#This Row],[REVISÃO]])))</f>
        <v>45838</v>
      </c>
      <c r="L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M84" s="6" t="str">
        <f>LD_01[[#This Row],[PASTA]]&amp;"/"&amp;LD_01[[#This Row],[ARQUIVO]]</f>
        <v>MSV-163MS-454-460/18.GE/MSV-163MS-454-460-ACA-EXE-DE-F1-007-R04.pdf</v>
      </c>
    </row>
    <row r="85" spans="1:13" ht="28.8" hidden="1" x14ac:dyDescent="0.3">
      <c r="A85" s="6" t="s">
        <v>2861</v>
      </c>
      <c r="B85" s="6" t="str">
        <f>VLOOKUP(LD_01[[#This Row],[DOCUMENTO]],_xlfn.SORTBY(ARQUIVOS_RECEBIDOS!$E$2:$F$5010,ARQUIVOS_RECEBIDOS!$F$2:$F$5010,-1),2,)</f>
        <v>R06</v>
      </c>
      <c r="C85" s="15" t="s">
        <v>5987</v>
      </c>
      <c r="D85" s="6" t="s">
        <v>4310</v>
      </c>
      <c r="E85" s="8" t="s">
        <v>4305</v>
      </c>
      <c r="F85" s="8" t="s">
        <v>4141</v>
      </c>
      <c r="G85" s="6" t="str">
        <f>_xlfn.XLOOKUP(LD_01[[#This Row],[DISCIPLINA]],'CLASSES DE PROJETOS'!$F$3:$F$37,'CLASSES DE PROJETOS'!$C$3:$C$37)</f>
        <v>GE</v>
      </c>
      <c r="H85" t="str">
        <f>_xlfn.TEXTJOIN("/",TRUE,"MSV-163MS-"&amp;LD_01[[#This Row],[TRECHO]],_xlfn.XLOOKUP(LD_01[[#This Row],[SIGLA]],'CLASSES DE PROJETOS'!$C$3:$C$37,'CLASSES DE PROJETOS'!$E$3:$E$37))</f>
        <v>MSV-163MS-454-460/18.GE</v>
      </c>
      <c r="I85" s="6" t="str" cm="1">
        <f t="array" ref="I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J85" s="6" t="str" cm="1">
        <f t="array" ref="J85">_xlfn.TEXTJOIN(", ",TRUE,_xlfn.UNIQUE(_xlfn._xlws.FILTER(ARQUIVOS_RECEBIDOS!$F$2:$F$5010,ARQUIVOS_RECEBIDOS!$E$2:$E$5010=LD_01[[#This Row],[DOCUMENTO]])))</f>
        <v>R06</v>
      </c>
      <c r="K85" s="12" cm="1">
        <f t="array" ref="K85">_xlfn.UNIQUE(_xlfn._xlws.FILTER(ARQUIVOS[DATA RECEBIMENTO],(ARQUIVOS[DOCUMENTO]=LD_01[[#This Row],[DOCUMENTO]])*(ARQUIVOS[REVISÃO]=LD_01[[#This Row],[REVISÃO]])))</f>
        <v>45838</v>
      </c>
      <c r="L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M85" s="6" t="str">
        <f>LD_01[[#This Row],[PASTA]]&amp;"/"&amp;LD_01[[#This Row],[ARQUIVO]]</f>
        <v>MSV-163MS-454-460/18.GE/MSV-163MS-454-460-ACA-EXE-DE-F1-008-R06.pdf</v>
      </c>
    </row>
    <row r="86" spans="1:13" ht="28.8" hidden="1" x14ac:dyDescent="0.3">
      <c r="A86" s="6" t="s">
        <v>2862</v>
      </c>
      <c r="B86" s="6" t="str">
        <f>VLOOKUP(LD_01[[#This Row],[DOCUMENTO]],_xlfn.SORTBY(ARQUIVOS_RECEBIDOS!$E$2:$F$5010,ARQUIVOS_RECEBIDOS!$F$2:$F$5010,-1),2,)</f>
        <v>R08</v>
      </c>
      <c r="C86" s="15" t="s">
        <v>5987</v>
      </c>
      <c r="D86" s="6" t="s">
        <v>4310</v>
      </c>
      <c r="E86" s="8" t="s">
        <v>4305</v>
      </c>
      <c r="F86" s="8" t="s">
        <v>4141</v>
      </c>
      <c r="G86" s="6" t="str">
        <f>_xlfn.XLOOKUP(LD_01[[#This Row],[DISCIPLINA]],'CLASSES DE PROJETOS'!$F$3:$F$37,'CLASSES DE PROJETOS'!$C$3:$C$37)</f>
        <v>GE</v>
      </c>
      <c r="H86" t="str">
        <f>_xlfn.TEXTJOIN("/",TRUE,"MSV-163MS-"&amp;LD_01[[#This Row],[TRECHO]],_xlfn.XLOOKUP(LD_01[[#This Row],[SIGLA]],'CLASSES DE PROJETOS'!$C$3:$C$37,'CLASSES DE PROJETOS'!$E$3:$E$37))</f>
        <v>MSV-163MS-454-460/18.GE</v>
      </c>
      <c r="I86" s="6" t="str" cm="1">
        <f t="array" ref="I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J86" s="6" t="str" cm="1">
        <f t="array" ref="J86">_xlfn.TEXTJOIN(", ",TRUE,_xlfn.UNIQUE(_xlfn._xlws.FILTER(ARQUIVOS_RECEBIDOS!$F$2:$F$5010,ARQUIVOS_RECEBIDOS!$E$2:$E$5010=LD_01[[#This Row],[DOCUMENTO]])))</f>
        <v>R08</v>
      </c>
      <c r="K86" s="12" cm="1">
        <f t="array" ref="K86">_xlfn.UNIQUE(_xlfn._xlws.FILTER(ARQUIVOS[DATA RECEBIMENTO],(ARQUIVOS[DOCUMENTO]=LD_01[[#This Row],[DOCUMENTO]])*(ARQUIVOS[REVISÃO]=LD_01[[#This Row],[REVISÃO]])))</f>
        <v>45838</v>
      </c>
      <c r="L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M86" s="6" t="str">
        <f>LD_01[[#This Row],[PASTA]]&amp;"/"&amp;LD_01[[#This Row],[ARQUIVO]]</f>
        <v>MSV-163MS-454-460/18.GE/MSV-163MS-454-460-ACA-EXE-DE-F1-009-R08.pdf</v>
      </c>
    </row>
    <row r="87" spans="1:13" ht="28.8" hidden="1" x14ac:dyDescent="0.3">
      <c r="A87" s="6" t="s">
        <v>2864</v>
      </c>
      <c r="B87" s="6" t="str">
        <f>VLOOKUP(LD_01[[#This Row],[DOCUMENTO]],_xlfn.SORTBY(ARQUIVOS_RECEBIDOS!$E$2:$F$5010,ARQUIVOS_RECEBIDOS!$F$2:$F$5010,-1),2,)</f>
        <v>R07</v>
      </c>
      <c r="C87" s="15" t="s">
        <v>5987</v>
      </c>
      <c r="D87" s="6" t="s">
        <v>4310</v>
      </c>
      <c r="E87" s="8" t="s">
        <v>4305</v>
      </c>
      <c r="F87" s="8" t="s">
        <v>4141</v>
      </c>
      <c r="G87" s="6" t="str">
        <f>_xlfn.XLOOKUP(LD_01[[#This Row],[DISCIPLINA]],'CLASSES DE PROJETOS'!$F$3:$F$37,'CLASSES DE PROJETOS'!$C$3:$C$37)</f>
        <v>GE</v>
      </c>
      <c r="H87" t="str">
        <f>_xlfn.TEXTJOIN("/",TRUE,"MSV-163MS-"&amp;LD_01[[#This Row],[TRECHO]],_xlfn.XLOOKUP(LD_01[[#This Row],[SIGLA]],'CLASSES DE PROJETOS'!$C$3:$C$37,'CLASSES DE PROJETOS'!$E$3:$E$37))</f>
        <v>MSV-163MS-454-460/18.GE</v>
      </c>
      <c r="I87" s="6" t="str" cm="1">
        <f t="array" ref="I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J87" s="6" t="str" cm="1">
        <f t="array" ref="J87">_xlfn.TEXTJOIN(", ",TRUE,_xlfn.UNIQUE(_xlfn._xlws.FILTER(ARQUIVOS_RECEBIDOS!$F$2:$F$5010,ARQUIVOS_RECEBIDOS!$E$2:$E$5010=LD_01[[#This Row],[DOCUMENTO]])))</f>
        <v>R07</v>
      </c>
      <c r="K87" s="12" cm="1">
        <f t="array" ref="K87">_xlfn.UNIQUE(_xlfn._xlws.FILTER(ARQUIVOS[DATA RECEBIMENTO],(ARQUIVOS[DOCUMENTO]=LD_01[[#This Row],[DOCUMENTO]])*(ARQUIVOS[REVISÃO]=LD_01[[#This Row],[REVISÃO]])))</f>
        <v>45838</v>
      </c>
      <c r="L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M87" s="6" t="str">
        <f>LD_01[[#This Row],[PASTA]]&amp;"/"&amp;LD_01[[#This Row],[ARQUIVO]]</f>
        <v>MSV-163MS-454-460/18.GE/MSV-163MS-454-460-ACA-EXE-DE-F1-010-R07.pdf</v>
      </c>
    </row>
    <row r="88" spans="1:13" ht="28.8" hidden="1" x14ac:dyDescent="0.3">
      <c r="A88" s="6" t="s">
        <v>2865</v>
      </c>
      <c r="B88" s="6" t="str">
        <f>VLOOKUP(LD_01[[#This Row],[DOCUMENTO]],_xlfn.SORTBY(ARQUIVOS_RECEBIDOS!$E$2:$F$5010,ARQUIVOS_RECEBIDOS!$F$2:$F$5010,-1),2,)</f>
        <v>R06</v>
      </c>
      <c r="C88" s="15" t="s">
        <v>5987</v>
      </c>
      <c r="D88" s="6" t="s">
        <v>4310</v>
      </c>
      <c r="E88" s="8" t="s">
        <v>4305</v>
      </c>
      <c r="F88" s="8" t="s">
        <v>4141</v>
      </c>
      <c r="G88" s="6" t="str">
        <f>_xlfn.XLOOKUP(LD_01[[#This Row],[DISCIPLINA]],'CLASSES DE PROJETOS'!$F$3:$F$37,'CLASSES DE PROJETOS'!$C$3:$C$37)</f>
        <v>GE</v>
      </c>
      <c r="H88" t="str">
        <f>_xlfn.TEXTJOIN("/",TRUE,"MSV-163MS-"&amp;LD_01[[#This Row],[TRECHO]],_xlfn.XLOOKUP(LD_01[[#This Row],[SIGLA]],'CLASSES DE PROJETOS'!$C$3:$C$37,'CLASSES DE PROJETOS'!$E$3:$E$37))</f>
        <v>MSV-163MS-454-460/18.GE</v>
      </c>
      <c r="I88" s="6" t="str" cm="1">
        <f t="array" ref="I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J88" s="6" t="str" cm="1">
        <f t="array" ref="J88">_xlfn.TEXTJOIN(", ",TRUE,_xlfn.UNIQUE(_xlfn._xlws.FILTER(ARQUIVOS_RECEBIDOS!$F$2:$F$5010,ARQUIVOS_RECEBIDOS!$E$2:$E$5010=LD_01[[#This Row],[DOCUMENTO]])))</f>
        <v>R06</v>
      </c>
      <c r="K88" s="12" cm="1">
        <f t="array" ref="K88">_xlfn.UNIQUE(_xlfn._xlws.FILTER(ARQUIVOS[DATA RECEBIMENTO],(ARQUIVOS[DOCUMENTO]=LD_01[[#This Row],[DOCUMENTO]])*(ARQUIVOS[REVISÃO]=LD_01[[#This Row],[REVISÃO]])))</f>
        <v>45838</v>
      </c>
      <c r="L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M88" s="6" t="str">
        <f>LD_01[[#This Row],[PASTA]]&amp;"/"&amp;LD_01[[#This Row],[ARQUIVO]]</f>
        <v>MSV-163MS-454-460/18.GE/MSV-163MS-454-460-ACA-EXE-DE-F1-011-R06.pdf</v>
      </c>
    </row>
    <row r="89" spans="1:13" ht="28.8" hidden="1" x14ac:dyDescent="0.3">
      <c r="A89" s="6" t="s">
        <v>2866</v>
      </c>
      <c r="B89" s="6" t="str">
        <f>VLOOKUP(LD_01[[#This Row],[DOCUMENTO]],_xlfn.SORTBY(ARQUIVOS_RECEBIDOS!$E$2:$F$5010,ARQUIVOS_RECEBIDOS!$F$2:$F$5010,-1),2,)</f>
        <v>R01</v>
      </c>
      <c r="C89" s="15" t="s">
        <v>5987</v>
      </c>
      <c r="D89" s="6" t="s">
        <v>4310</v>
      </c>
      <c r="E89" s="8" t="s">
        <v>4306</v>
      </c>
      <c r="F89" s="8" t="s">
        <v>4141</v>
      </c>
      <c r="G89" s="6" t="str">
        <f>_xlfn.XLOOKUP(LD_01[[#This Row],[DISCIPLINA]],'CLASSES DE PROJETOS'!$F$3:$F$37,'CLASSES DE PROJETOS'!$C$3:$C$37)</f>
        <v>GE</v>
      </c>
      <c r="H89" t="str">
        <f>_xlfn.TEXTJOIN("/",TRUE,"MSV-163MS-"&amp;LD_01[[#This Row],[TRECHO]],_xlfn.XLOOKUP(LD_01[[#This Row],[SIGLA]],'CLASSES DE PROJETOS'!$C$3:$C$37,'CLASSES DE PROJETOS'!$E$3:$E$37))</f>
        <v>MSV-163MS-454-460/18.GE</v>
      </c>
      <c r="I89" s="6" t="str" cm="1">
        <f t="array" ref="I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J89" s="6" t="str" cm="1">
        <f t="array" ref="J89">_xlfn.TEXTJOIN(", ",TRUE,_xlfn.UNIQUE(_xlfn._xlws.FILTER(ARQUIVOS_RECEBIDOS!$F$2:$F$5010,ARQUIVOS_RECEBIDOS!$E$2:$E$5010=LD_01[[#This Row],[DOCUMENTO]])))</f>
        <v>R01</v>
      </c>
      <c r="K89" s="12" cm="1">
        <f t="array" ref="K89">_xlfn.UNIQUE(_xlfn._xlws.FILTER(ARQUIVOS[DATA RECEBIMENTO],(ARQUIVOS[DOCUMENTO]=LD_01[[#This Row],[DOCUMENTO]])*(ARQUIVOS[REVISÃO]=LD_01[[#This Row],[REVISÃO]])))</f>
        <v>45838</v>
      </c>
      <c r="L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M89" s="6" t="str">
        <f>LD_01[[#This Row],[PASTA]]&amp;"/"&amp;LD_01[[#This Row],[ARQUIVO]]</f>
        <v>MSV-163MS-454-460/18.GE/MSV-163MS-454-460-ACA-EXE-DE-F1-012-R01.pdf</v>
      </c>
    </row>
    <row r="90" spans="1:13" ht="28.8" hidden="1" x14ac:dyDescent="0.3">
      <c r="A90" s="6" t="s">
        <v>2867</v>
      </c>
      <c r="B90" s="6" t="str">
        <f>VLOOKUP(LD_01[[#This Row],[DOCUMENTO]],_xlfn.SORTBY(ARQUIVOS_RECEBIDOS!$E$2:$F$5010,ARQUIVOS_RECEBIDOS!$F$2:$F$5010,-1),2,)</f>
        <v>R02</v>
      </c>
      <c r="C90" s="15" t="s">
        <v>5987</v>
      </c>
      <c r="D90" s="6" t="s">
        <v>4310</v>
      </c>
      <c r="E90" s="8" t="s">
        <v>4306</v>
      </c>
      <c r="F90" s="8" t="s">
        <v>4141</v>
      </c>
      <c r="G90" s="6" t="str">
        <f>_xlfn.XLOOKUP(LD_01[[#This Row],[DISCIPLINA]],'CLASSES DE PROJETOS'!$F$3:$F$37,'CLASSES DE PROJETOS'!$C$3:$C$37)</f>
        <v>GE</v>
      </c>
      <c r="H90" t="str">
        <f>_xlfn.TEXTJOIN("/",TRUE,"MSV-163MS-"&amp;LD_01[[#This Row],[TRECHO]],_xlfn.XLOOKUP(LD_01[[#This Row],[SIGLA]],'CLASSES DE PROJETOS'!$C$3:$C$37,'CLASSES DE PROJETOS'!$E$3:$E$37))</f>
        <v>MSV-163MS-454-460/18.GE</v>
      </c>
      <c r="I90" s="6" t="str" cm="1">
        <f t="array" ref="I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J90" s="6" t="str" cm="1">
        <f t="array" ref="J90">_xlfn.TEXTJOIN(", ",TRUE,_xlfn.UNIQUE(_xlfn._xlws.FILTER(ARQUIVOS_RECEBIDOS!$F$2:$F$5010,ARQUIVOS_RECEBIDOS!$E$2:$E$5010=LD_01[[#This Row],[DOCUMENTO]])))</f>
        <v>R02</v>
      </c>
      <c r="K90" s="12" cm="1">
        <f t="array" ref="K90">_xlfn.UNIQUE(_xlfn._xlws.FILTER(ARQUIVOS[DATA RECEBIMENTO],(ARQUIVOS[DOCUMENTO]=LD_01[[#This Row],[DOCUMENTO]])*(ARQUIVOS[REVISÃO]=LD_01[[#This Row],[REVISÃO]])))</f>
        <v>45838</v>
      </c>
      <c r="L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M90" s="6" t="str">
        <f>LD_01[[#This Row],[PASTA]]&amp;"/"&amp;LD_01[[#This Row],[ARQUIVO]]</f>
        <v>MSV-163MS-454-460/18.GE/MSV-163MS-454-460-ACA-EXE-DE-F1-013-R02.pdf</v>
      </c>
    </row>
    <row r="91" spans="1:13" ht="28.8" hidden="1" x14ac:dyDescent="0.3">
      <c r="A91" s="6" t="s">
        <v>2868</v>
      </c>
      <c r="B91" s="6" t="str">
        <f>VLOOKUP(LD_01[[#This Row],[DOCUMENTO]],_xlfn.SORTBY(ARQUIVOS_RECEBIDOS!$E$2:$F$5010,ARQUIVOS_RECEBIDOS!$F$2:$F$5010,-1),2,)</f>
        <v>R02</v>
      </c>
      <c r="C91" s="15" t="s">
        <v>5987</v>
      </c>
      <c r="D91" s="6" t="s">
        <v>4310</v>
      </c>
      <c r="E91" s="8" t="s">
        <v>4306</v>
      </c>
      <c r="F91" s="8" t="s">
        <v>4141</v>
      </c>
      <c r="G91" s="6" t="str">
        <f>_xlfn.XLOOKUP(LD_01[[#This Row],[DISCIPLINA]],'CLASSES DE PROJETOS'!$F$3:$F$37,'CLASSES DE PROJETOS'!$C$3:$C$37)</f>
        <v>GE</v>
      </c>
      <c r="H91" t="str">
        <f>_xlfn.TEXTJOIN("/",TRUE,"MSV-163MS-"&amp;LD_01[[#This Row],[TRECHO]],_xlfn.XLOOKUP(LD_01[[#This Row],[SIGLA]],'CLASSES DE PROJETOS'!$C$3:$C$37,'CLASSES DE PROJETOS'!$E$3:$E$37))</f>
        <v>MSV-163MS-454-460/18.GE</v>
      </c>
      <c r="I91" s="6" t="str" cm="1">
        <f t="array" ref="I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J91" s="6" t="str" cm="1">
        <f t="array" ref="J91">_xlfn.TEXTJOIN(", ",TRUE,_xlfn.UNIQUE(_xlfn._xlws.FILTER(ARQUIVOS_RECEBIDOS!$F$2:$F$5010,ARQUIVOS_RECEBIDOS!$E$2:$E$5010=LD_01[[#This Row],[DOCUMENTO]])))</f>
        <v>R02</v>
      </c>
      <c r="K91" s="12" cm="1">
        <f t="array" ref="K91">_xlfn.UNIQUE(_xlfn._xlws.FILTER(ARQUIVOS[DATA RECEBIMENTO],(ARQUIVOS[DOCUMENTO]=LD_01[[#This Row],[DOCUMENTO]])*(ARQUIVOS[REVISÃO]=LD_01[[#This Row],[REVISÃO]])))</f>
        <v>45838</v>
      </c>
      <c r="L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M91" s="6" t="str">
        <f>LD_01[[#This Row],[PASTA]]&amp;"/"&amp;LD_01[[#This Row],[ARQUIVO]]</f>
        <v>MSV-163MS-454-460/18.GE/MSV-163MS-454-460-ACA-EXE-DE-F1-014-R02.pdf</v>
      </c>
    </row>
    <row r="92" spans="1:13" ht="28.8" hidden="1" x14ac:dyDescent="0.3">
      <c r="A92" s="6" t="s">
        <v>2869</v>
      </c>
      <c r="B92" s="6" t="str">
        <f>VLOOKUP(LD_01[[#This Row],[DOCUMENTO]],_xlfn.SORTBY(ARQUIVOS_RECEBIDOS!$E$2:$F$5010,ARQUIVOS_RECEBIDOS!$F$2:$F$5010,-1),2,)</f>
        <v>R05</v>
      </c>
      <c r="C92" s="15" t="s">
        <v>5987</v>
      </c>
      <c r="D92" s="6" t="s">
        <v>4310</v>
      </c>
      <c r="E92" s="8" t="s">
        <v>4194</v>
      </c>
      <c r="F92" s="8" t="s">
        <v>4141</v>
      </c>
      <c r="G92" s="6" t="str">
        <f>_xlfn.XLOOKUP(LD_01[[#This Row],[DISCIPLINA]],'CLASSES DE PROJETOS'!$F$3:$F$37,'CLASSES DE PROJETOS'!$C$3:$C$37)</f>
        <v>GE</v>
      </c>
      <c r="H92" t="str">
        <f>_xlfn.TEXTJOIN("/",TRUE,"MSV-163MS-"&amp;LD_01[[#This Row],[TRECHO]],_xlfn.XLOOKUP(LD_01[[#This Row],[SIGLA]],'CLASSES DE PROJETOS'!$C$3:$C$37,'CLASSES DE PROJETOS'!$E$3:$E$37))</f>
        <v>MSV-163MS-454-460/18.GE</v>
      </c>
      <c r="I92" s="6" t="str" cm="1">
        <f t="array" ref="I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J92" s="6" t="str" cm="1">
        <f t="array" ref="J92">_xlfn.TEXTJOIN(", ",TRUE,_xlfn.UNIQUE(_xlfn._xlws.FILTER(ARQUIVOS_RECEBIDOS!$F$2:$F$5010,ARQUIVOS_RECEBIDOS!$E$2:$E$5010=LD_01[[#This Row],[DOCUMENTO]])))</f>
        <v>R05</v>
      </c>
      <c r="K92" s="12" cm="1">
        <f t="array" ref="K92">_xlfn.UNIQUE(_xlfn._xlws.FILTER(ARQUIVOS[DATA RECEBIMENTO],(ARQUIVOS[DOCUMENTO]=LD_01[[#This Row],[DOCUMENTO]])*(ARQUIVOS[REVISÃO]=LD_01[[#This Row],[REVISÃO]])))</f>
        <v>45838</v>
      </c>
      <c r="L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M92" s="6" t="str">
        <f>LD_01[[#This Row],[PASTA]]&amp;"/"&amp;LD_01[[#This Row],[ARQUIVO]]</f>
        <v>MSV-163MS-454-460/18.GE/MSV-163MS-454-460-ACA-EXE-DE-F1-015-R05.pdf</v>
      </c>
    </row>
    <row r="93" spans="1:13" ht="28.8" hidden="1" x14ac:dyDescent="0.3">
      <c r="A93" s="6" t="s">
        <v>2871</v>
      </c>
      <c r="B93" s="6" t="str">
        <f>VLOOKUP(LD_01[[#This Row],[DOCUMENTO]],_xlfn.SORTBY(ARQUIVOS_RECEBIDOS!$E$2:$F$5010,ARQUIVOS_RECEBIDOS!$F$2:$F$5010,-1),2,)</f>
        <v>R01</v>
      </c>
      <c r="C93" s="15" t="s">
        <v>5987</v>
      </c>
      <c r="D93" s="6" t="s">
        <v>4310</v>
      </c>
      <c r="E93" s="8" t="s">
        <v>4077</v>
      </c>
      <c r="F93" s="8" t="s">
        <v>4330</v>
      </c>
      <c r="G93" s="6" t="str">
        <f>_xlfn.XLOOKUP(LD_01[[#This Row],[DISCIPLINA]],'CLASSES DE PROJETOS'!$F$3:$F$37,'CLASSES DE PROJETOS'!$C$3:$C$37)</f>
        <v>TE</v>
      </c>
      <c r="H93" t="str">
        <f>_xlfn.TEXTJOIN("/",TRUE,"MSV-163MS-"&amp;LD_01[[#This Row],[TRECHO]],_xlfn.XLOOKUP(LD_01[[#This Row],[SIGLA]],'CLASSES DE PROJETOS'!$C$3:$C$37,'CLASSES DE PROJETOS'!$E$3:$E$37))</f>
        <v>MSV-163MS-454-460/32.TE</v>
      </c>
      <c r="I93" s="6" t="str" cm="1">
        <f t="array" ref="I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J93" s="6" t="str" cm="1">
        <f t="array" ref="J93">_xlfn.TEXTJOIN(", ",TRUE,_xlfn.UNIQUE(_xlfn._xlws.FILTER(ARQUIVOS_RECEBIDOS!$F$2:$F$5010,ARQUIVOS_RECEBIDOS!$E$2:$E$5010=LD_01[[#This Row],[DOCUMENTO]])))</f>
        <v>R01</v>
      </c>
      <c r="K93" s="12" cm="1">
        <f t="array" ref="K93">_xlfn.UNIQUE(_xlfn._xlws.FILTER(ARQUIVOS[DATA RECEBIMENTO],(ARQUIVOS[DOCUMENTO]=LD_01[[#This Row],[DOCUMENTO]])*(ARQUIVOS[REVISÃO]=LD_01[[#This Row],[REVISÃO]])))</f>
        <v>45838</v>
      </c>
      <c r="L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M93" s="6" t="str">
        <f>LD_01[[#This Row],[PASTA]]&amp;"/"&amp;LD_01[[#This Row],[ARQUIVO]]</f>
        <v>MSV-163MS-454-460/32.TE/MSV-163MS-454-460-ACA-EXE-DE-G1-001-R01.pdf</v>
      </c>
    </row>
    <row r="94" spans="1:13" ht="28.8" hidden="1" x14ac:dyDescent="0.3">
      <c r="A94" s="6" t="s">
        <v>2872</v>
      </c>
      <c r="B94" s="6" t="str">
        <f>VLOOKUP(LD_01[[#This Row],[DOCUMENTO]],_xlfn.SORTBY(ARQUIVOS_RECEBIDOS!$E$2:$F$5010,ARQUIVOS_RECEBIDOS!$F$2:$F$5010,-1),2,)</f>
        <v>R02</v>
      </c>
      <c r="C94" s="15" t="s">
        <v>5987</v>
      </c>
      <c r="D94" s="6" t="s">
        <v>4310</v>
      </c>
      <c r="E94" s="8" t="s">
        <v>4077</v>
      </c>
      <c r="F94" s="8" t="s">
        <v>4330</v>
      </c>
      <c r="G94" s="6" t="str">
        <f>_xlfn.XLOOKUP(LD_01[[#This Row],[DISCIPLINA]],'CLASSES DE PROJETOS'!$F$3:$F$37,'CLASSES DE PROJETOS'!$C$3:$C$37)</f>
        <v>TE</v>
      </c>
      <c r="H94" t="str">
        <f>_xlfn.TEXTJOIN("/",TRUE,"MSV-163MS-"&amp;LD_01[[#This Row],[TRECHO]],_xlfn.XLOOKUP(LD_01[[#This Row],[SIGLA]],'CLASSES DE PROJETOS'!$C$3:$C$37,'CLASSES DE PROJETOS'!$E$3:$E$37))</f>
        <v>MSV-163MS-454-460/32.TE</v>
      </c>
      <c r="I94" s="6" t="str" cm="1">
        <f t="array" ref="I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J94" s="6" t="str" cm="1">
        <f t="array" ref="J94">_xlfn.TEXTJOIN(", ",TRUE,_xlfn.UNIQUE(_xlfn._xlws.FILTER(ARQUIVOS_RECEBIDOS!$F$2:$F$5010,ARQUIVOS_RECEBIDOS!$E$2:$E$5010=LD_01[[#This Row],[DOCUMENTO]])))</f>
        <v>R02</v>
      </c>
      <c r="K94" s="12" cm="1">
        <f t="array" ref="K94">_xlfn.UNIQUE(_xlfn._xlws.FILTER(ARQUIVOS[DATA RECEBIMENTO],(ARQUIVOS[DOCUMENTO]=LD_01[[#This Row],[DOCUMENTO]])*(ARQUIVOS[REVISÃO]=LD_01[[#This Row],[REVISÃO]])))</f>
        <v>45838</v>
      </c>
      <c r="L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M94" s="6" t="str">
        <f>LD_01[[#This Row],[PASTA]]&amp;"/"&amp;LD_01[[#This Row],[ARQUIVO]]</f>
        <v>MSV-163MS-454-460/32.TE/MSV-163MS-454-460-ACA-EXE-DE-G1-002-R02.pdf</v>
      </c>
    </row>
    <row r="95" spans="1:13" ht="28.8" hidden="1" x14ac:dyDescent="0.3">
      <c r="A95" s="6" t="s">
        <v>2873</v>
      </c>
      <c r="B95" s="6" t="str">
        <f>VLOOKUP(LD_01[[#This Row],[DOCUMENTO]],_xlfn.SORTBY(ARQUIVOS_RECEBIDOS!$E$2:$F$5010,ARQUIVOS_RECEBIDOS!$F$2:$F$5010,-1),2,)</f>
        <v>R02</v>
      </c>
      <c r="C95" s="15" t="s">
        <v>5987</v>
      </c>
      <c r="D95" s="6" t="s">
        <v>4310</v>
      </c>
      <c r="E95" s="8" t="s">
        <v>4077</v>
      </c>
      <c r="F95" s="8" t="s">
        <v>4330</v>
      </c>
      <c r="G95" s="6" t="str">
        <f>_xlfn.XLOOKUP(LD_01[[#This Row],[DISCIPLINA]],'CLASSES DE PROJETOS'!$F$3:$F$37,'CLASSES DE PROJETOS'!$C$3:$C$37)</f>
        <v>TE</v>
      </c>
      <c r="H95" t="str">
        <f>_xlfn.TEXTJOIN("/",TRUE,"MSV-163MS-"&amp;LD_01[[#This Row],[TRECHO]],_xlfn.XLOOKUP(LD_01[[#This Row],[SIGLA]],'CLASSES DE PROJETOS'!$C$3:$C$37,'CLASSES DE PROJETOS'!$E$3:$E$37))</f>
        <v>MSV-163MS-454-460/32.TE</v>
      </c>
      <c r="I95" s="6" t="str" cm="1">
        <f t="array" ref="I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J95" s="6" t="str" cm="1">
        <f t="array" ref="J95">_xlfn.TEXTJOIN(", ",TRUE,_xlfn.UNIQUE(_xlfn._xlws.FILTER(ARQUIVOS_RECEBIDOS!$F$2:$F$5010,ARQUIVOS_RECEBIDOS!$E$2:$E$5010=LD_01[[#This Row],[DOCUMENTO]])))</f>
        <v>R02</v>
      </c>
      <c r="K95" s="12" cm="1">
        <f t="array" ref="K95">_xlfn.UNIQUE(_xlfn._xlws.FILTER(ARQUIVOS[DATA RECEBIMENTO],(ARQUIVOS[DOCUMENTO]=LD_01[[#This Row],[DOCUMENTO]])*(ARQUIVOS[REVISÃO]=LD_01[[#This Row],[REVISÃO]])))</f>
        <v>45838</v>
      </c>
      <c r="L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M95" s="6" t="str">
        <f>LD_01[[#This Row],[PASTA]]&amp;"/"&amp;LD_01[[#This Row],[ARQUIVO]]</f>
        <v>MSV-163MS-454-460/32.TE/MSV-163MS-454-460-ACA-EXE-DE-G1-003-R02.pdf</v>
      </c>
    </row>
    <row r="96" spans="1:13" ht="28.8" hidden="1" x14ac:dyDescent="0.3">
      <c r="A96" s="6" t="s">
        <v>2874</v>
      </c>
      <c r="B96" s="6" t="str">
        <f>VLOOKUP(LD_01[[#This Row],[DOCUMENTO]],_xlfn.SORTBY(ARQUIVOS_RECEBIDOS!$E$2:$F$5010,ARQUIVOS_RECEBIDOS!$F$2:$F$5010,-1),2,)</f>
        <v>R01</v>
      </c>
      <c r="C96" s="15" t="s">
        <v>5987</v>
      </c>
      <c r="D96" s="6" t="s">
        <v>4310</v>
      </c>
      <c r="E96" s="8" t="s">
        <v>4077</v>
      </c>
      <c r="F96" s="8" t="s">
        <v>4330</v>
      </c>
      <c r="G96" s="6" t="str">
        <f>_xlfn.XLOOKUP(LD_01[[#This Row],[DISCIPLINA]],'CLASSES DE PROJETOS'!$F$3:$F$37,'CLASSES DE PROJETOS'!$C$3:$C$37)</f>
        <v>TE</v>
      </c>
      <c r="H96" t="str">
        <f>_xlfn.TEXTJOIN("/",TRUE,"MSV-163MS-"&amp;LD_01[[#This Row],[TRECHO]],_xlfn.XLOOKUP(LD_01[[#This Row],[SIGLA]],'CLASSES DE PROJETOS'!$C$3:$C$37,'CLASSES DE PROJETOS'!$E$3:$E$37))</f>
        <v>MSV-163MS-454-460/32.TE</v>
      </c>
      <c r="I96" s="6" t="str" cm="1">
        <f t="array" ref="I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J96" s="6" t="str" cm="1">
        <f t="array" ref="J96">_xlfn.TEXTJOIN(", ",TRUE,_xlfn.UNIQUE(_xlfn._xlws.FILTER(ARQUIVOS_RECEBIDOS!$F$2:$F$5010,ARQUIVOS_RECEBIDOS!$E$2:$E$5010=LD_01[[#This Row],[DOCUMENTO]])))</f>
        <v>R01</v>
      </c>
      <c r="K96" s="12" cm="1">
        <f t="array" ref="K96">_xlfn.UNIQUE(_xlfn._xlws.FILTER(ARQUIVOS[DATA RECEBIMENTO],(ARQUIVOS[DOCUMENTO]=LD_01[[#This Row],[DOCUMENTO]])*(ARQUIVOS[REVISÃO]=LD_01[[#This Row],[REVISÃO]])))</f>
        <v>45838</v>
      </c>
      <c r="L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M96" s="6" t="str">
        <f>LD_01[[#This Row],[PASTA]]&amp;"/"&amp;LD_01[[#This Row],[ARQUIVO]]</f>
        <v>MSV-163MS-454-460/32.TE/MSV-163MS-454-460-ACA-EXE-DE-G1-004-R01.pdf</v>
      </c>
    </row>
    <row r="97" spans="1:13" ht="28.8" hidden="1" x14ac:dyDescent="0.3">
      <c r="A97" s="6" t="s">
        <v>2875</v>
      </c>
      <c r="B97" s="6" t="str">
        <f>VLOOKUP(LD_01[[#This Row],[DOCUMENTO]],_xlfn.SORTBY(ARQUIVOS_RECEBIDOS!$E$2:$F$5010,ARQUIVOS_RECEBIDOS!$F$2:$F$5010,-1),2,)</f>
        <v>R02</v>
      </c>
      <c r="C97" s="15" t="s">
        <v>5987</v>
      </c>
      <c r="D97" s="6" t="s">
        <v>4310</v>
      </c>
      <c r="E97" s="8" t="s">
        <v>4077</v>
      </c>
      <c r="F97" s="8" t="s">
        <v>4330</v>
      </c>
      <c r="G97" s="6" t="str">
        <f>_xlfn.XLOOKUP(LD_01[[#This Row],[DISCIPLINA]],'CLASSES DE PROJETOS'!$F$3:$F$37,'CLASSES DE PROJETOS'!$C$3:$C$37)</f>
        <v>TE</v>
      </c>
      <c r="H97" t="str">
        <f>_xlfn.TEXTJOIN("/",TRUE,"MSV-163MS-"&amp;LD_01[[#This Row],[TRECHO]],_xlfn.XLOOKUP(LD_01[[#This Row],[SIGLA]],'CLASSES DE PROJETOS'!$C$3:$C$37,'CLASSES DE PROJETOS'!$E$3:$E$37))</f>
        <v>MSV-163MS-454-460/32.TE</v>
      </c>
      <c r="I97" s="6" t="str" cm="1">
        <f t="array" ref="I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J97" s="6" t="str" cm="1">
        <f t="array" ref="J97">_xlfn.TEXTJOIN(", ",TRUE,_xlfn.UNIQUE(_xlfn._xlws.FILTER(ARQUIVOS_RECEBIDOS!$F$2:$F$5010,ARQUIVOS_RECEBIDOS!$E$2:$E$5010=LD_01[[#This Row],[DOCUMENTO]])))</f>
        <v>R02</v>
      </c>
      <c r="K97" s="12" cm="1">
        <f t="array" ref="K97">_xlfn.UNIQUE(_xlfn._xlws.FILTER(ARQUIVOS[DATA RECEBIMENTO],(ARQUIVOS[DOCUMENTO]=LD_01[[#This Row],[DOCUMENTO]])*(ARQUIVOS[REVISÃO]=LD_01[[#This Row],[REVISÃO]])))</f>
        <v>45838</v>
      </c>
      <c r="L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M97" s="6" t="str">
        <f>LD_01[[#This Row],[PASTA]]&amp;"/"&amp;LD_01[[#This Row],[ARQUIVO]]</f>
        <v>MSV-163MS-454-460/32.TE/MSV-163MS-454-460-ACA-EXE-DE-G1-005-R02.pdf</v>
      </c>
    </row>
    <row r="98" spans="1:13" ht="28.8" hidden="1" x14ac:dyDescent="0.3">
      <c r="A98" s="6" t="s">
        <v>2876</v>
      </c>
      <c r="B98" s="6" t="str">
        <f>VLOOKUP(LD_01[[#This Row],[DOCUMENTO]],_xlfn.SORTBY(ARQUIVOS_RECEBIDOS!$E$2:$F$5010,ARQUIVOS_RECEBIDOS!$F$2:$F$5010,-1),2,)</f>
        <v>R04</v>
      </c>
      <c r="C98" s="15" t="s">
        <v>5987</v>
      </c>
      <c r="D98" s="6" t="s">
        <v>4310</v>
      </c>
      <c r="E98" s="8" t="s">
        <v>4077</v>
      </c>
      <c r="F98" s="8" t="s">
        <v>4330</v>
      </c>
      <c r="G98" s="6" t="str">
        <f>_xlfn.XLOOKUP(LD_01[[#This Row],[DISCIPLINA]],'CLASSES DE PROJETOS'!$F$3:$F$37,'CLASSES DE PROJETOS'!$C$3:$C$37)</f>
        <v>TE</v>
      </c>
      <c r="H98" t="str">
        <f>_xlfn.TEXTJOIN("/",TRUE,"MSV-163MS-"&amp;LD_01[[#This Row],[TRECHO]],_xlfn.XLOOKUP(LD_01[[#This Row],[SIGLA]],'CLASSES DE PROJETOS'!$C$3:$C$37,'CLASSES DE PROJETOS'!$E$3:$E$37))</f>
        <v>MSV-163MS-454-460/32.TE</v>
      </c>
      <c r="I98" s="6" t="str" cm="1">
        <f t="array" ref="I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J98" s="6" t="str" cm="1">
        <f t="array" ref="J98">_xlfn.TEXTJOIN(", ",TRUE,_xlfn.UNIQUE(_xlfn._xlws.FILTER(ARQUIVOS_RECEBIDOS!$F$2:$F$5010,ARQUIVOS_RECEBIDOS!$E$2:$E$5010=LD_01[[#This Row],[DOCUMENTO]])))</f>
        <v>R04</v>
      </c>
      <c r="K98" s="12" cm="1">
        <f t="array" ref="K98">_xlfn.UNIQUE(_xlfn._xlws.FILTER(ARQUIVOS[DATA RECEBIMENTO],(ARQUIVOS[DOCUMENTO]=LD_01[[#This Row],[DOCUMENTO]])*(ARQUIVOS[REVISÃO]=LD_01[[#This Row],[REVISÃO]])))</f>
        <v>45838</v>
      </c>
      <c r="L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M98" s="6" t="str">
        <f>LD_01[[#This Row],[PASTA]]&amp;"/"&amp;LD_01[[#This Row],[ARQUIVO]]</f>
        <v>MSV-163MS-454-460/32.TE/MSV-163MS-454-460-ACA-EXE-DE-G1-006-R04.pdf</v>
      </c>
    </row>
    <row r="99" spans="1:13" ht="28.8" hidden="1" x14ac:dyDescent="0.3">
      <c r="A99" s="6" t="s">
        <v>2877</v>
      </c>
      <c r="B99" s="6" t="str">
        <f>VLOOKUP(LD_01[[#This Row],[DOCUMENTO]],_xlfn.SORTBY(ARQUIVOS_RECEBIDOS!$E$2:$F$5010,ARQUIVOS_RECEBIDOS!$F$2:$F$5010,-1),2,)</f>
        <v>R04</v>
      </c>
      <c r="C99" s="15" t="s">
        <v>5987</v>
      </c>
      <c r="D99" s="6" t="s">
        <v>4310</v>
      </c>
      <c r="E99" s="8" t="s">
        <v>4077</v>
      </c>
      <c r="F99" s="8" t="s">
        <v>4330</v>
      </c>
      <c r="G99" s="6" t="str">
        <f>_xlfn.XLOOKUP(LD_01[[#This Row],[DISCIPLINA]],'CLASSES DE PROJETOS'!$F$3:$F$37,'CLASSES DE PROJETOS'!$C$3:$C$37)</f>
        <v>TE</v>
      </c>
      <c r="H99" t="str">
        <f>_xlfn.TEXTJOIN("/",TRUE,"MSV-163MS-"&amp;LD_01[[#This Row],[TRECHO]],_xlfn.XLOOKUP(LD_01[[#This Row],[SIGLA]],'CLASSES DE PROJETOS'!$C$3:$C$37,'CLASSES DE PROJETOS'!$E$3:$E$37))</f>
        <v>MSV-163MS-454-460/32.TE</v>
      </c>
      <c r="I99" s="6" t="str" cm="1">
        <f t="array" ref="I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J99" s="6" t="str" cm="1">
        <f t="array" ref="J99">_xlfn.TEXTJOIN(", ",TRUE,_xlfn.UNIQUE(_xlfn._xlws.FILTER(ARQUIVOS_RECEBIDOS!$F$2:$F$5010,ARQUIVOS_RECEBIDOS!$E$2:$E$5010=LD_01[[#This Row],[DOCUMENTO]])))</f>
        <v>R04</v>
      </c>
      <c r="K99" s="12" cm="1">
        <f t="array" ref="K99">_xlfn.UNIQUE(_xlfn._xlws.FILTER(ARQUIVOS[DATA RECEBIMENTO],(ARQUIVOS[DOCUMENTO]=LD_01[[#This Row],[DOCUMENTO]])*(ARQUIVOS[REVISÃO]=LD_01[[#This Row],[REVISÃO]])))</f>
        <v>45838</v>
      </c>
      <c r="L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M99" s="6" t="str">
        <f>LD_01[[#This Row],[PASTA]]&amp;"/"&amp;LD_01[[#This Row],[ARQUIVO]]</f>
        <v>MSV-163MS-454-460/32.TE/MSV-163MS-454-460-ACA-EXE-DE-G1-007-R04.pdf</v>
      </c>
    </row>
    <row r="100" spans="1:13" ht="28.8" hidden="1" x14ac:dyDescent="0.3">
      <c r="A100" s="6" t="s">
        <v>2878</v>
      </c>
      <c r="B100" s="6" t="str">
        <f>VLOOKUP(LD_01[[#This Row],[DOCUMENTO]],_xlfn.SORTBY(ARQUIVOS_RECEBIDOS!$E$2:$F$5010,ARQUIVOS_RECEBIDOS!$F$2:$F$5010,-1),2,)</f>
        <v>R04</v>
      </c>
      <c r="C100" s="15" t="s">
        <v>5987</v>
      </c>
      <c r="D100" s="6" t="s">
        <v>4310</v>
      </c>
      <c r="E100" s="8" t="s">
        <v>4077</v>
      </c>
      <c r="F100" s="8" t="s">
        <v>4330</v>
      </c>
      <c r="G100" s="6" t="str">
        <f>_xlfn.XLOOKUP(LD_01[[#This Row],[DISCIPLINA]],'CLASSES DE PROJETOS'!$F$3:$F$37,'CLASSES DE PROJETOS'!$C$3:$C$37)</f>
        <v>TE</v>
      </c>
      <c r="H100" t="str">
        <f>_xlfn.TEXTJOIN("/",TRUE,"MSV-163MS-"&amp;LD_01[[#This Row],[TRECHO]],_xlfn.XLOOKUP(LD_01[[#This Row],[SIGLA]],'CLASSES DE PROJETOS'!$C$3:$C$37,'CLASSES DE PROJETOS'!$E$3:$E$37))</f>
        <v>MSV-163MS-454-460/32.TE</v>
      </c>
      <c r="I100" s="6" t="str" cm="1">
        <f t="array" ref="I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J100" s="6" t="str" cm="1">
        <f t="array" ref="J100">_xlfn.TEXTJOIN(", ",TRUE,_xlfn.UNIQUE(_xlfn._xlws.FILTER(ARQUIVOS_RECEBIDOS!$F$2:$F$5010,ARQUIVOS_RECEBIDOS!$E$2:$E$5010=LD_01[[#This Row],[DOCUMENTO]])))</f>
        <v>R04</v>
      </c>
      <c r="K100" s="12" cm="1">
        <f t="array" ref="K100">_xlfn.UNIQUE(_xlfn._xlws.FILTER(ARQUIVOS[DATA RECEBIMENTO],(ARQUIVOS[DOCUMENTO]=LD_01[[#This Row],[DOCUMENTO]])*(ARQUIVOS[REVISÃO]=LD_01[[#This Row],[REVISÃO]])))</f>
        <v>45838</v>
      </c>
      <c r="L1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M100" s="6" t="str">
        <f>LD_01[[#This Row],[PASTA]]&amp;"/"&amp;LD_01[[#This Row],[ARQUIVO]]</f>
        <v>MSV-163MS-454-460/32.TE/MSV-163MS-454-460-ACA-EXE-DE-G1-008-R04.pdf</v>
      </c>
    </row>
    <row r="101" spans="1:13" ht="28.8" hidden="1" x14ac:dyDescent="0.3">
      <c r="A101" s="6" t="s">
        <v>2879</v>
      </c>
      <c r="B101" s="6" t="str">
        <f>VLOOKUP(LD_01[[#This Row],[DOCUMENTO]],_xlfn.SORTBY(ARQUIVOS_RECEBIDOS!$E$2:$F$5010,ARQUIVOS_RECEBIDOS!$F$2:$F$5010,-1),2,)</f>
        <v>R04</v>
      </c>
      <c r="C101" s="15" t="s">
        <v>5987</v>
      </c>
      <c r="D101" s="6" t="s">
        <v>4310</v>
      </c>
      <c r="E101" s="8" t="s">
        <v>4077</v>
      </c>
      <c r="F101" s="8" t="s">
        <v>4330</v>
      </c>
      <c r="G101" s="6" t="str">
        <f>_xlfn.XLOOKUP(LD_01[[#This Row],[DISCIPLINA]],'CLASSES DE PROJETOS'!$F$3:$F$37,'CLASSES DE PROJETOS'!$C$3:$C$37)</f>
        <v>TE</v>
      </c>
      <c r="H101" t="str">
        <f>_xlfn.TEXTJOIN("/",TRUE,"MSV-163MS-"&amp;LD_01[[#This Row],[TRECHO]],_xlfn.XLOOKUP(LD_01[[#This Row],[SIGLA]],'CLASSES DE PROJETOS'!$C$3:$C$37,'CLASSES DE PROJETOS'!$E$3:$E$37))</f>
        <v>MSV-163MS-454-460/32.TE</v>
      </c>
      <c r="I101" s="6" t="str" cm="1">
        <f t="array" ref="I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J101" s="6" t="str" cm="1">
        <f t="array" ref="J101">_xlfn.TEXTJOIN(", ",TRUE,_xlfn.UNIQUE(_xlfn._xlws.FILTER(ARQUIVOS_RECEBIDOS!$F$2:$F$5010,ARQUIVOS_RECEBIDOS!$E$2:$E$5010=LD_01[[#This Row],[DOCUMENTO]])))</f>
        <v>R04</v>
      </c>
      <c r="K101" s="12" cm="1">
        <f t="array" ref="K101">_xlfn.UNIQUE(_xlfn._xlws.FILTER(ARQUIVOS[DATA RECEBIMENTO],(ARQUIVOS[DOCUMENTO]=LD_01[[#This Row],[DOCUMENTO]])*(ARQUIVOS[REVISÃO]=LD_01[[#This Row],[REVISÃO]])))</f>
        <v>45838</v>
      </c>
      <c r="L1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M101" s="6" t="str">
        <f>LD_01[[#This Row],[PASTA]]&amp;"/"&amp;LD_01[[#This Row],[ARQUIVO]]</f>
        <v>MSV-163MS-454-460/32.TE/MSV-163MS-454-460-ACA-EXE-DE-G1-009-R04.pdf</v>
      </c>
    </row>
    <row r="102" spans="1:13" ht="28.8" hidden="1" x14ac:dyDescent="0.3">
      <c r="A102" s="6" t="s">
        <v>2880</v>
      </c>
      <c r="B102" s="6" t="str">
        <f>VLOOKUP(LD_01[[#This Row],[DOCUMENTO]],_xlfn.SORTBY(ARQUIVOS_RECEBIDOS!$E$2:$F$5010,ARQUIVOS_RECEBIDOS!$F$2:$F$5010,-1),2,)</f>
        <v>R04</v>
      </c>
      <c r="C102" s="15" t="s">
        <v>5987</v>
      </c>
      <c r="D102" s="6" t="s">
        <v>4310</v>
      </c>
      <c r="E102" s="8" t="s">
        <v>4077</v>
      </c>
      <c r="F102" s="8" t="s">
        <v>4330</v>
      </c>
      <c r="G102" s="6" t="str">
        <f>_xlfn.XLOOKUP(LD_01[[#This Row],[DISCIPLINA]],'CLASSES DE PROJETOS'!$F$3:$F$37,'CLASSES DE PROJETOS'!$C$3:$C$37)</f>
        <v>TE</v>
      </c>
      <c r="H102" t="str">
        <f>_xlfn.TEXTJOIN("/",TRUE,"MSV-163MS-"&amp;LD_01[[#This Row],[TRECHO]],_xlfn.XLOOKUP(LD_01[[#This Row],[SIGLA]],'CLASSES DE PROJETOS'!$C$3:$C$37,'CLASSES DE PROJETOS'!$E$3:$E$37))</f>
        <v>MSV-163MS-454-460/32.TE</v>
      </c>
      <c r="I102" s="6" t="str" cm="1">
        <f t="array" ref="I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J102" s="6" t="str" cm="1">
        <f t="array" ref="J102">_xlfn.TEXTJOIN(", ",TRUE,_xlfn.UNIQUE(_xlfn._xlws.FILTER(ARQUIVOS_RECEBIDOS!$F$2:$F$5010,ARQUIVOS_RECEBIDOS!$E$2:$E$5010=LD_01[[#This Row],[DOCUMENTO]])))</f>
        <v>R04</v>
      </c>
      <c r="K102" s="12" cm="1">
        <f t="array" ref="K102">_xlfn.UNIQUE(_xlfn._xlws.FILTER(ARQUIVOS[DATA RECEBIMENTO],(ARQUIVOS[DOCUMENTO]=LD_01[[#This Row],[DOCUMENTO]])*(ARQUIVOS[REVISÃO]=LD_01[[#This Row],[REVISÃO]])))</f>
        <v>45838</v>
      </c>
      <c r="L1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M102" s="6" t="str">
        <f>LD_01[[#This Row],[PASTA]]&amp;"/"&amp;LD_01[[#This Row],[ARQUIVO]]</f>
        <v>MSV-163MS-454-460/32.TE/MSV-163MS-454-460-ACA-EXE-DE-G1-010-R04.pdf</v>
      </c>
    </row>
    <row r="103" spans="1:13" ht="28.8" hidden="1" x14ac:dyDescent="0.3">
      <c r="A103" s="6" t="s">
        <v>2881</v>
      </c>
      <c r="B103" s="6" t="str">
        <f>VLOOKUP(LD_01[[#This Row],[DOCUMENTO]],_xlfn.SORTBY(ARQUIVOS_RECEBIDOS!$E$2:$F$5010,ARQUIVOS_RECEBIDOS!$F$2:$F$5010,-1),2,)</f>
        <v>R04</v>
      </c>
      <c r="C103" s="15" t="s">
        <v>5987</v>
      </c>
      <c r="D103" s="6" t="s">
        <v>4310</v>
      </c>
      <c r="E103" s="8" t="s">
        <v>4077</v>
      </c>
      <c r="F103" s="8" t="s">
        <v>4330</v>
      </c>
      <c r="G103" s="6" t="str">
        <f>_xlfn.XLOOKUP(LD_01[[#This Row],[DISCIPLINA]],'CLASSES DE PROJETOS'!$F$3:$F$37,'CLASSES DE PROJETOS'!$C$3:$C$37)</f>
        <v>TE</v>
      </c>
      <c r="H103" t="str">
        <f>_xlfn.TEXTJOIN("/",TRUE,"MSV-163MS-"&amp;LD_01[[#This Row],[TRECHO]],_xlfn.XLOOKUP(LD_01[[#This Row],[SIGLA]],'CLASSES DE PROJETOS'!$C$3:$C$37,'CLASSES DE PROJETOS'!$E$3:$E$37))</f>
        <v>MSV-163MS-454-460/32.TE</v>
      </c>
      <c r="I103" s="6" t="str" cm="1">
        <f t="array" ref="I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J103" s="6" t="str" cm="1">
        <f t="array" ref="J103">_xlfn.TEXTJOIN(", ",TRUE,_xlfn.UNIQUE(_xlfn._xlws.FILTER(ARQUIVOS_RECEBIDOS!$F$2:$F$5010,ARQUIVOS_RECEBIDOS!$E$2:$E$5010=LD_01[[#This Row],[DOCUMENTO]])))</f>
        <v>R04</v>
      </c>
      <c r="K103" s="12" cm="1">
        <f t="array" ref="K103">_xlfn.UNIQUE(_xlfn._xlws.FILTER(ARQUIVOS[DATA RECEBIMENTO],(ARQUIVOS[DOCUMENTO]=LD_01[[#This Row],[DOCUMENTO]])*(ARQUIVOS[REVISÃO]=LD_01[[#This Row],[REVISÃO]])))</f>
        <v>45838</v>
      </c>
      <c r="L1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M103" s="6" t="str">
        <f>LD_01[[#This Row],[PASTA]]&amp;"/"&amp;LD_01[[#This Row],[ARQUIVO]]</f>
        <v>MSV-163MS-454-460/32.TE/MSV-163MS-454-460-ACA-EXE-DE-G1-011-R04.pdf</v>
      </c>
    </row>
    <row r="104" spans="1:13" ht="28.8" hidden="1" x14ac:dyDescent="0.3">
      <c r="A104" s="6" t="s">
        <v>2882</v>
      </c>
      <c r="B104" s="6" t="str">
        <f>VLOOKUP(LD_01[[#This Row],[DOCUMENTO]],_xlfn.SORTBY(ARQUIVOS_RECEBIDOS!$E$2:$F$5010,ARQUIVOS_RECEBIDOS!$F$2:$F$5010,-1),2,)</f>
        <v>R04</v>
      </c>
      <c r="C104" s="15" t="s">
        <v>5987</v>
      </c>
      <c r="D104" s="6" t="s">
        <v>4310</v>
      </c>
      <c r="E104" s="8" t="s">
        <v>4077</v>
      </c>
      <c r="F104" s="8" t="s">
        <v>4330</v>
      </c>
      <c r="G104" s="6" t="str">
        <f>_xlfn.XLOOKUP(LD_01[[#This Row],[DISCIPLINA]],'CLASSES DE PROJETOS'!$F$3:$F$37,'CLASSES DE PROJETOS'!$C$3:$C$37)</f>
        <v>TE</v>
      </c>
      <c r="H104" t="str">
        <f>_xlfn.TEXTJOIN("/",TRUE,"MSV-163MS-"&amp;LD_01[[#This Row],[TRECHO]],_xlfn.XLOOKUP(LD_01[[#This Row],[SIGLA]],'CLASSES DE PROJETOS'!$C$3:$C$37,'CLASSES DE PROJETOS'!$E$3:$E$37))</f>
        <v>MSV-163MS-454-460/32.TE</v>
      </c>
      <c r="I104" s="6" t="str" cm="1">
        <f t="array" ref="I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J104" s="6" t="str" cm="1">
        <f t="array" ref="J104">_xlfn.TEXTJOIN(", ",TRUE,_xlfn.UNIQUE(_xlfn._xlws.FILTER(ARQUIVOS_RECEBIDOS!$F$2:$F$5010,ARQUIVOS_RECEBIDOS!$E$2:$E$5010=LD_01[[#This Row],[DOCUMENTO]])))</f>
        <v>R04</v>
      </c>
      <c r="K104" s="12" cm="1">
        <f t="array" ref="K104">_xlfn.UNIQUE(_xlfn._xlws.FILTER(ARQUIVOS[DATA RECEBIMENTO],(ARQUIVOS[DOCUMENTO]=LD_01[[#This Row],[DOCUMENTO]])*(ARQUIVOS[REVISÃO]=LD_01[[#This Row],[REVISÃO]])))</f>
        <v>45838</v>
      </c>
      <c r="L1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M104" s="6" t="str">
        <f>LD_01[[#This Row],[PASTA]]&amp;"/"&amp;LD_01[[#This Row],[ARQUIVO]]</f>
        <v>MSV-163MS-454-460/32.TE/MSV-163MS-454-460-ACA-EXE-DE-G1-012-R04.pdf</v>
      </c>
    </row>
    <row r="105" spans="1:13" ht="28.8" hidden="1" x14ac:dyDescent="0.3">
      <c r="A105" s="6" t="s">
        <v>2883</v>
      </c>
      <c r="B105" s="6" t="str">
        <f>VLOOKUP(LD_01[[#This Row],[DOCUMENTO]],_xlfn.SORTBY(ARQUIVOS_RECEBIDOS!$E$2:$F$5010,ARQUIVOS_RECEBIDOS!$F$2:$F$5010,-1),2,)</f>
        <v>R04</v>
      </c>
      <c r="C105" s="15" t="s">
        <v>5987</v>
      </c>
      <c r="D105" s="6" t="s">
        <v>4310</v>
      </c>
      <c r="E105" s="8" t="s">
        <v>4077</v>
      </c>
      <c r="F105" s="8" t="s">
        <v>4330</v>
      </c>
      <c r="G105" s="6" t="str">
        <f>_xlfn.XLOOKUP(LD_01[[#This Row],[DISCIPLINA]],'CLASSES DE PROJETOS'!$F$3:$F$37,'CLASSES DE PROJETOS'!$C$3:$C$37)</f>
        <v>TE</v>
      </c>
      <c r="H105" t="str">
        <f>_xlfn.TEXTJOIN("/",TRUE,"MSV-163MS-"&amp;LD_01[[#This Row],[TRECHO]],_xlfn.XLOOKUP(LD_01[[#This Row],[SIGLA]],'CLASSES DE PROJETOS'!$C$3:$C$37,'CLASSES DE PROJETOS'!$E$3:$E$37))</f>
        <v>MSV-163MS-454-460/32.TE</v>
      </c>
      <c r="I105" s="6" t="str" cm="1">
        <f t="array" ref="I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J105" s="6" t="str" cm="1">
        <f t="array" ref="J105">_xlfn.TEXTJOIN(", ",TRUE,_xlfn.UNIQUE(_xlfn._xlws.FILTER(ARQUIVOS_RECEBIDOS!$F$2:$F$5010,ARQUIVOS_RECEBIDOS!$E$2:$E$5010=LD_01[[#This Row],[DOCUMENTO]])))</f>
        <v>R04</v>
      </c>
      <c r="K105" s="12" cm="1">
        <f t="array" ref="K105">_xlfn.UNIQUE(_xlfn._xlws.FILTER(ARQUIVOS[DATA RECEBIMENTO],(ARQUIVOS[DOCUMENTO]=LD_01[[#This Row],[DOCUMENTO]])*(ARQUIVOS[REVISÃO]=LD_01[[#This Row],[REVISÃO]])))</f>
        <v>45838</v>
      </c>
      <c r="L1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M105" s="6" t="str">
        <f>LD_01[[#This Row],[PASTA]]&amp;"/"&amp;LD_01[[#This Row],[ARQUIVO]]</f>
        <v>MSV-163MS-454-460/32.TE/MSV-163MS-454-460-ACA-EXE-DE-G1-013-R04.pdf</v>
      </c>
    </row>
    <row r="106" spans="1:13" ht="28.8" hidden="1" x14ac:dyDescent="0.3">
      <c r="A106" s="6" t="s">
        <v>2884</v>
      </c>
      <c r="B106" s="6" t="str">
        <f>VLOOKUP(LD_01[[#This Row],[DOCUMENTO]],_xlfn.SORTBY(ARQUIVOS_RECEBIDOS!$E$2:$F$5010,ARQUIVOS_RECEBIDOS!$F$2:$F$5010,-1),2,)</f>
        <v>R04</v>
      </c>
      <c r="C106" s="15" t="s">
        <v>5987</v>
      </c>
      <c r="D106" s="6" t="s">
        <v>4310</v>
      </c>
      <c r="E106" s="8" t="s">
        <v>4077</v>
      </c>
      <c r="F106" s="8" t="s">
        <v>4330</v>
      </c>
      <c r="G106" s="6" t="str">
        <f>_xlfn.XLOOKUP(LD_01[[#This Row],[DISCIPLINA]],'CLASSES DE PROJETOS'!$F$3:$F$37,'CLASSES DE PROJETOS'!$C$3:$C$37)</f>
        <v>TE</v>
      </c>
      <c r="H106" t="str">
        <f>_xlfn.TEXTJOIN("/",TRUE,"MSV-163MS-"&amp;LD_01[[#This Row],[TRECHO]],_xlfn.XLOOKUP(LD_01[[#This Row],[SIGLA]],'CLASSES DE PROJETOS'!$C$3:$C$37,'CLASSES DE PROJETOS'!$E$3:$E$37))</f>
        <v>MSV-163MS-454-460/32.TE</v>
      </c>
      <c r="I106" s="6" t="str" cm="1">
        <f t="array" ref="I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J106" s="6" t="str" cm="1">
        <f t="array" ref="J106">_xlfn.TEXTJOIN(", ",TRUE,_xlfn.UNIQUE(_xlfn._xlws.FILTER(ARQUIVOS_RECEBIDOS!$F$2:$F$5010,ARQUIVOS_RECEBIDOS!$E$2:$E$5010=LD_01[[#This Row],[DOCUMENTO]])))</f>
        <v>R04</v>
      </c>
      <c r="K106" s="12" cm="1">
        <f t="array" ref="K106">_xlfn.UNIQUE(_xlfn._xlws.FILTER(ARQUIVOS[DATA RECEBIMENTO],(ARQUIVOS[DOCUMENTO]=LD_01[[#This Row],[DOCUMENTO]])*(ARQUIVOS[REVISÃO]=LD_01[[#This Row],[REVISÃO]])))</f>
        <v>45838</v>
      </c>
      <c r="L1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M106" s="6" t="str">
        <f>LD_01[[#This Row],[PASTA]]&amp;"/"&amp;LD_01[[#This Row],[ARQUIVO]]</f>
        <v>MSV-163MS-454-460/32.TE/MSV-163MS-454-460-ACA-EXE-DE-G1-014-R04.pdf</v>
      </c>
    </row>
    <row r="107" spans="1:13" ht="28.8" hidden="1" x14ac:dyDescent="0.3">
      <c r="A107" s="6" t="s">
        <v>2885</v>
      </c>
      <c r="B107" s="6" t="str">
        <f>VLOOKUP(LD_01[[#This Row],[DOCUMENTO]],_xlfn.SORTBY(ARQUIVOS_RECEBIDOS!$E$2:$F$5010,ARQUIVOS_RECEBIDOS!$F$2:$F$5010,-1),2,)</f>
        <v>R04</v>
      </c>
      <c r="C107" s="15" t="s">
        <v>5987</v>
      </c>
      <c r="D107" s="6" t="s">
        <v>4310</v>
      </c>
      <c r="E107" s="8" t="s">
        <v>4077</v>
      </c>
      <c r="F107" s="8" t="s">
        <v>4330</v>
      </c>
      <c r="G107" s="6" t="str">
        <f>_xlfn.XLOOKUP(LD_01[[#This Row],[DISCIPLINA]],'CLASSES DE PROJETOS'!$F$3:$F$37,'CLASSES DE PROJETOS'!$C$3:$C$37)</f>
        <v>TE</v>
      </c>
      <c r="H107" t="str">
        <f>_xlfn.TEXTJOIN("/",TRUE,"MSV-163MS-"&amp;LD_01[[#This Row],[TRECHO]],_xlfn.XLOOKUP(LD_01[[#This Row],[SIGLA]],'CLASSES DE PROJETOS'!$C$3:$C$37,'CLASSES DE PROJETOS'!$E$3:$E$37))</f>
        <v>MSV-163MS-454-460/32.TE</v>
      </c>
      <c r="I107" s="6" t="str" cm="1">
        <f t="array" ref="I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J107" s="6" t="str" cm="1">
        <f t="array" ref="J107">_xlfn.TEXTJOIN(", ",TRUE,_xlfn.UNIQUE(_xlfn._xlws.FILTER(ARQUIVOS_RECEBIDOS!$F$2:$F$5010,ARQUIVOS_RECEBIDOS!$E$2:$E$5010=LD_01[[#This Row],[DOCUMENTO]])))</f>
        <v>R04</v>
      </c>
      <c r="K107" s="12" cm="1">
        <f t="array" ref="K107">_xlfn.UNIQUE(_xlfn._xlws.FILTER(ARQUIVOS[DATA RECEBIMENTO],(ARQUIVOS[DOCUMENTO]=LD_01[[#This Row],[DOCUMENTO]])*(ARQUIVOS[REVISÃO]=LD_01[[#This Row],[REVISÃO]])))</f>
        <v>45838</v>
      </c>
      <c r="L1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M107" s="6" t="str">
        <f>LD_01[[#This Row],[PASTA]]&amp;"/"&amp;LD_01[[#This Row],[ARQUIVO]]</f>
        <v>MSV-163MS-454-460/32.TE/MSV-163MS-454-460-ACA-EXE-DE-G1-015-R04.pdf</v>
      </c>
    </row>
    <row r="108" spans="1:13" ht="28.8" hidden="1" x14ac:dyDescent="0.3">
      <c r="A108" s="6" t="s">
        <v>2886</v>
      </c>
      <c r="B108" s="6" t="str">
        <f>VLOOKUP(LD_01[[#This Row],[DOCUMENTO]],_xlfn.SORTBY(ARQUIVOS_RECEBIDOS!$E$2:$F$5010,ARQUIVOS_RECEBIDOS!$F$2:$F$5010,-1),2,)</f>
        <v>R04</v>
      </c>
      <c r="C108" s="15" t="s">
        <v>5987</v>
      </c>
      <c r="D108" s="6" t="s">
        <v>4310</v>
      </c>
      <c r="E108" s="8" t="s">
        <v>4077</v>
      </c>
      <c r="F108" s="8" t="s">
        <v>4330</v>
      </c>
      <c r="G108" s="6" t="str">
        <f>_xlfn.XLOOKUP(LD_01[[#This Row],[DISCIPLINA]],'CLASSES DE PROJETOS'!$F$3:$F$37,'CLASSES DE PROJETOS'!$C$3:$C$37)</f>
        <v>TE</v>
      </c>
      <c r="H108" t="str">
        <f>_xlfn.TEXTJOIN("/",TRUE,"MSV-163MS-"&amp;LD_01[[#This Row],[TRECHO]],_xlfn.XLOOKUP(LD_01[[#This Row],[SIGLA]],'CLASSES DE PROJETOS'!$C$3:$C$37,'CLASSES DE PROJETOS'!$E$3:$E$37))</f>
        <v>MSV-163MS-454-460/32.TE</v>
      </c>
      <c r="I108" s="6" t="str" cm="1">
        <f t="array" ref="I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J108" s="6" t="str" cm="1">
        <f t="array" ref="J108">_xlfn.TEXTJOIN(", ",TRUE,_xlfn.UNIQUE(_xlfn._xlws.FILTER(ARQUIVOS_RECEBIDOS!$F$2:$F$5010,ARQUIVOS_RECEBIDOS!$E$2:$E$5010=LD_01[[#This Row],[DOCUMENTO]])))</f>
        <v>R04</v>
      </c>
      <c r="K108" s="12" cm="1">
        <f t="array" ref="K108">_xlfn.UNIQUE(_xlfn._xlws.FILTER(ARQUIVOS[DATA RECEBIMENTO],(ARQUIVOS[DOCUMENTO]=LD_01[[#This Row],[DOCUMENTO]])*(ARQUIVOS[REVISÃO]=LD_01[[#This Row],[REVISÃO]])))</f>
        <v>45838</v>
      </c>
      <c r="L1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M108" s="6" t="str">
        <f>LD_01[[#This Row],[PASTA]]&amp;"/"&amp;LD_01[[#This Row],[ARQUIVO]]</f>
        <v>MSV-163MS-454-460/32.TE/MSV-163MS-454-460-ACA-EXE-DE-G1-016-R04.pdf</v>
      </c>
    </row>
    <row r="109" spans="1:13" ht="28.8" hidden="1" x14ac:dyDescent="0.3">
      <c r="A109" s="6" t="s">
        <v>2887</v>
      </c>
      <c r="B109" s="6" t="str">
        <f>VLOOKUP(LD_01[[#This Row],[DOCUMENTO]],_xlfn.SORTBY(ARQUIVOS_RECEBIDOS!$E$2:$F$5010,ARQUIVOS_RECEBIDOS!$F$2:$F$5010,-1),2,)</f>
        <v>R04</v>
      </c>
      <c r="C109" s="15" t="s">
        <v>5987</v>
      </c>
      <c r="D109" s="6" t="s">
        <v>4310</v>
      </c>
      <c r="E109" s="8" t="s">
        <v>4077</v>
      </c>
      <c r="F109" s="8" t="s">
        <v>4330</v>
      </c>
      <c r="G109" s="6" t="str">
        <f>_xlfn.XLOOKUP(LD_01[[#This Row],[DISCIPLINA]],'CLASSES DE PROJETOS'!$F$3:$F$37,'CLASSES DE PROJETOS'!$C$3:$C$37)</f>
        <v>TE</v>
      </c>
      <c r="H109" t="str">
        <f>_xlfn.TEXTJOIN("/",TRUE,"MSV-163MS-"&amp;LD_01[[#This Row],[TRECHO]],_xlfn.XLOOKUP(LD_01[[#This Row],[SIGLA]],'CLASSES DE PROJETOS'!$C$3:$C$37,'CLASSES DE PROJETOS'!$E$3:$E$37))</f>
        <v>MSV-163MS-454-460/32.TE</v>
      </c>
      <c r="I109" s="6" t="str" cm="1">
        <f t="array" ref="I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J109" s="6" t="str" cm="1">
        <f t="array" ref="J109">_xlfn.TEXTJOIN(", ",TRUE,_xlfn.UNIQUE(_xlfn._xlws.FILTER(ARQUIVOS_RECEBIDOS!$F$2:$F$5010,ARQUIVOS_RECEBIDOS!$E$2:$E$5010=LD_01[[#This Row],[DOCUMENTO]])))</f>
        <v>R04</v>
      </c>
      <c r="K109" s="12" cm="1">
        <f t="array" ref="K109">_xlfn.UNIQUE(_xlfn._xlws.FILTER(ARQUIVOS[DATA RECEBIMENTO],(ARQUIVOS[DOCUMENTO]=LD_01[[#This Row],[DOCUMENTO]])*(ARQUIVOS[REVISÃO]=LD_01[[#This Row],[REVISÃO]])))</f>
        <v>45838</v>
      </c>
      <c r="L1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M109" s="6" t="str">
        <f>LD_01[[#This Row],[PASTA]]&amp;"/"&amp;LD_01[[#This Row],[ARQUIVO]]</f>
        <v>MSV-163MS-454-460/32.TE/MSV-163MS-454-460-ACA-EXE-DE-G1-017-R04.pdf</v>
      </c>
    </row>
    <row r="110" spans="1:13" ht="28.8" hidden="1" x14ac:dyDescent="0.3">
      <c r="A110" s="6" t="s">
        <v>2888</v>
      </c>
      <c r="B110" s="6" t="str">
        <f>VLOOKUP(LD_01[[#This Row],[DOCUMENTO]],_xlfn.SORTBY(ARQUIVOS_RECEBIDOS!$E$2:$F$5010,ARQUIVOS_RECEBIDOS!$F$2:$F$5010,-1),2,)</f>
        <v>R03</v>
      </c>
      <c r="C110" s="15" t="s">
        <v>5987</v>
      </c>
      <c r="D110" s="6" t="s">
        <v>4310</v>
      </c>
      <c r="E110" s="8" t="s">
        <v>4077</v>
      </c>
      <c r="F110" s="8" t="s">
        <v>4330</v>
      </c>
      <c r="G110" s="6" t="str">
        <f>_xlfn.XLOOKUP(LD_01[[#This Row],[DISCIPLINA]],'CLASSES DE PROJETOS'!$F$3:$F$37,'CLASSES DE PROJETOS'!$C$3:$C$37)</f>
        <v>TE</v>
      </c>
      <c r="H110" t="str">
        <f>_xlfn.TEXTJOIN("/",TRUE,"MSV-163MS-"&amp;LD_01[[#This Row],[TRECHO]],_xlfn.XLOOKUP(LD_01[[#This Row],[SIGLA]],'CLASSES DE PROJETOS'!$C$3:$C$37,'CLASSES DE PROJETOS'!$E$3:$E$37))</f>
        <v>MSV-163MS-454-460/32.TE</v>
      </c>
      <c r="I110" s="6" t="str" cm="1">
        <f t="array" ref="I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J110" s="6" t="str" cm="1">
        <f t="array" ref="J110">_xlfn.TEXTJOIN(", ",TRUE,_xlfn.UNIQUE(_xlfn._xlws.FILTER(ARQUIVOS_RECEBIDOS!$F$2:$F$5010,ARQUIVOS_RECEBIDOS!$E$2:$E$5010=LD_01[[#This Row],[DOCUMENTO]])))</f>
        <v>R03</v>
      </c>
      <c r="K110" s="12" cm="1">
        <f t="array" ref="K110">_xlfn.UNIQUE(_xlfn._xlws.FILTER(ARQUIVOS[DATA RECEBIMENTO],(ARQUIVOS[DOCUMENTO]=LD_01[[#This Row],[DOCUMENTO]])*(ARQUIVOS[REVISÃO]=LD_01[[#This Row],[REVISÃO]])))</f>
        <v>45838</v>
      </c>
      <c r="L1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M110" s="6" t="str">
        <f>LD_01[[#This Row],[PASTA]]&amp;"/"&amp;LD_01[[#This Row],[ARQUIVO]]</f>
        <v>MSV-163MS-454-460/32.TE/MSV-163MS-454-460-ACA-EXE-DE-G1-018-R03.pdf</v>
      </c>
    </row>
    <row r="111" spans="1:13" ht="28.8" hidden="1" x14ac:dyDescent="0.3">
      <c r="A111" s="6" t="s">
        <v>2889</v>
      </c>
      <c r="B111" s="6" t="str">
        <f>VLOOKUP(LD_01[[#This Row],[DOCUMENTO]],_xlfn.SORTBY(ARQUIVOS_RECEBIDOS!$E$2:$F$5010,ARQUIVOS_RECEBIDOS!$F$2:$F$5010,-1),2,)</f>
        <v>R06</v>
      </c>
      <c r="C111" s="15" t="s">
        <v>5987</v>
      </c>
      <c r="D111" s="6" t="s">
        <v>4310</v>
      </c>
      <c r="E111" s="8" t="s">
        <v>4077</v>
      </c>
      <c r="F111" s="8" t="s">
        <v>4330</v>
      </c>
      <c r="G111" s="6" t="str">
        <f>_xlfn.XLOOKUP(LD_01[[#This Row],[DISCIPLINA]],'CLASSES DE PROJETOS'!$F$3:$F$37,'CLASSES DE PROJETOS'!$C$3:$C$37)</f>
        <v>TE</v>
      </c>
      <c r="H111" t="str">
        <f>_xlfn.TEXTJOIN("/",TRUE,"MSV-163MS-"&amp;LD_01[[#This Row],[TRECHO]],_xlfn.XLOOKUP(LD_01[[#This Row],[SIGLA]],'CLASSES DE PROJETOS'!$C$3:$C$37,'CLASSES DE PROJETOS'!$E$3:$E$37))</f>
        <v>MSV-163MS-454-460/32.TE</v>
      </c>
      <c r="I111" s="6" t="str" cm="1">
        <f t="array" ref="I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J111" s="6" t="str" cm="1">
        <f t="array" ref="J111">_xlfn.TEXTJOIN(", ",TRUE,_xlfn.UNIQUE(_xlfn._xlws.FILTER(ARQUIVOS_RECEBIDOS!$F$2:$F$5010,ARQUIVOS_RECEBIDOS!$E$2:$E$5010=LD_01[[#This Row],[DOCUMENTO]])))</f>
        <v>R06</v>
      </c>
      <c r="K111" s="12" cm="1">
        <f t="array" ref="K111">_xlfn.UNIQUE(_xlfn._xlws.FILTER(ARQUIVOS[DATA RECEBIMENTO],(ARQUIVOS[DOCUMENTO]=LD_01[[#This Row],[DOCUMENTO]])*(ARQUIVOS[REVISÃO]=LD_01[[#This Row],[REVISÃO]])))</f>
        <v>45838</v>
      </c>
      <c r="L1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M111" s="6" t="str">
        <f>LD_01[[#This Row],[PASTA]]&amp;"/"&amp;LD_01[[#This Row],[ARQUIVO]]</f>
        <v>MSV-163MS-454-460/32.TE/MSV-163MS-454-460-ACA-EXE-DE-G1-019-R06.pdf</v>
      </c>
    </row>
    <row r="112" spans="1:13" ht="28.8" hidden="1" x14ac:dyDescent="0.3">
      <c r="A112" s="6" t="s">
        <v>2890</v>
      </c>
      <c r="B112" s="6" t="str">
        <f>VLOOKUP(LD_01[[#This Row],[DOCUMENTO]],_xlfn.SORTBY(ARQUIVOS_RECEBIDOS!$E$2:$F$5010,ARQUIVOS_RECEBIDOS!$F$2:$F$5010,-1),2,)</f>
        <v>R07</v>
      </c>
      <c r="C112" s="15" t="s">
        <v>5987</v>
      </c>
      <c r="D112" s="6" t="s">
        <v>4310</v>
      </c>
      <c r="E112" s="8" t="s">
        <v>4077</v>
      </c>
      <c r="F112" s="8" t="s">
        <v>4330</v>
      </c>
      <c r="G112" s="6" t="str">
        <f>_xlfn.XLOOKUP(LD_01[[#This Row],[DISCIPLINA]],'CLASSES DE PROJETOS'!$F$3:$F$37,'CLASSES DE PROJETOS'!$C$3:$C$37)</f>
        <v>TE</v>
      </c>
      <c r="H112" t="str">
        <f>_xlfn.TEXTJOIN("/",TRUE,"MSV-163MS-"&amp;LD_01[[#This Row],[TRECHO]],_xlfn.XLOOKUP(LD_01[[#This Row],[SIGLA]],'CLASSES DE PROJETOS'!$C$3:$C$37,'CLASSES DE PROJETOS'!$E$3:$E$37))</f>
        <v>MSV-163MS-454-460/32.TE</v>
      </c>
      <c r="I112" s="6" t="str" cm="1">
        <f t="array" ref="I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J112" s="6" t="str" cm="1">
        <f t="array" ref="J112">_xlfn.TEXTJOIN(", ",TRUE,_xlfn.UNIQUE(_xlfn._xlws.FILTER(ARQUIVOS_RECEBIDOS!$F$2:$F$5010,ARQUIVOS_RECEBIDOS!$E$2:$E$5010=LD_01[[#This Row],[DOCUMENTO]])))</f>
        <v>R07</v>
      </c>
      <c r="K112" s="12" cm="1">
        <f t="array" ref="K112">_xlfn.UNIQUE(_xlfn._xlws.FILTER(ARQUIVOS[DATA RECEBIMENTO],(ARQUIVOS[DOCUMENTO]=LD_01[[#This Row],[DOCUMENTO]])*(ARQUIVOS[REVISÃO]=LD_01[[#This Row],[REVISÃO]])))</f>
        <v>45838</v>
      </c>
      <c r="L1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M112" s="6" t="str">
        <f>LD_01[[#This Row],[PASTA]]&amp;"/"&amp;LD_01[[#This Row],[ARQUIVO]]</f>
        <v>MSV-163MS-454-460/32.TE/MSV-163MS-454-460-ACA-EXE-DE-G1-020-R07.pdf</v>
      </c>
    </row>
    <row r="113" spans="1:13" ht="28.8" hidden="1" x14ac:dyDescent="0.3">
      <c r="A113" s="6" t="s">
        <v>2891</v>
      </c>
      <c r="B113" s="6" t="str">
        <f>VLOOKUP(LD_01[[#This Row],[DOCUMENTO]],_xlfn.SORTBY(ARQUIVOS_RECEBIDOS!$E$2:$F$5010,ARQUIVOS_RECEBIDOS!$F$2:$F$5010,-1),2,)</f>
        <v>R03</v>
      </c>
      <c r="C113" s="15" t="s">
        <v>5987</v>
      </c>
      <c r="D113" s="6" t="s">
        <v>4310</v>
      </c>
      <c r="E113" s="8" t="s">
        <v>4174</v>
      </c>
      <c r="F113" s="8" t="s">
        <v>4330</v>
      </c>
      <c r="G113" s="6" t="str">
        <f>_xlfn.XLOOKUP(LD_01[[#This Row],[DISCIPLINA]],'CLASSES DE PROJETOS'!$F$3:$F$37,'CLASSES DE PROJETOS'!$C$3:$C$37)</f>
        <v>TE</v>
      </c>
      <c r="H113" t="str">
        <f>_xlfn.TEXTJOIN("/",TRUE,"MSV-163MS-"&amp;LD_01[[#This Row],[TRECHO]],_xlfn.XLOOKUP(LD_01[[#This Row],[SIGLA]],'CLASSES DE PROJETOS'!$C$3:$C$37,'CLASSES DE PROJETOS'!$E$3:$E$37))</f>
        <v>MSV-163MS-454-460/32.TE</v>
      </c>
      <c r="I113" s="6" t="str" cm="1">
        <f t="array" ref="I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J113" s="6" t="str" cm="1">
        <f t="array" ref="J113">_xlfn.TEXTJOIN(", ",TRUE,_xlfn.UNIQUE(_xlfn._xlws.FILTER(ARQUIVOS_RECEBIDOS!$F$2:$F$5010,ARQUIVOS_RECEBIDOS!$E$2:$E$5010=LD_01[[#This Row],[DOCUMENTO]])))</f>
        <v>R03</v>
      </c>
      <c r="K113" s="12" cm="1">
        <f t="array" ref="K113">_xlfn.UNIQUE(_xlfn._xlws.FILTER(ARQUIVOS[DATA RECEBIMENTO],(ARQUIVOS[DOCUMENTO]=LD_01[[#This Row],[DOCUMENTO]])*(ARQUIVOS[REVISÃO]=LD_01[[#This Row],[REVISÃO]])))</f>
        <v>45838</v>
      </c>
      <c r="L1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M113" s="6" t="str">
        <f>LD_01[[#This Row],[PASTA]]&amp;"/"&amp;LD_01[[#This Row],[ARQUIVO]]</f>
        <v>MSV-163MS-454-460/32.TE/MSV-163MS-454-460-ACA-EXE-DE-G1-101-R03.pdf</v>
      </c>
    </row>
    <row r="114" spans="1:13" ht="28.8" hidden="1" x14ac:dyDescent="0.3">
      <c r="A114" s="6" t="s">
        <v>2892</v>
      </c>
      <c r="B114" s="6" t="str">
        <f>VLOOKUP(LD_01[[#This Row],[DOCUMENTO]],_xlfn.SORTBY(ARQUIVOS_RECEBIDOS!$E$2:$F$5010,ARQUIVOS_RECEBIDOS!$F$2:$F$5010,-1),2,)</f>
        <v>R03</v>
      </c>
      <c r="C114" s="15" t="s">
        <v>5987</v>
      </c>
      <c r="D114" s="6" t="s">
        <v>4310</v>
      </c>
      <c r="E114" s="8" t="s">
        <v>4174</v>
      </c>
      <c r="F114" s="8" t="s">
        <v>4330</v>
      </c>
      <c r="G114" s="6" t="str">
        <f>_xlfn.XLOOKUP(LD_01[[#This Row],[DISCIPLINA]],'CLASSES DE PROJETOS'!$F$3:$F$37,'CLASSES DE PROJETOS'!$C$3:$C$37)</f>
        <v>TE</v>
      </c>
      <c r="H114" t="str">
        <f>_xlfn.TEXTJOIN("/",TRUE,"MSV-163MS-"&amp;LD_01[[#This Row],[TRECHO]],_xlfn.XLOOKUP(LD_01[[#This Row],[SIGLA]],'CLASSES DE PROJETOS'!$C$3:$C$37,'CLASSES DE PROJETOS'!$E$3:$E$37))</f>
        <v>MSV-163MS-454-460/32.TE</v>
      </c>
      <c r="I114" s="6" t="str" cm="1">
        <f t="array" ref="I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J114" s="6" t="str" cm="1">
        <f t="array" ref="J114">_xlfn.TEXTJOIN(", ",TRUE,_xlfn.UNIQUE(_xlfn._xlws.FILTER(ARQUIVOS_RECEBIDOS!$F$2:$F$5010,ARQUIVOS_RECEBIDOS!$E$2:$E$5010=LD_01[[#This Row],[DOCUMENTO]])))</f>
        <v>R03</v>
      </c>
      <c r="K114" s="12" cm="1">
        <f t="array" ref="K114">_xlfn.UNIQUE(_xlfn._xlws.FILTER(ARQUIVOS[DATA RECEBIMENTO],(ARQUIVOS[DOCUMENTO]=LD_01[[#This Row],[DOCUMENTO]])*(ARQUIVOS[REVISÃO]=LD_01[[#This Row],[REVISÃO]])))</f>
        <v>45838</v>
      </c>
      <c r="L1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M114" s="6" t="str">
        <f>LD_01[[#This Row],[PASTA]]&amp;"/"&amp;LD_01[[#This Row],[ARQUIVO]]</f>
        <v>MSV-163MS-454-460/32.TE/MSV-163MS-454-460-ACA-EXE-DE-G1-102-R03.pdf</v>
      </c>
    </row>
    <row r="115" spans="1:13" hidden="1" x14ac:dyDescent="0.3">
      <c r="A115" s="6" t="s">
        <v>2894</v>
      </c>
      <c r="B115" s="6" t="str">
        <f>VLOOKUP(LD_01[[#This Row],[DOCUMENTO]],_xlfn.SORTBY(ARQUIVOS_RECEBIDOS!$E$2:$F$5010,ARQUIVOS_RECEBIDOS!$F$2:$F$5010,-1),2,)</f>
        <v>R00</v>
      </c>
      <c r="C115" s="15" t="s">
        <v>5987</v>
      </c>
      <c r="D115" s="6" t="s">
        <v>4310</v>
      </c>
      <c r="E115" s="8" t="s">
        <v>4096</v>
      </c>
      <c r="F115" s="8" t="s">
        <v>4142</v>
      </c>
      <c r="G115" s="6" t="str">
        <f>_xlfn.XLOOKUP(LD_01[[#This Row],[DISCIPLINA]],'CLASSES DE PROJETOS'!$F$3:$F$37,'CLASSES DE PROJETOS'!$C$3:$C$37)</f>
        <v>DR</v>
      </c>
      <c r="H115" t="str">
        <f>_xlfn.TEXTJOIN("/",TRUE,"MSV-163MS-"&amp;LD_01[[#This Row],[TRECHO]],_xlfn.XLOOKUP(LD_01[[#This Row],[SIGLA]],'CLASSES DE PROJETOS'!$C$3:$C$37,'CLASSES DE PROJETOS'!$E$3:$E$37))</f>
        <v>MSV-163MS-454-460/10.DR</v>
      </c>
      <c r="I115" s="6" t="str" cm="1">
        <f t="array" ref="I115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J115" s="6" t="str" cm="1">
        <f t="array" ref="J115">_xlfn.TEXTJOIN(", ",TRUE,_xlfn.UNIQUE(_xlfn._xlws.FILTER(ARQUIVOS_RECEBIDOS!$F$2:$F$5010,ARQUIVOS_RECEBIDOS!$E$2:$E$5010=LD_01[[#This Row],[DOCUMENTO]])))</f>
        <v>R00</v>
      </c>
      <c r="K115" s="12" cm="1">
        <f t="array" ref="K115">_xlfn.UNIQUE(_xlfn._xlws.FILTER(ARQUIVOS[DATA RECEBIMENTO],(ARQUIVOS[DOCUMENTO]=LD_01[[#This Row],[DOCUMENTO]])*(ARQUIVOS[REVISÃO]=LD_01[[#This Row],[REVISÃO]])))</f>
        <v>45838</v>
      </c>
      <c r="L1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M115" s="6" t="str">
        <f>LD_01[[#This Row],[PASTA]]&amp;"/"&amp;LD_01[[#This Row],[ARQUIVO]]</f>
        <v>MSV-163MS-454-460/10.DR/MSV-163MS-454-460-ACA-EXE-DE-H1-201-R00.pdf</v>
      </c>
    </row>
    <row r="116" spans="1:13" hidden="1" x14ac:dyDescent="0.3">
      <c r="A116" s="6" t="s">
        <v>2896</v>
      </c>
      <c r="B116" s="6" t="str">
        <f>VLOOKUP(LD_01[[#This Row],[DOCUMENTO]],_xlfn.SORTBY(ARQUIVOS_RECEBIDOS!$E$2:$F$5010,ARQUIVOS_RECEBIDOS!$F$2:$F$5010,-1),2,)</f>
        <v>R03</v>
      </c>
      <c r="C116" s="15" t="s">
        <v>5987</v>
      </c>
      <c r="D116" s="6" t="s">
        <v>4310</v>
      </c>
      <c r="E116" s="8" t="s">
        <v>4076</v>
      </c>
      <c r="F116" s="8" t="s">
        <v>4142</v>
      </c>
      <c r="G116" s="6" t="str">
        <f>_xlfn.XLOOKUP(LD_01[[#This Row],[DISCIPLINA]],'CLASSES DE PROJETOS'!$F$3:$F$37,'CLASSES DE PROJETOS'!$C$3:$C$37)</f>
        <v>DR</v>
      </c>
      <c r="H116" t="str">
        <f>_xlfn.TEXTJOIN("/",TRUE,"MSV-163MS-"&amp;LD_01[[#This Row],[TRECHO]],_xlfn.XLOOKUP(LD_01[[#This Row],[SIGLA]],'CLASSES DE PROJETOS'!$C$3:$C$37,'CLASSES DE PROJETOS'!$E$3:$E$37))</f>
        <v>MSV-163MS-454-460/10.DR</v>
      </c>
      <c r="I116" s="6" t="str" cm="1">
        <f t="array" ref="I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J116" s="6" t="str" cm="1">
        <f t="array" ref="J116">_xlfn.TEXTJOIN(", ",TRUE,_xlfn.UNIQUE(_xlfn._xlws.FILTER(ARQUIVOS_RECEBIDOS!$F$2:$F$5010,ARQUIVOS_RECEBIDOS!$E$2:$E$5010=LD_01[[#This Row],[DOCUMENTO]])))</f>
        <v>R03</v>
      </c>
      <c r="K116" s="12" cm="1">
        <f t="array" ref="K116">_xlfn.UNIQUE(_xlfn._xlws.FILTER(ARQUIVOS[DATA RECEBIMENTO],(ARQUIVOS[DOCUMENTO]=LD_01[[#This Row],[DOCUMENTO]])*(ARQUIVOS[REVISÃO]=LD_01[[#This Row],[REVISÃO]])))</f>
        <v>45838</v>
      </c>
      <c r="L1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M116" s="6" t="str">
        <f>LD_01[[#This Row],[PASTA]]&amp;"/"&amp;LD_01[[#This Row],[ARQUIVO]]</f>
        <v>MSV-163MS-454-460/10.DR/MSV-163MS-454-460-ACA-EXE-DE-H2-001-R03.pdf</v>
      </c>
    </row>
    <row r="117" spans="1:13" hidden="1" x14ac:dyDescent="0.3">
      <c r="A117" s="6" t="s">
        <v>2897</v>
      </c>
      <c r="B117" s="6" t="str">
        <f>VLOOKUP(LD_01[[#This Row],[DOCUMENTO]],_xlfn.SORTBY(ARQUIVOS_RECEBIDOS!$E$2:$F$5010,ARQUIVOS_RECEBIDOS!$F$2:$F$5010,-1),2,)</f>
        <v>R07</v>
      </c>
      <c r="C117" s="15" t="s">
        <v>5987</v>
      </c>
      <c r="D117" s="6" t="s">
        <v>4310</v>
      </c>
      <c r="E117" s="8" t="s">
        <v>4076</v>
      </c>
      <c r="F117" s="8" t="s">
        <v>4142</v>
      </c>
      <c r="G117" s="6" t="str">
        <f>_xlfn.XLOOKUP(LD_01[[#This Row],[DISCIPLINA]],'CLASSES DE PROJETOS'!$F$3:$F$37,'CLASSES DE PROJETOS'!$C$3:$C$37)</f>
        <v>DR</v>
      </c>
      <c r="H117" t="str">
        <f>_xlfn.TEXTJOIN("/",TRUE,"MSV-163MS-"&amp;LD_01[[#This Row],[TRECHO]],_xlfn.XLOOKUP(LD_01[[#This Row],[SIGLA]],'CLASSES DE PROJETOS'!$C$3:$C$37,'CLASSES DE PROJETOS'!$E$3:$E$37))</f>
        <v>MSV-163MS-454-460/10.DR</v>
      </c>
      <c r="I117" s="6" t="str" cm="1">
        <f t="array" ref="I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J117" s="6" t="str" cm="1">
        <f t="array" ref="J117">_xlfn.TEXTJOIN(", ",TRUE,_xlfn.UNIQUE(_xlfn._xlws.FILTER(ARQUIVOS_RECEBIDOS!$F$2:$F$5010,ARQUIVOS_RECEBIDOS!$E$2:$E$5010=LD_01[[#This Row],[DOCUMENTO]])))</f>
        <v>R05, R07</v>
      </c>
      <c r="K117" s="12" cm="1">
        <f t="array" ref="K117">_xlfn.UNIQUE(_xlfn._xlws.FILTER(ARQUIVOS[DATA RECEBIMENTO],(ARQUIVOS[DOCUMENTO]=LD_01[[#This Row],[DOCUMENTO]])*(ARQUIVOS[REVISÃO]=LD_01[[#This Row],[REVISÃO]])))</f>
        <v>45895</v>
      </c>
      <c r="L1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M117" s="6" t="str">
        <f>LD_01[[#This Row],[PASTA]]&amp;"/"&amp;LD_01[[#This Row],[ARQUIVO]]</f>
        <v>MSV-163MS-454-460/10.DR/MSV-163MS-454-460-ACA-EXE-DE-H2-002-R07.pdf</v>
      </c>
    </row>
    <row r="118" spans="1:13" hidden="1" x14ac:dyDescent="0.3">
      <c r="A118" s="6" t="s">
        <v>2898</v>
      </c>
      <c r="B118" s="6" t="str">
        <f>VLOOKUP(LD_01[[#This Row],[DOCUMENTO]],_xlfn.SORTBY(ARQUIVOS_RECEBIDOS!$E$2:$F$5010,ARQUIVOS_RECEBIDOS!$F$2:$F$5010,-1),2,)</f>
        <v>R04</v>
      </c>
      <c r="C118" s="15" t="s">
        <v>5987</v>
      </c>
      <c r="D118" s="6" t="s">
        <v>4310</v>
      </c>
      <c r="E118" s="8" t="s">
        <v>4076</v>
      </c>
      <c r="F118" s="8" t="s">
        <v>4142</v>
      </c>
      <c r="G118" s="6" t="str">
        <f>_xlfn.XLOOKUP(LD_01[[#This Row],[DISCIPLINA]],'CLASSES DE PROJETOS'!$F$3:$F$37,'CLASSES DE PROJETOS'!$C$3:$C$37)</f>
        <v>DR</v>
      </c>
      <c r="H118" t="str">
        <f>_xlfn.TEXTJOIN("/",TRUE,"MSV-163MS-"&amp;LD_01[[#This Row],[TRECHO]],_xlfn.XLOOKUP(LD_01[[#This Row],[SIGLA]],'CLASSES DE PROJETOS'!$C$3:$C$37,'CLASSES DE PROJETOS'!$E$3:$E$37))</f>
        <v>MSV-163MS-454-460/10.DR</v>
      </c>
      <c r="I118" s="6" t="str" cm="1">
        <f t="array" ref="I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J118" s="6" t="str" cm="1">
        <f t="array" ref="J118">_xlfn.TEXTJOIN(", ",TRUE,_xlfn.UNIQUE(_xlfn._xlws.FILTER(ARQUIVOS_RECEBIDOS!$F$2:$F$5010,ARQUIVOS_RECEBIDOS!$E$2:$E$5010=LD_01[[#This Row],[DOCUMENTO]])))</f>
        <v>R04</v>
      </c>
      <c r="K118" s="12" cm="1">
        <f t="array" ref="K118">_xlfn.UNIQUE(_xlfn._xlws.FILTER(ARQUIVOS[DATA RECEBIMENTO],(ARQUIVOS[DOCUMENTO]=LD_01[[#This Row],[DOCUMENTO]])*(ARQUIVOS[REVISÃO]=LD_01[[#This Row],[REVISÃO]])))</f>
        <v>45838</v>
      </c>
      <c r="L1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M118" s="6" t="str">
        <f>LD_01[[#This Row],[PASTA]]&amp;"/"&amp;LD_01[[#This Row],[ARQUIVO]]</f>
        <v>MSV-163MS-454-460/10.DR/MSV-163MS-454-460-ACA-EXE-DE-H2-003-R04.pdf</v>
      </c>
    </row>
    <row r="119" spans="1:13" hidden="1" x14ac:dyDescent="0.3">
      <c r="A119" s="6" t="s">
        <v>2899</v>
      </c>
      <c r="B119" s="6" t="str">
        <f>VLOOKUP(LD_01[[#This Row],[DOCUMENTO]],_xlfn.SORTBY(ARQUIVOS_RECEBIDOS!$E$2:$F$5010,ARQUIVOS_RECEBIDOS!$F$2:$F$5010,-1),2,)</f>
        <v>R05</v>
      </c>
      <c r="C119" s="15" t="s">
        <v>5987</v>
      </c>
      <c r="D119" s="6" t="s">
        <v>4310</v>
      </c>
      <c r="E119" s="8" t="s">
        <v>4076</v>
      </c>
      <c r="F119" s="8" t="s">
        <v>4142</v>
      </c>
      <c r="G119" s="6" t="str">
        <f>_xlfn.XLOOKUP(LD_01[[#This Row],[DISCIPLINA]],'CLASSES DE PROJETOS'!$F$3:$F$37,'CLASSES DE PROJETOS'!$C$3:$C$37)</f>
        <v>DR</v>
      </c>
      <c r="H119" t="str">
        <f>_xlfn.TEXTJOIN("/",TRUE,"MSV-163MS-"&amp;LD_01[[#This Row],[TRECHO]],_xlfn.XLOOKUP(LD_01[[#This Row],[SIGLA]],'CLASSES DE PROJETOS'!$C$3:$C$37,'CLASSES DE PROJETOS'!$E$3:$E$37))</f>
        <v>MSV-163MS-454-460/10.DR</v>
      </c>
      <c r="I119" s="6" t="str" cm="1">
        <f t="array" ref="I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J119" s="6" t="str" cm="1">
        <f t="array" ref="J119">_xlfn.TEXTJOIN(", ",TRUE,_xlfn.UNIQUE(_xlfn._xlws.FILTER(ARQUIVOS_RECEBIDOS!$F$2:$F$5010,ARQUIVOS_RECEBIDOS!$E$2:$E$5010=LD_01[[#This Row],[DOCUMENTO]])))</f>
        <v>R05</v>
      </c>
      <c r="K119" s="12" cm="1">
        <f t="array" ref="K119">_xlfn.UNIQUE(_xlfn._xlws.FILTER(ARQUIVOS[DATA RECEBIMENTO],(ARQUIVOS[DOCUMENTO]=LD_01[[#This Row],[DOCUMENTO]])*(ARQUIVOS[REVISÃO]=LD_01[[#This Row],[REVISÃO]])))</f>
        <v>45838</v>
      </c>
      <c r="L1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M119" s="6" t="str">
        <f>LD_01[[#This Row],[PASTA]]&amp;"/"&amp;LD_01[[#This Row],[ARQUIVO]]</f>
        <v>MSV-163MS-454-460/10.DR/MSV-163MS-454-460-ACA-EXE-DE-H2-004-R05.pdf</v>
      </c>
    </row>
    <row r="120" spans="1:13" hidden="1" x14ac:dyDescent="0.3">
      <c r="A120" s="6" t="s">
        <v>2900</v>
      </c>
      <c r="B120" s="6" t="str">
        <f>VLOOKUP(LD_01[[#This Row],[DOCUMENTO]],_xlfn.SORTBY(ARQUIVOS_RECEBIDOS!$E$2:$F$5010,ARQUIVOS_RECEBIDOS!$F$2:$F$5010,-1),2,)</f>
        <v>R06</v>
      </c>
      <c r="C120" s="15" t="s">
        <v>5987</v>
      </c>
      <c r="D120" s="6" t="s">
        <v>4310</v>
      </c>
      <c r="E120" s="8" t="s">
        <v>4076</v>
      </c>
      <c r="F120" s="8" t="s">
        <v>4142</v>
      </c>
      <c r="G120" s="6" t="str">
        <f>_xlfn.XLOOKUP(LD_01[[#This Row],[DISCIPLINA]],'CLASSES DE PROJETOS'!$F$3:$F$37,'CLASSES DE PROJETOS'!$C$3:$C$37)</f>
        <v>DR</v>
      </c>
      <c r="H120" t="str">
        <f>_xlfn.TEXTJOIN("/",TRUE,"MSV-163MS-"&amp;LD_01[[#This Row],[TRECHO]],_xlfn.XLOOKUP(LD_01[[#This Row],[SIGLA]],'CLASSES DE PROJETOS'!$C$3:$C$37,'CLASSES DE PROJETOS'!$E$3:$E$37))</f>
        <v>MSV-163MS-454-460/10.DR</v>
      </c>
      <c r="I120" s="6" t="str" cm="1">
        <f t="array" ref="I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J120" s="6" t="str" cm="1">
        <f t="array" ref="J120">_xlfn.TEXTJOIN(", ",TRUE,_xlfn.UNIQUE(_xlfn._xlws.FILTER(ARQUIVOS_RECEBIDOS!$F$2:$F$5010,ARQUIVOS_RECEBIDOS!$E$2:$E$5010=LD_01[[#This Row],[DOCUMENTO]])))</f>
        <v>R05, R06</v>
      </c>
      <c r="K120" s="12" cm="1">
        <f t="array" ref="K120">_xlfn.UNIQUE(_xlfn._xlws.FILTER(ARQUIVOS[DATA RECEBIMENTO],(ARQUIVOS[DOCUMENTO]=LD_01[[#This Row],[DOCUMENTO]])*(ARQUIVOS[REVISÃO]=LD_01[[#This Row],[REVISÃO]])))</f>
        <v>45895</v>
      </c>
      <c r="L1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M120" s="6" t="str">
        <f>LD_01[[#This Row],[PASTA]]&amp;"/"&amp;LD_01[[#This Row],[ARQUIVO]]</f>
        <v>MSV-163MS-454-460/10.DR/MSV-163MS-454-460-ACA-EXE-DE-H2-005-R06.pdf</v>
      </c>
    </row>
    <row r="121" spans="1:13" hidden="1" x14ac:dyDescent="0.3">
      <c r="A121" s="6" t="s">
        <v>2901</v>
      </c>
      <c r="B121" s="6" t="str">
        <f>VLOOKUP(LD_01[[#This Row],[DOCUMENTO]],_xlfn.SORTBY(ARQUIVOS_RECEBIDOS!$E$2:$F$5010,ARQUIVOS_RECEBIDOS!$F$2:$F$5010,-1),2,)</f>
        <v>R05</v>
      </c>
      <c r="C121" s="15" t="s">
        <v>5987</v>
      </c>
      <c r="D121" s="6" t="s">
        <v>4310</v>
      </c>
      <c r="E121" s="8" t="s">
        <v>4076</v>
      </c>
      <c r="F121" s="8" t="s">
        <v>4142</v>
      </c>
      <c r="G121" s="6" t="str">
        <f>_xlfn.XLOOKUP(LD_01[[#This Row],[DISCIPLINA]],'CLASSES DE PROJETOS'!$F$3:$F$37,'CLASSES DE PROJETOS'!$C$3:$C$37)</f>
        <v>DR</v>
      </c>
      <c r="H121" t="str">
        <f>_xlfn.TEXTJOIN("/",TRUE,"MSV-163MS-"&amp;LD_01[[#This Row],[TRECHO]],_xlfn.XLOOKUP(LD_01[[#This Row],[SIGLA]],'CLASSES DE PROJETOS'!$C$3:$C$37,'CLASSES DE PROJETOS'!$E$3:$E$37))</f>
        <v>MSV-163MS-454-460/10.DR</v>
      </c>
      <c r="I121" s="6" t="str" cm="1">
        <f t="array" ref="I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J121" s="6" t="str" cm="1">
        <f t="array" ref="J121">_xlfn.TEXTJOIN(", ",TRUE,_xlfn.UNIQUE(_xlfn._xlws.FILTER(ARQUIVOS_RECEBIDOS!$F$2:$F$5010,ARQUIVOS_RECEBIDOS!$E$2:$E$5010=LD_01[[#This Row],[DOCUMENTO]])))</f>
        <v>R05</v>
      </c>
      <c r="K121" s="12" cm="1">
        <f t="array" ref="K121">_xlfn.UNIQUE(_xlfn._xlws.FILTER(ARQUIVOS[DATA RECEBIMENTO],(ARQUIVOS[DOCUMENTO]=LD_01[[#This Row],[DOCUMENTO]])*(ARQUIVOS[REVISÃO]=LD_01[[#This Row],[REVISÃO]])))</f>
        <v>45838</v>
      </c>
      <c r="L1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M121" s="6" t="str">
        <f>LD_01[[#This Row],[PASTA]]&amp;"/"&amp;LD_01[[#This Row],[ARQUIVO]]</f>
        <v>MSV-163MS-454-460/10.DR/MSV-163MS-454-460-ACA-EXE-DE-H2-006-R05.pdf</v>
      </c>
    </row>
    <row r="122" spans="1:13" hidden="1" x14ac:dyDescent="0.3">
      <c r="A122" s="6" t="s">
        <v>2902</v>
      </c>
      <c r="B122" s="6" t="str">
        <f>VLOOKUP(LD_01[[#This Row],[DOCUMENTO]],_xlfn.SORTBY(ARQUIVOS_RECEBIDOS!$E$2:$F$5010,ARQUIVOS_RECEBIDOS!$F$2:$F$5010,-1),2,)</f>
        <v>R04</v>
      </c>
      <c r="C122" s="15" t="s">
        <v>5987</v>
      </c>
      <c r="D122" s="6" t="s">
        <v>4310</v>
      </c>
      <c r="E122" s="8" t="s">
        <v>4076</v>
      </c>
      <c r="F122" s="8" t="s">
        <v>4142</v>
      </c>
      <c r="G122" s="6" t="str">
        <f>_xlfn.XLOOKUP(LD_01[[#This Row],[DISCIPLINA]],'CLASSES DE PROJETOS'!$F$3:$F$37,'CLASSES DE PROJETOS'!$C$3:$C$37)</f>
        <v>DR</v>
      </c>
      <c r="H122" t="str">
        <f>_xlfn.TEXTJOIN("/",TRUE,"MSV-163MS-"&amp;LD_01[[#This Row],[TRECHO]],_xlfn.XLOOKUP(LD_01[[#This Row],[SIGLA]],'CLASSES DE PROJETOS'!$C$3:$C$37,'CLASSES DE PROJETOS'!$E$3:$E$37))</f>
        <v>MSV-163MS-454-460/10.DR</v>
      </c>
      <c r="I122" s="6" t="str" cm="1">
        <f t="array" ref="I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J122" s="6" t="str" cm="1">
        <f t="array" ref="J122">_xlfn.TEXTJOIN(", ",TRUE,_xlfn.UNIQUE(_xlfn._xlws.FILTER(ARQUIVOS_RECEBIDOS!$F$2:$F$5010,ARQUIVOS_RECEBIDOS!$E$2:$E$5010=LD_01[[#This Row],[DOCUMENTO]])))</f>
        <v>R04</v>
      </c>
      <c r="K122" s="12" cm="1">
        <f t="array" ref="K122">_xlfn.UNIQUE(_xlfn._xlws.FILTER(ARQUIVOS[DATA RECEBIMENTO],(ARQUIVOS[DOCUMENTO]=LD_01[[#This Row],[DOCUMENTO]])*(ARQUIVOS[REVISÃO]=LD_01[[#This Row],[REVISÃO]])))</f>
        <v>45838</v>
      </c>
      <c r="L1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M122" s="6" t="str">
        <f>LD_01[[#This Row],[PASTA]]&amp;"/"&amp;LD_01[[#This Row],[ARQUIVO]]</f>
        <v>MSV-163MS-454-460/10.DR/MSV-163MS-454-460-ACA-EXE-DE-H2-007-R04.pdf</v>
      </c>
    </row>
    <row r="123" spans="1:13" hidden="1" x14ac:dyDescent="0.3">
      <c r="A123" s="6" t="s">
        <v>2903</v>
      </c>
      <c r="B123" s="6" t="str">
        <f>VLOOKUP(LD_01[[#This Row],[DOCUMENTO]],_xlfn.SORTBY(ARQUIVOS_RECEBIDOS!$E$2:$F$5010,ARQUIVOS_RECEBIDOS!$F$2:$F$5010,-1),2,)</f>
        <v>R02</v>
      </c>
      <c r="C123" s="15" t="s">
        <v>5987</v>
      </c>
      <c r="D123" s="6" t="s">
        <v>4310</v>
      </c>
      <c r="E123" s="8" t="s">
        <v>4076</v>
      </c>
      <c r="F123" s="8" t="s">
        <v>4142</v>
      </c>
      <c r="G123" s="6" t="str">
        <f>_xlfn.XLOOKUP(LD_01[[#This Row],[DISCIPLINA]],'CLASSES DE PROJETOS'!$F$3:$F$37,'CLASSES DE PROJETOS'!$C$3:$C$37)</f>
        <v>DR</v>
      </c>
      <c r="H123" t="str">
        <f>_xlfn.TEXTJOIN("/",TRUE,"MSV-163MS-"&amp;LD_01[[#This Row],[TRECHO]],_xlfn.XLOOKUP(LD_01[[#This Row],[SIGLA]],'CLASSES DE PROJETOS'!$C$3:$C$37,'CLASSES DE PROJETOS'!$E$3:$E$37))</f>
        <v>MSV-163MS-454-460/10.DR</v>
      </c>
      <c r="I123" s="6" t="str" cm="1">
        <f t="array" ref="I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J123" s="6" t="str" cm="1">
        <f t="array" ref="J123">_xlfn.TEXTJOIN(", ",TRUE,_xlfn.UNIQUE(_xlfn._xlws.FILTER(ARQUIVOS_RECEBIDOS!$F$2:$F$5010,ARQUIVOS_RECEBIDOS!$E$2:$E$5010=LD_01[[#This Row],[DOCUMENTO]])))</f>
        <v>R02</v>
      </c>
      <c r="K123" s="12" cm="1">
        <f t="array" ref="K123">_xlfn.UNIQUE(_xlfn._xlws.FILTER(ARQUIVOS[DATA RECEBIMENTO],(ARQUIVOS[DOCUMENTO]=LD_01[[#This Row],[DOCUMENTO]])*(ARQUIVOS[REVISÃO]=LD_01[[#This Row],[REVISÃO]])))</f>
        <v>45838</v>
      </c>
      <c r="L1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M123" s="6" t="str">
        <f>LD_01[[#This Row],[PASTA]]&amp;"/"&amp;LD_01[[#This Row],[ARQUIVO]]</f>
        <v>MSV-163MS-454-460/10.DR/MSV-163MS-454-460-ACA-EXE-DE-H2-008-R02.pdf</v>
      </c>
    </row>
    <row r="124" spans="1:13" hidden="1" x14ac:dyDescent="0.3">
      <c r="A124" s="6" t="s">
        <v>2904</v>
      </c>
      <c r="B124" s="6" t="str">
        <f>VLOOKUP(LD_01[[#This Row],[DOCUMENTO]],_xlfn.SORTBY(ARQUIVOS_RECEBIDOS!$E$2:$F$5010,ARQUIVOS_RECEBIDOS!$F$2:$F$5010,-1),2,)</f>
        <v>R04</v>
      </c>
      <c r="C124" s="15" t="s">
        <v>5987</v>
      </c>
      <c r="D124" s="6" t="s">
        <v>4310</v>
      </c>
      <c r="E124" s="8" t="s">
        <v>4076</v>
      </c>
      <c r="F124" s="8" t="s">
        <v>4142</v>
      </c>
      <c r="G124" s="6" t="str">
        <f>_xlfn.XLOOKUP(LD_01[[#This Row],[DISCIPLINA]],'CLASSES DE PROJETOS'!$F$3:$F$37,'CLASSES DE PROJETOS'!$C$3:$C$37)</f>
        <v>DR</v>
      </c>
      <c r="H124" t="str">
        <f>_xlfn.TEXTJOIN("/",TRUE,"MSV-163MS-"&amp;LD_01[[#This Row],[TRECHO]],_xlfn.XLOOKUP(LD_01[[#This Row],[SIGLA]],'CLASSES DE PROJETOS'!$C$3:$C$37,'CLASSES DE PROJETOS'!$E$3:$E$37))</f>
        <v>MSV-163MS-454-460/10.DR</v>
      </c>
      <c r="I124" s="6" t="str" cm="1">
        <f t="array" ref="I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J124" s="6" t="str" cm="1">
        <f t="array" ref="J124">_xlfn.TEXTJOIN(", ",TRUE,_xlfn.UNIQUE(_xlfn._xlws.FILTER(ARQUIVOS_RECEBIDOS!$F$2:$F$5010,ARQUIVOS_RECEBIDOS!$E$2:$E$5010=LD_01[[#This Row],[DOCUMENTO]])))</f>
        <v>R04</v>
      </c>
      <c r="K124" s="12" cm="1">
        <f t="array" ref="K124">_xlfn.UNIQUE(_xlfn._xlws.FILTER(ARQUIVOS[DATA RECEBIMENTO],(ARQUIVOS[DOCUMENTO]=LD_01[[#This Row],[DOCUMENTO]])*(ARQUIVOS[REVISÃO]=LD_01[[#This Row],[REVISÃO]])))</f>
        <v>45838</v>
      </c>
      <c r="L1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M124" s="6" t="str">
        <f>LD_01[[#This Row],[PASTA]]&amp;"/"&amp;LD_01[[#This Row],[ARQUIVO]]</f>
        <v>MSV-163MS-454-460/10.DR/MSV-163MS-454-460-ACA-EXE-DE-H2-009-R04.pdf</v>
      </c>
    </row>
    <row r="125" spans="1:13" hidden="1" x14ac:dyDescent="0.3">
      <c r="A125" s="6" t="s">
        <v>2905</v>
      </c>
      <c r="B125" s="6" t="str">
        <f>VLOOKUP(LD_01[[#This Row],[DOCUMENTO]],_xlfn.SORTBY(ARQUIVOS_RECEBIDOS!$E$2:$F$5010,ARQUIVOS_RECEBIDOS!$F$2:$F$5010,-1),2,)</f>
        <v>R04</v>
      </c>
      <c r="C125" s="15" t="s">
        <v>5987</v>
      </c>
      <c r="D125" s="6" t="s">
        <v>4310</v>
      </c>
      <c r="E125" s="8" t="s">
        <v>4076</v>
      </c>
      <c r="F125" s="8" t="s">
        <v>4142</v>
      </c>
      <c r="G125" s="6" t="str">
        <f>_xlfn.XLOOKUP(LD_01[[#This Row],[DISCIPLINA]],'CLASSES DE PROJETOS'!$F$3:$F$37,'CLASSES DE PROJETOS'!$C$3:$C$37)</f>
        <v>DR</v>
      </c>
      <c r="H125" t="str">
        <f>_xlfn.TEXTJOIN("/",TRUE,"MSV-163MS-"&amp;LD_01[[#This Row],[TRECHO]],_xlfn.XLOOKUP(LD_01[[#This Row],[SIGLA]],'CLASSES DE PROJETOS'!$C$3:$C$37,'CLASSES DE PROJETOS'!$E$3:$E$37))</f>
        <v>MSV-163MS-454-460/10.DR</v>
      </c>
      <c r="I125" s="6" t="str" cm="1">
        <f t="array" ref="I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J125" s="6" t="str" cm="1">
        <f t="array" ref="J125">_xlfn.TEXTJOIN(", ",TRUE,_xlfn.UNIQUE(_xlfn._xlws.FILTER(ARQUIVOS_RECEBIDOS!$F$2:$F$5010,ARQUIVOS_RECEBIDOS!$E$2:$E$5010=LD_01[[#This Row],[DOCUMENTO]])))</f>
        <v>R04</v>
      </c>
      <c r="K125" s="12" cm="1">
        <f t="array" ref="K125">_xlfn.UNIQUE(_xlfn._xlws.FILTER(ARQUIVOS[DATA RECEBIMENTO],(ARQUIVOS[DOCUMENTO]=LD_01[[#This Row],[DOCUMENTO]])*(ARQUIVOS[REVISÃO]=LD_01[[#This Row],[REVISÃO]])))</f>
        <v>45838</v>
      </c>
      <c r="L1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M125" s="6" t="str">
        <f>LD_01[[#This Row],[PASTA]]&amp;"/"&amp;LD_01[[#This Row],[ARQUIVO]]</f>
        <v>MSV-163MS-454-460/10.DR/MSV-163MS-454-460-ACA-EXE-DE-H2-010-R04.pdf</v>
      </c>
    </row>
    <row r="126" spans="1:13" hidden="1" x14ac:dyDescent="0.3">
      <c r="A126" s="6" t="s">
        <v>2906</v>
      </c>
      <c r="B126" s="6" t="str">
        <f>VLOOKUP(LD_01[[#This Row],[DOCUMENTO]],_xlfn.SORTBY(ARQUIVOS_RECEBIDOS!$E$2:$F$5010,ARQUIVOS_RECEBIDOS!$F$2:$F$5010,-1),2,)</f>
        <v>R03</v>
      </c>
      <c r="C126" s="15" t="s">
        <v>5987</v>
      </c>
      <c r="D126" s="6" t="s">
        <v>4310</v>
      </c>
      <c r="E126" s="8" t="s">
        <v>4076</v>
      </c>
      <c r="F126" s="8" t="s">
        <v>4142</v>
      </c>
      <c r="G126" s="6" t="str">
        <f>_xlfn.XLOOKUP(LD_01[[#This Row],[DISCIPLINA]],'CLASSES DE PROJETOS'!$F$3:$F$37,'CLASSES DE PROJETOS'!$C$3:$C$37)</f>
        <v>DR</v>
      </c>
      <c r="H126" t="str">
        <f>_xlfn.TEXTJOIN("/",TRUE,"MSV-163MS-"&amp;LD_01[[#This Row],[TRECHO]],_xlfn.XLOOKUP(LD_01[[#This Row],[SIGLA]],'CLASSES DE PROJETOS'!$C$3:$C$37,'CLASSES DE PROJETOS'!$E$3:$E$37))</f>
        <v>MSV-163MS-454-460/10.DR</v>
      </c>
      <c r="I126" s="6" t="str" cm="1">
        <f t="array" ref="I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J126" s="6" t="str" cm="1">
        <f t="array" ref="J126">_xlfn.TEXTJOIN(", ",TRUE,_xlfn.UNIQUE(_xlfn._xlws.FILTER(ARQUIVOS_RECEBIDOS!$F$2:$F$5010,ARQUIVOS_RECEBIDOS!$E$2:$E$5010=LD_01[[#This Row],[DOCUMENTO]])))</f>
        <v>R03</v>
      </c>
      <c r="K126" s="12" cm="1">
        <f t="array" ref="K126">_xlfn.UNIQUE(_xlfn._xlws.FILTER(ARQUIVOS[DATA RECEBIMENTO],(ARQUIVOS[DOCUMENTO]=LD_01[[#This Row],[DOCUMENTO]])*(ARQUIVOS[REVISÃO]=LD_01[[#This Row],[REVISÃO]])))</f>
        <v>45838</v>
      </c>
      <c r="L1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M126" s="6" t="str">
        <f>LD_01[[#This Row],[PASTA]]&amp;"/"&amp;LD_01[[#This Row],[ARQUIVO]]</f>
        <v>MSV-163MS-454-460/10.DR/MSV-163MS-454-460-ACA-EXE-DE-H2-011-R03.pdf</v>
      </c>
    </row>
    <row r="127" spans="1:13" hidden="1" x14ac:dyDescent="0.3">
      <c r="A127" s="6" t="s">
        <v>2907</v>
      </c>
      <c r="B127" s="6" t="str">
        <f>VLOOKUP(LD_01[[#This Row],[DOCUMENTO]],_xlfn.SORTBY(ARQUIVOS_RECEBIDOS!$E$2:$F$5010,ARQUIVOS_RECEBIDOS!$F$2:$F$5010,-1),2,)</f>
        <v>R05</v>
      </c>
      <c r="C127" s="15" t="s">
        <v>5987</v>
      </c>
      <c r="D127" s="6" t="s">
        <v>4310</v>
      </c>
      <c r="E127" s="8" t="s">
        <v>4078</v>
      </c>
      <c r="F127" s="8" t="s">
        <v>4142</v>
      </c>
      <c r="G127" s="6" t="str">
        <f>_xlfn.XLOOKUP(LD_01[[#This Row],[DISCIPLINA]],'CLASSES DE PROJETOS'!$F$3:$F$37,'CLASSES DE PROJETOS'!$C$3:$C$37)</f>
        <v>DR</v>
      </c>
      <c r="H127" t="str">
        <f>_xlfn.TEXTJOIN("/",TRUE,"MSV-163MS-"&amp;LD_01[[#This Row],[TRECHO]],_xlfn.XLOOKUP(LD_01[[#This Row],[SIGLA]],'CLASSES DE PROJETOS'!$C$3:$C$37,'CLASSES DE PROJETOS'!$E$3:$E$37))</f>
        <v>MSV-163MS-454-460/10.DR</v>
      </c>
      <c r="I127" s="6" t="str" cm="1">
        <f t="array" ref="I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J127" s="6" t="str" cm="1">
        <f t="array" ref="J127">_xlfn.TEXTJOIN(", ",TRUE,_xlfn.UNIQUE(_xlfn._xlws.FILTER(ARQUIVOS_RECEBIDOS!$F$2:$F$5010,ARQUIVOS_RECEBIDOS!$E$2:$E$5010=LD_01[[#This Row],[DOCUMENTO]])))</f>
        <v>R04, R05</v>
      </c>
      <c r="K127" s="12" cm="1">
        <f t="array" ref="K127">_xlfn.UNIQUE(_xlfn._xlws.FILTER(ARQUIVOS[DATA RECEBIMENTO],(ARQUIVOS[DOCUMENTO]=LD_01[[#This Row],[DOCUMENTO]])*(ARQUIVOS[REVISÃO]=LD_01[[#This Row],[REVISÃO]])))</f>
        <v>45895</v>
      </c>
      <c r="L1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M127" s="6" t="str">
        <f>LD_01[[#This Row],[PASTA]]&amp;"/"&amp;LD_01[[#This Row],[ARQUIVO]]</f>
        <v>MSV-163MS-454-460/10.DR/MSV-163MS-454-460-ACA-EXE-DE-H2-012-R05.pdf</v>
      </c>
    </row>
    <row r="128" spans="1:13" hidden="1" x14ac:dyDescent="0.3">
      <c r="A128" s="6" t="s">
        <v>2908</v>
      </c>
      <c r="B128" s="6" t="str">
        <f>VLOOKUP(LD_01[[#This Row],[DOCUMENTO]],_xlfn.SORTBY(ARQUIVOS_RECEBIDOS!$E$2:$F$5010,ARQUIVOS_RECEBIDOS!$F$2:$F$5010,-1),2,)</f>
        <v>R07</v>
      </c>
      <c r="C128" s="15" t="s">
        <v>5987</v>
      </c>
      <c r="D128" s="6" t="s">
        <v>4310</v>
      </c>
      <c r="E128" s="8" t="s">
        <v>4078</v>
      </c>
      <c r="F128" s="8" t="s">
        <v>4142</v>
      </c>
      <c r="G128" s="6" t="str">
        <f>_xlfn.XLOOKUP(LD_01[[#This Row],[DISCIPLINA]],'CLASSES DE PROJETOS'!$F$3:$F$37,'CLASSES DE PROJETOS'!$C$3:$C$37)</f>
        <v>DR</v>
      </c>
      <c r="H128" t="str">
        <f>_xlfn.TEXTJOIN("/",TRUE,"MSV-163MS-"&amp;LD_01[[#This Row],[TRECHO]],_xlfn.XLOOKUP(LD_01[[#This Row],[SIGLA]],'CLASSES DE PROJETOS'!$C$3:$C$37,'CLASSES DE PROJETOS'!$E$3:$E$37))</f>
        <v>MSV-163MS-454-460/10.DR</v>
      </c>
      <c r="I128" s="6" t="str" cm="1">
        <f t="array" ref="I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J128" s="6" t="str" cm="1">
        <f t="array" ref="J128">_xlfn.TEXTJOIN(", ",TRUE,_xlfn.UNIQUE(_xlfn._xlws.FILTER(ARQUIVOS_RECEBIDOS!$F$2:$F$5010,ARQUIVOS_RECEBIDOS!$E$2:$E$5010=LD_01[[#This Row],[DOCUMENTO]])))</f>
        <v>R06, R07</v>
      </c>
      <c r="K128" s="12" cm="1">
        <f t="array" ref="K128">_xlfn.UNIQUE(_xlfn._xlws.FILTER(ARQUIVOS[DATA RECEBIMENTO],(ARQUIVOS[DOCUMENTO]=LD_01[[#This Row],[DOCUMENTO]])*(ARQUIVOS[REVISÃO]=LD_01[[#This Row],[REVISÃO]])))</f>
        <v>45895</v>
      </c>
      <c r="L1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M128" s="6" t="str">
        <f>LD_01[[#This Row],[PASTA]]&amp;"/"&amp;LD_01[[#This Row],[ARQUIVO]]</f>
        <v>MSV-163MS-454-460/10.DR/MSV-163MS-454-460-ACA-EXE-DE-H2-013-R07.pdf</v>
      </c>
    </row>
    <row r="129" spans="1:13" ht="57.6" hidden="1" x14ac:dyDescent="0.3">
      <c r="A129" s="6" t="s">
        <v>2909</v>
      </c>
      <c r="B129" s="6" t="str">
        <f>VLOOKUP(LD_01[[#This Row],[DOCUMENTO]],_xlfn.SORTBY(ARQUIVOS_RECEBIDOS!$E$2:$F$5010,ARQUIVOS_RECEBIDOS!$F$2:$F$5010,-1),2,)</f>
        <v>R05</v>
      </c>
      <c r="C129" s="15" t="s">
        <v>5987</v>
      </c>
      <c r="D129" s="6" t="s">
        <v>4310</v>
      </c>
      <c r="E129" s="8" t="s">
        <v>4097</v>
      </c>
      <c r="F129" s="8" t="s">
        <v>4142</v>
      </c>
      <c r="G129" s="6" t="str">
        <f>_xlfn.XLOOKUP(LD_01[[#This Row],[DISCIPLINA]],'CLASSES DE PROJETOS'!$F$3:$F$37,'CLASSES DE PROJETOS'!$C$3:$C$37)</f>
        <v>DR</v>
      </c>
      <c r="H129" t="str">
        <f>_xlfn.TEXTJOIN("/",TRUE,"MSV-163MS-"&amp;LD_01[[#This Row],[TRECHO]],_xlfn.XLOOKUP(LD_01[[#This Row],[SIGLA]],'CLASSES DE PROJETOS'!$C$3:$C$37,'CLASSES DE PROJETOS'!$E$3:$E$37))</f>
        <v>MSV-163MS-454-460/10.DR</v>
      </c>
      <c r="I129" s="6" t="str" cm="1">
        <f t="array" ref="I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J129" s="6" t="str" cm="1">
        <f t="array" ref="J129">_xlfn.TEXTJOIN(", ",TRUE,_xlfn.UNIQUE(_xlfn._xlws.FILTER(ARQUIVOS_RECEBIDOS!$F$2:$F$5010,ARQUIVOS_RECEBIDOS!$E$2:$E$5010=LD_01[[#This Row],[DOCUMENTO]])))</f>
        <v>R04, R05</v>
      </c>
      <c r="K129" s="12" cm="1">
        <f t="array" ref="K129">_xlfn.UNIQUE(_xlfn._xlws.FILTER(ARQUIVOS[DATA RECEBIMENTO],(ARQUIVOS[DOCUMENTO]=LD_01[[#This Row],[DOCUMENTO]])*(ARQUIVOS[REVISÃO]=LD_01[[#This Row],[REVISÃO]])))</f>
        <v>45895</v>
      </c>
      <c r="L1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M129" s="6" t="str">
        <f>LD_01[[#This Row],[PASTA]]&amp;"/"&amp;LD_01[[#This Row],[ARQUIVO]]</f>
        <v>MSV-163MS-454-460/10.DR/MSV-163MS-454-460-ACA-EXE-DE-H2-101-R05.pdf</v>
      </c>
    </row>
    <row r="130" spans="1:13" ht="43.2" hidden="1" x14ac:dyDescent="0.3">
      <c r="A130" s="6" t="s">
        <v>2910</v>
      </c>
      <c r="B130" s="6" t="str">
        <f>VLOOKUP(LD_01[[#This Row],[DOCUMENTO]],_xlfn.SORTBY(ARQUIVOS_RECEBIDOS!$E$2:$F$5010,ARQUIVOS_RECEBIDOS!$F$2:$F$5010,-1),2,)</f>
        <v>R00</v>
      </c>
      <c r="C130" s="15" t="s">
        <v>5987</v>
      </c>
      <c r="D130" s="6" t="s">
        <v>4310</v>
      </c>
      <c r="E130" s="8" t="s">
        <v>4098</v>
      </c>
      <c r="F130" s="8" t="s">
        <v>4142</v>
      </c>
      <c r="G130" s="6" t="str">
        <f>_xlfn.XLOOKUP(LD_01[[#This Row],[DISCIPLINA]],'CLASSES DE PROJETOS'!$F$3:$F$37,'CLASSES DE PROJETOS'!$C$3:$C$37)</f>
        <v>DR</v>
      </c>
      <c r="H130" t="str">
        <f>_xlfn.TEXTJOIN("/",TRUE,"MSV-163MS-"&amp;LD_01[[#This Row],[TRECHO]],_xlfn.XLOOKUP(LD_01[[#This Row],[SIGLA]],'CLASSES DE PROJETOS'!$C$3:$C$37,'CLASSES DE PROJETOS'!$E$3:$E$37))</f>
        <v>MSV-163MS-454-460/10.DR</v>
      </c>
      <c r="I130" s="6" t="str" cm="1">
        <f t="array" ref="I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J130" s="6" t="str" cm="1">
        <f t="array" ref="J130">_xlfn.TEXTJOIN(", ",TRUE,_xlfn.UNIQUE(_xlfn._xlws.FILTER(ARQUIVOS_RECEBIDOS!$F$2:$F$5010,ARQUIVOS_RECEBIDOS!$E$2:$E$5010=LD_01[[#This Row],[DOCUMENTO]])))</f>
        <v>R00</v>
      </c>
      <c r="K130" s="12" cm="1">
        <f t="array" ref="K130">_xlfn.UNIQUE(_xlfn._xlws.FILTER(ARQUIVOS[DATA RECEBIMENTO],(ARQUIVOS[DOCUMENTO]=LD_01[[#This Row],[DOCUMENTO]])*(ARQUIVOS[REVISÃO]=LD_01[[#This Row],[REVISÃO]])))</f>
        <v>45838</v>
      </c>
      <c r="L1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M130" s="6" t="str">
        <f>LD_01[[#This Row],[PASTA]]&amp;"/"&amp;LD_01[[#This Row],[ARQUIVO]]</f>
        <v>MSV-163MS-454-460/10.DR/MSV-163MS-454-460-ACA-EXE-DE-H2-102-R00.pdf</v>
      </c>
    </row>
    <row r="131" spans="1:13" ht="57.6" hidden="1" x14ac:dyDescent="0.3">
      <c r="A131" s="6" t="s">
        <v>2911</v>
      </c>
      <c r="B131" s="6" t="str">
        <f>VLOOKUP(LD_01[[#This Row],[DOCUMENTO]],_xlfn.SORTBY(ARQUIVOS_RECEBIDOS!$E$2:$F$5010,ARQUIVOS_RECEBIDOS!$F$2:$F$5010,-1),2,)</f>
        <v>R00</v>
      </c>
      <c r="C131" s="15" t="s">
        <v>5987</v>
      </c>
      <c r="D131" s="6" t="s">
        <v>4310</v>
      </c>
      <c r="E131" s="8" t="s">
        <v>4099</v>
      </c>
      <c r="F131" s="8" t="s">
        <v>4142</v>
      </c>
      <c r="G131" s="6" t="str">
        <f>_xlfn.XLOOKUP(LD_01[[#This Row],[DISCIPLINA]],'CLASSES DE PROJETOS'!$F$3:$F$37,'CLASSES DE PROJETOS'!$C$3:$C$37)</f>
        <v>DR</v>
      </c>
      <c r="H131" t="str">
        <f>_xlfn.TEXTJOIN("/",TRUE,"MSV-163MS-"&amp;LD_01[[#This Row],[TRECHO]],_xlfn.XLOOKUP(LD_01[[#This Row],[SIGLA]],'CLASSES DE PROJETOS'!$C$3:$C$37,'CLASSES DE PROJETOS'!$E$3:$E$37))</f>
        <v>MSV-163MS-454-460/10.DR</v>
      </c>
      <c r="I131" s="6" t="str" cm="1">
        <f t="array" ref="I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J131" s="6" t="str" cm="1">
        <f t="array" ref="J131">_xlfn.TEXTJOIN(", ",TRUE,_xlfn.UNIQUE(_xlfn._xlws.FILTER(ARQUIVOS_RECEBIDOS!$F$2:$F$5010,ARQUIVOS_RECEBIDOS!$E$2:$E$5010=LD_01[[#This Row],[DOCUMENTO]])))</f>
        <v>R00</v>
      </c>
      <c r="K131" s="12" cm="1">
        <f t="array" ref="K131">_xlfn.UNIQUE(_xlfn._xlws.FILTER(ARQUIVOS[DATA RECEBIMENTO],(ARQUIVOS[DOCUMENTO]=LD_01[[#This Row],[DOCUMENTO]])*(ARQUIVOS[REVISÃO]=LD_01[[#This Row],[REVISÃO]])))</f>
        <v>45838</v>
      </c>
      <c r="L1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M131" s="6" t="str">
        <f>LD_01[[#This Row],[PASTA]]&amp;"/"&amp;LD_01[[#This Row],[ARQUIVO]]</f>
        <v>MSV-163MS-454-460/10.DR/MSV-163MS-454-460-ACA-EXE-DE-H2-103-R00.pdf</v>
      </c>
    </row>
    <row r="132" spans="1:13" ht="57.6" hidden="1" x14ac:dyDescent="0.3">
      <c r="A132" s="6" t="s">
        <v>2912</v>
      </c>
      <c r="B132" s="6" t="str">
        <f>VLOOKUP(LD_01[[#This Row],[DOCUMENTO]],_xlfn.SORTBY(ARQUIVOS_RECEBIDOS!$E$2:$F$5010,ARQUIVOS_RECEBIDOS!$F$2:$F$5010,-1),2,)</f>
        <v>R00</v>
      </c>
      <c r="C132" s="15" t="s">
        <v>5987</v>
      </c>
      <c r="D132" s="6" t="s">
        <v>4310</v>
      </c>
      <c r="E132" s="8" t="s">
        <v>4100</v>
      </c>
      <c r="F132" s="8" t="s">
        <v>4142</v>
      </c>
      <c r="G132" s="6" t="str">
        <f>_xlfn.XLOOKUP(LD_01[[#This Row],[DISCIPLINA]],'CLASSES DE PROJETOS'!$F$3:$F$37,'CLASSES DE PROJETOS'!$C$3:$C$37)</f>
        <v>DR</v>
      </c>
      <c r="H132" t="str">
        <f>_xlfn.TEXTJOIN("/",TRUE,"MSV-163MS-"&amp;LD_01[[#This Row],[TRECHO]],_xlfn.XLOOKUP(LD_01[[#This Row],[SIGLA]],'CLASSES DE PROJETOS'!$C$3:$C$37,'CLASSES DE PROJETOS'!$E$3:$E$37))</f>
        <v>MSV-163MS-454-460/10.DR</v>
      </c>
      <c r="I132" s="6" t="str" cm="1">
        <f t="array" ref="I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J132" s="6" t="str" cm="1">
        <f t="array" ref="J132">_xlfn.TEXTJOIN(", ",TRUE,_xlfn.UNIQUE(_xlfn._xlws.FILTER(ARQUIVOS_RECEBIDOS!$F$2:$F$5010,ARQUIVOS_RECEBIDOS!$E$2:$E$5010=LD_01[[#This Row],[DOCUMENTO]])))</f>
        <v>R00</v>
      </c>
      <c r="K132" s="12" cm="1">
        <f t="array" ref="K132">_xlfn.UNIQUE(_xlfn._xlws.FILTER(ARQUIVOS[DATA RECEBIMENTO],(ARQUIVOS[DOCUMENTO]=LD_01[[#This Row],[DOCUMENTO]])*(ARQUIVOS[REVISÃO]=LD_01[[#This Row],[REVISÃO]])))</f>
        <v>45838</v>
      </c>
      <c r="L1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M132" s="6" t="str">
        <f>LD_01[[#This Row],[PASTA]]&amp;"/"&amp;LD_01[[#This Row],[ARQUIVO]]</f>
        <v>MSV-163MS-454-460/10.DR/MSV-163MS-454-460-ACA-EXE-DE-H2-104-R00.pdf</v>
      </c>
    </row>
    <row r="133" spans="1:13" ht="43.2" hidden="1" x14ac:dyDescent="0.3">
      <c r="A133" s="6" t="s">
        <v>2913</v>
      </c>
      <c r="B133" s="6" t="str">
        <f>VLOOKUP(LD_01[[#This Row],[DOCUMENTO]],_xlfn.SORTBY(ARQUIVOS_RECEBIDOS!$E$2:$F$5010,ARQUIVOS_RECEBIDOS!$F$2:$F$5010,-1),2,)</f>
        <v>R02</v>
      </c>
      <c r="C133" s="15" t="s">
        <v>5987</v>
      </c>
      <c r="D133" s="6" t="s">
        <v>4310</v>
      </c>
      <c r="E133" s="8" t="s">
        <v>4101</v>
      </c>
      <c r="F133" s="8" t="s">
        <v>4142</v>
      </c>
      <c r="G133" s="6" t="str">
        <f>_xlfn.XLOOKUP(LD_01[[#This Row],[DISCIPLINA]],'CLASSES DE PROJETOS'!$F$3:$F$37,'CLASSES DE PROJETOS'!$C$3:$C$37)</f>
        <v>DR</v>
      </c>
      <c r="H133" t="str">
        <f>_xlfn.TEXTJOIN("/",TRUE,"MSV-163MS-"&amp;LD_01[[#This Row],[TRECHO]],_xlfn.XLOOKUP(LD_01[[#This Row],[SIGLA]],'CLASSES DE PROJETOS'!$C$3:$C$37,'CLASSES DE PROJETOS'!$E$3:$E$37))</f>
        <v>MSV-163MS-454-460/10.DR</v>
      </c>
      <c r="I133" s="6" t="str" cm="1">
        <f t="array" ref="I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J133" s="6" t="str" cm="1">
        <f t="array" ref="J133">_xlfn.TEXTJOIN(", ",TRUE,_xlfn.UNIQUE(_xlfn._xlws.FILTER(ARQUIVOS_RECEBIDOS!$F$2:$F$5010,ARQUIVOS_RECEBIDOS!$E$2:$E$5010=LD_01[[#This Row],[DOCUMENTO]])))</f>
        <v>R01, R02</v>
      </c>
      <c r="K133" s="12" cm="1">
        <f t="array" ref="K133">_xlfn.UNIQUE(_xlfn._xlws.FILTER(ARQUIVOS[DATA RECEBIMENTO],(ARQUIVOS[DOCUMENTO]=LD_01[[#This Row],[DOCUMENTO]])*(ARQUIVOS[REVISÃO]=LD_01[[#This Row],[REVISÃO]])))</f>
        <v>45895</v>
      </c>
      <c r="L1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M133" s="6" t="str">
        <f>LD_01[[#This Row],[PASTA]]&amp;"/"&amp;LD_01[[#This Row],[ARQUIVO]]</f>
        <v>MSV-163MS-454-460/10.DR/MSV-163MS-454-460-ACA-EXE-DE-H2-107-R02.pdf</v>
      </c>
    </row>
    <row r="134" spans="1:13" hidden="1" x14ac:dyDescent="0.3">
      <c r="A134" s="6" t="s">
        <v>2927</v>
      </c>
      <c r="B134" s="6" t="str">
        <f>VLOOKUP(LD_01[[#This Row],[DOCUMENTO]],_xlfn.SORTBY(ARQUIVOS_RECEBIDOS!$E$2:$F$5010,ARQUIVOS_RECEBIDOS!$F$2:$F$5010,-1),2,)</f>
        <v>R02</v>
      </c>
      <c r="C134" s="15" t="s">
        <v>5987</v>
      </c>
      <c r="D134" s="6" t="s">
        <v>4310</v>
      </c>
      <c r="E134" s="8" t="s">
        <v>4087</v>
      </c>
      <c r="F134" s="8" t="s">
        <v>4143</v>
      </c>
      <c r="G134" s="6" t="str">
        <f>_xlfn.XLOOKUP(LD_01[[#This Row],[DISCIPLINA]],'CLASSES DE PROJETOS'!$F$3:$F$37,'CLASSES DE PROJETOS'!$C$3:$C$37)</f>
        <v>PV</v>
      </c>
      <c r="H134" t="str">
        <f>_xlfn.TEXTJOIN("/",TRUE,"MSV-163MS-"&amp;LD_01[[#This Row],[TRECHO]],_xlfn.XLOOKUP(LD_01[[#This Row],[SIGLA]],'CLASSES DE PROJETOS'!$C$3:$C$37,'CLASSES DE PROJETOS'!$E$3:$E$37))</f>
        <v>MSV-163MS-454-460/28.PV</v>
      </c>
      <c r="I134" s="6" t="str" cm="1">
        <f t="array" ref="I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J134" s="6" t="str" cm="1">
        <f t="array" ref="J134">_xlfn.TEXTJOIN(", ",TRUE,_xlfn.UNIQUE(_xlfn._xlws.FILTER(ARQUIVOS_RECEBIDOS!$F$2:$F$5010,ARQUIVOS_RECEBIDOS!$E$2:$E$5010=LD_01[[#This Row],[DOCUMENTO]])))</f>
        <v>R02</v>
      </c>
      <c r="K134" s="12" cm="1">
        <f t="array" ref="K134">_xlfn.UNIQUE(_xlfn._xlws.FILTER(ARQUIVOS[DATA RECEBIMENTO],(ARQUIVOS[DOCUMENTO]=LD_01[[#This Row],[DOCUMENTO]])*(ARQUIVOS[REVISÃO]=LD_01[[#This Row],[REVISÃO]])))</f>
        <v>45838</v>
      </c>
      <c r="L1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M134" s="6" t="str">
        <f>LD_01[[#This Row],[PASTA]]&amp;"/"&amp;LD_01[[#This Row],[ARQUIVO]]</f>
        <v>MSV-163MS-454-460/28.PV/MSV-163MS-454-460-ACA-EXE-DE-I2-001-R02.pdf</v>
      </c>
    </row>
    <row r="135" spans="1:13" hidden="1" x14ac:dyDescent="0.3">
      <c r="A135" s="6" t="s">
        <v>2928</v>
      </c>
      <c r="B135" s="6" t="str">
        <f>VLOOKUP(LD_01[[#This Row],[DOCUMENTO]],_xlfn.SORTBY(ARQUIVOS_RECEBIDOS!$E$2:$F$5010,ARQUIVOS_RECEBIDOS!$F$2:$F$5010,-1),2,)</f>
        <v>R03</v>
      </c>
      <c r="C135" s="15" t="s">
        <v>5987</v>
      </c>
      <c r="D135" s="6" t="s">
        <v>4310</v>
      </c>
      <c r="E135" s="8" t="s">
        <v>4087</v>
      </c>
      <c r="F135" s="8" t="s">
        <v>4143</v>
      </c>
      <c r="G135" s="6" t="str">
        <f>_xlfn.XLOOKUP(LD_01[[#This Row],[DISCIPLINA]],'CLASSES DE PROJETOS'!$F$3:$F$37,'CLASSES DE PROJETOS'!$C$3:$C$37)</f>
        <v>PV</v>
      </c>
      <c r="H135" t="str">
        <f>_xlfn.TEXTJOIN("/",TRUE,"MSV-163MS-"&amp;LD_01[[#This Row],[TRECHO]],_xlfn.XLOOKUP(LD_01[[#This Row],[SIGLA]],'CLASSES DE PROJETOS'!$C$3:$C$37,'CLASSES DE PROJETOS'!$E$3:$E$37))</f>
        <v>MSV-163MS-454-460/28.PV</v>
      </c>
      <c r="I135" s="6" t="str" cm="1">
        <f t="array" ref="I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J135" s="6" t="str" cm="1">
        <f t="array" ref="J135">_xlfn.TEXTJOIN(", ",TRUE,_xlfn.UNIQUE(_xlfn._xlws.FILTER(ARQUIVOS_RECEBIDOS!$F$2:$F$5010,ARQUIVOS_RECEBIDOS!$E$2:$E$5010=LD_01[[#This Row],[DOCUMENTO]])))</f>
        <v>R02, R03</v>
      </c>
      <c r="K135" s="12" cm="1">
        <f t="array" ref="K135">_xlfn.UNIQUE(_xlfn._xlws.FILTER(ARQUIVOS[DATA RECEBIMENTO],(ARQUIVOS[DOCUMENTO]=LD_01[[#This Row],[DOCUMENTO]])*(ARQUIVOS[REVISÃO]=LD_01[[#This Row],[REVISÃO]])))</f>
        <v>45895</v>
      </c>
      <c r="L1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M135" s="6" t="str">
        <f>LD_01[[#This Row],[PASTA]]&amp;"/"&amp;LD_01[[#This Row],[ARQUIVO]]</f>
        <v>MSV-163MS-454-460/28.PV/MSV-163MS-454-460-ACA-EXE-DE-I2-002-R03.pdf</v>
      </c>
    </row>
    <row r="136" spans="1:13" hidden="1" x14ac:dyDescent="0.3">
      <c r="A136" s="6" t="s">
        <v>2929</v>
      </c>
      <c r="B136" s="6" t="str">
        <f>VLOOKUP(LD_01[[#This Row],[DOCUMENTO]],_xlfn.SORTBY(ARQUIVOS_RECEBIDOS!$E$2:$F$5010,ARQUIVOS_RECEBIDOS!$F$2:$F$5010,-1),2,)</f>
        <v>R02</v>
      </c>
      <c r="C136" s="15" t="s">
        <v>5987</v>
      </c>
      <c r="D136" s="6" t="s">
        <v>4310</v>
      </c>
      <c r="E136" s="8" t="s">
        <v>4087</v>
      </c>
      <c r="F136" s="8" t="s">
        <v>4143</v>
      </c>
      <c r="G136" s="6" t="str">
        <f>_xlfn.XLOOKUP(LD_01[[#This Row],[DISCIPLINA]],'CLASSES DE PROJETOS'!$F$3:$F$37,'CLASSES DE PROJETOS'!$C$3:$C$37)</f>
        <v>PV</v>
      </c>
      <c r="H136" t="str">
        <f>_xlfn.TEXTJOIN("/",TRUE,"MSV-163MS-"&amp;LD_01[[#This Row],[TRECHO]],_xlfn.XLOOKUP(LD_01[[#This Row],[SIGLA]],'CLASSES DE PROJETOS'!$C$3:$C$37,'CLASSES DE PROJETOS'!$E$3:$E$37))</f>
        <v>MSV-163MS-454-460/28.PV</v>
      </c>
      <c r="I136" s="6" t="str" cm="1">
        <f t="array" ref="I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J136" s="6" t="str" cm="1">
        <f t="array" ref="J136">_xlfn.TEXTJOIN(", ",TRUE,_xlfn.UNIQUE(_xlfn._xlws.FILTER(ARQUIVOS_RECEBIDOS!$F$2:$F$5010,ARQUIVOS_RECEBIDOS!$E$2:$E$5010=LD_01[[#This Row],[DOCUMENTO]])))</f>
        <v>R02</v>
      </c>
      <c r="K136" s="12" cm="1">
        <f t="array" ref="K136">_xlfn.UNIQUE(_xlfn._xlws.FILTER(ARQUIVOS[DATA RECEBIMENTO],(ARQUIVOS[DOCUMENTO]=LD_01[[#This Row],[DOCUMENTO]])*(ARQUIVOS[REVISÃO]=LD_01[[#This Row],[REVISÃO]])))</f>
        <v>45838</v>
      </c>
      <c r="L1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M136" s="6" t="str">
        <f>LD_01[[#This Row],[PASTA]]&amp;"/"&amp;LD_01[[#This Row],[ARQUIVO]]</f>
        <v>MSV-163MS-454-460/28.PV/MSV-163MS-454-460-ACA-EXE-DE-I2-003-R02.pdf</v>
      </c>
    </row>
    <row r="137" spans="1:13" hidden="1" x14ac:dyDescent="0.3">
      <c r="A137" s="6" t="s">
        <v>2930</v>
      </c>
      <c r="B137" s="6" t="str">
        <f>VLOOKUP(LD_01[[#This Row],[DOCUMENTO]],_xlfn.SORTBY(ARQUIVOS_RECEBIDOS!$E$2:$F$5010,ARQUIVOS_RECEBIDOS!$F$2:$F$5010,-1),2,)</f>
        <v>R02</v>
      </c>
      <c r="C137" s="15" t="s">
        <v>5987</v>
      </c>
      <c r="D137" s="6" t="s">
        <v>4310</v>
      </c>
      <c r="E137" s="8" t="s">
        <v>4087</v>
      </c>
      <c r="F137" s="8" t="s">
        <v>4143</v>
      </c>
      <c r="G137" s="6" t="str">
        <f>_xlfn.XLOOKUP(LD_01[[#This Row],[DISCIPLINA]],'CLASSES DE PROJETOS'!$F$3:$F$37,'CLASSES DE PROJETOS'!$C$3:$C$37)</f>
        <v>PV</v>
      </c>
      <c r="H137" t="str">
        <f>_xlfn.TEXTJOIN("/",TRUE,"MSV-163MS-"&amp;LD_01[[#This Row],[TRECHO]],_xlfn.XLOOKUP(LD_01[[#This Row],[SIGLA]],'CLASSES DE PROJETOS'!$C$3:$C$37,'CLASSES DE PROJETOS'!$E$3:$E$37))</f>
        <v>MSV-163MS-454-460/28.PV</v>
      </c>
      <c r="I137" s="6" t="str" cm="1">
        <f t="array" ref="I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J137" s="6" t="str" cm="1">
        <f t="array" ref="J137">_xlfn.TEXTJOIN(", ",TRUE,_xlfn.UNIQUE(_xlfn._xlws.FILTER(ARQUIVOS_RECEBIDOS!$F$2:$F$5010,ARQUIVOS_RECEBIDOS!$E$2:$E$5010=LD_01[[#This Row],[DOCUMENTO]])))</f>
        <v>R02</v>
      </c>
      <c r="K137" s="12" cm="1">
        <f t="array" ref="K137">_xlfn.UNIQUE(_xlfn._xlws.FILTER(ARQUIVOS[DATA RECEBIMENTO],(ARQUIVOS[DOCUMENTO]=LD_01[[#This Row],[DOCUMENTO]])*(ARQUIVOS[REVISÃO]=LD_01[[#This Row],[REVISÃO]])))</f>
        <v>45838</v>
      </c>
      <c r="L1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M137" s="6" t="str">
        <f>LD_01[[#This Row],[PASTA]]&amp;"/"&amp;LD_01[[#This Row],[ARQUIVO]]</f>
        <v>MSV-163MS-454-460/28.PV/MSV-163MS-454-460-ACA-EXE-DE-I2-004-R02.pdf</v>
      </c>
    </row>
    <row r="138" spans="1:13" hidden="1" x14ac:dyDescent="0.3">
      <c r="A138" s="6" t="s">
        <v>2931</v>
      </c>
      <c r="B138" s="6" t="str">
        <f>VLOOKUP(LD_01[[#This Row],[DOCUMENTO]],_xlfn.SORTBY(ARQUIVOS_RECEBIDOS!$E$2:$F$5010,ARQUIVOS_RECEBIDOS!$F$2:$F$5010,-1),2,)</f>
        <v>R03</v>
      </c>
      <c r="C138" s="15" t="s">
        <v>5987</v>
      </c>
      <c r="D138" s="6" t="s">
        <v>4310</v>
      </c>
      <c r="E138" s="8" t="s">
        <v>4087</v>
      </c>
      <c r="F138" s="8" t="s">
        <v>4143</v>
      </c>
      <c r="G138" s="6" t="str">
        <f>_xlfn.XLOOKUP(LD_01[[#This Row],[DISCIPLINA]],'CLASSES DE PROJETOS'!$F$3:$F$37,'CLASSES DE PROJETOS'!$C$3:$C$37)</f>
        <v>PV</v>
      </c>
      <c r="H138" t="str">
        <f>_xlfn.TEXTJOIN("/",TRUE,"MSV-163MS-"&amp;LD_01[[#This Row],[TRECHO]],_xlfn.XLOOKUP(LD_01[[#This Row],[SIGLA]],'CLASSES DE PROJETOS'!$C$3:$C$37,'CLASSES DE PROJETOS'!$E$3:$E$37))</f>
        <v>MSV-163MS-454-460/28.PV</v>
      </c>
      <c r="I138" s="6" t="str" cm="1">
        <f t="array" ref="I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J138" s="6" t="str" cm="1">
        <f t="array" ref="J138">_xlfn.TEXTJOIN(", ",TRUE,_xlfn.UNIQUE(_xlfn._xlws.FILTER(ARQUIVOS_RECEBIDOS!$F$2:$F$5010,ARQUIVOS_RECEBIDOS!$E$2:$E$5010=LD_01[[#This Row],[DOCUMENTO]])))</f>
        <v>R03</v>
      </c>
      <c r="K138" s="12" cm="1">
        <f t="array" ref="K138">_xlfn.UNIQUE(_xlfn._xlws.FILTER(ARQUIVOS[DATA RECEBIMENTO],(ARQUIVOS[DOCUMENTO]=LD_01[[#This Row],[DOCUMENTO]])*(ARQUIVOS[REVISÃO]=LD_01[[#This Row],[REVISÃO]])))</f>
        <v>45838</v>
      </c>
      <c r="L1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M138" s="6" t="str">
        <f>LD_01[[#This Row],[PASTA]]&amp;"/"&amp;LD_01[[#This Row],[ARQUIVO]]</f>
        <v>MSV-163MS-454-460/28.PV/MSV-163MS-454-460-ACA-EXE-DE-I2-005-R03.pdf</v>
      </c>
    </row>
    <row r="139" spans="1:13" hidden="1" x14ac:dyDescent="0.3">
      <c r="A139" s="6" t="s">
        <v>2932</v>
      </c>
      <c r="B139" s="6" t="str">
        <f>VLOOKUP(LD_01[[#This Row],[DOCUMENTO]],_xlfn.SORTBY(ARQUIVOS_RECEBIDOS!$E$2:$F$5010,ARQUIVOS_RECEBIDOS!$F$2:$F$5010,-1),2,)</f>
        <v>R03</v>
      </c>
      <c r="C139" s="15" t="s">
        <v>5987</v>
      </c>
      <c r="D139" s="6" t="s">
        <v>4310</v>
      </c>
      <c r="E139" s="8" t="s">
        <v>4087</v>
      </c>
      <c r="F139" s="8" t="s">
        <v>4143</v>
      </c>
      <c r="G139" s="6" t="str">
        <f>_xlfn.XLOOKUP(LD_01[[#This Row],[DISCIPLINA]],'CLASSES DE PROJETOS'!$F$3:$F$37,'CLASSES DE PROJETOS'!$C$3:$C$37)</f>
        <v>PV</v>
      </c>
      <c r="H139" t="str">
        <f>_xlfn.TEXTJOIN("/",TRUE,"MSV-163MS-"&amp;LD_01[[#This Row],[TRECHO]],_xlfn.XLOOKUP(LD_01[[#This Row],[SIGLA]],'CLASSES DE PROJETOS'!$C$3:$C$37,'CLASSES DE PROJETOS'!$E$3:$E$37))</f>
        <v>MSV-163MS-454-460/28.PV</v>
      </c>
      <c r="I139" s="6" t="str" cm="1">
        <f t="array" ref="I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J139" s="6" t="str" cm="1">
        <f t="array" ref="J139">_xlfn.TEXTJOIN(", ",TRUE,_xlfn.UNIQUE(_xlfn._xlws.FILTER(ARQUIVOS_RECEBIDOS!$F$2:$F$5010,ARQUIVOS_RECEBIDOS!$E$2:$E$5010=LD_01[[#This Row],[DOCUMENTO]])))</f>
        <v>R03</v>
      </c>
      <c r="K139" s="12" cm="1">
        <f t="array" ref="K139">_xlfn.UNIQUE(_xlfn._xlws.FILTER(ARQUIVOS[DATA RECEBIMENTO],(ARQUIVOS[DOCUMENTO]=LD_01[[#This Row],[DOCUMENTO]])*(ARQUIVOS[REVISÃO]=LD_01[[#This Row],[REVISÃO]])))</f>
        <v>45838</v>
      </c>
      <c r="L1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M139" s="6" t="str">
        <f>LD_01[[#This Row],[PASTA]]&amp;"/"&amp;LD_01[[#This Row],[ARQUIVO]]</f>
        <v>MSV-163MS-454-460/28.PV/MSV-163MS-454-460-ACA-EXE-DE-I2-006-R03.pdf</v>
      </c>
    </row>
    <row r="140" spans="1:13" hidden="1" x14ac:dyDescent="0.3">
      <c r="A140" s="6" t="s">
        <v>2933</v>
      </c>
      <c r="B140" s="6" t="str">
        <f>VLOOKUP(LD_01[[#This Row],[DOCUMENTO]],_xlfn.SORTBY(ARQUIVOS_RECEBIDOS!$E$2:$F$5010,ARQUIVOS_RECEBIDOS!$F$2:$F$5010,-1),2,)</f>
        <v>R02</v>
      </c>
      <c r="C140" s="15" t="s">
        <v>5987</v>
      </c>
      <c r="D140" s="6" t="s">
        <v>4310</v>
      </c>
      <c r="E140" s="8" t="s">
        <v>4087</v>
      </c>
      <c r="F140" s="8" t="s">
        <v>4143</v>
      </c>
      <c r="G140" s="6" t="str">
        <f>_xlfn.XLOOKUP(LD_01[[#This Row],[DISCIPLINA]],'CLASSES DE PROJETOS'!$F$3:$F$37,'CLASSES DE PROJETOS'!$C$3:$C$37)</f>
        <v>PV</v>
      </c>
      <c r="H140" t="str">
        <f>_xlfn.TEXTJOIN("/",TRUE,"MSV-163MS-"&amp;LD_01[[#This Row],[TRECHO]],_xlfn.XLOOKUP(LD_01[[#This Row],[SIGLA]],'CLASSES DE PROJETOS'!$C$3:$C$37,'CLASSES DE PROJETOS'!$E$3:$E$37))</f>
        <v>MSV-163MS-454-460/28.PV</v>
      </c>
      <c r="I140" s="6" t="str" cm="1">
        <f t="array" ref="I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J140" s="6" t="str" cm="1">
        <f t="array" ref="J140">_xlfn.TEXTJOIN(", ",TRUE,_xlfn.UNIQUE(_xlfn._xlws.FILTER(ARQUIVOS_RECEBIDOS!$F$2:$F$5010,ARQUIVOS_RECEBIDOS!$E$2:$E$5010=LD_01[[#This Row],[DOCUMENTO]])))</f>
        <v>R02</v>
      </c>
      <c r="K140" s="12" cm="1">
        <f t="array" ref="K140">_xlfn.UNIQUE(_xlfn._xlws.FILTER(ARQUIVOS[DATA RECEBIMENTO],(ARQUIVOS[DOCUMENTO]=LD_01[[#This Row],[DOCUMENTO]])*(ARQUIVOS[REVISÃO]=LD_01[[#This Row],[REVISÃO]])))</f>
        <v>45838</v>
      </c>
      <c r="L1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M140" s="6" t="str">
        <f>LD_01[[#This Row],[PASTA]]&amp;"/"&amp;LD_01[[#This Row],[ARQUIVO]]</f>
        <v>MSV-163MS-454-460/28.PV/MSV-163MS-454-460-ACA-EXE-DE-I2-007-R02.pdf</v>
      </c>
    </row>
    <row r="141" spans="1:13" hidden="1" x14ac:dyDescent="0.3">
      <c r="A141" s="6" t="s">
        <v>2934</v>
      </c>
      <c r="B141" s="6" t="str">
        <f>VLOOKUP(LD_01[[#This Row],[DOCUMENTO]],_xlfn.SORTBY(ARQUIVOS_RECEBIDOS!$E$2:$F$5010,ARQUIVOS_RECEBIDOS!$F$2:$F$5010,-1),2,)</f>
        <v>R02</v>
      </c>
      <c r="C141" s="15" t="s">
        <v>5987</v>
      </c>
      <c r="D141" s="6" t="s">
        <v>4310</v>
      </c>
      <c r="E141" s="8" t="s">
        <v>4087</v>
      </c>
      <c r="F141" s="8" t="s">
        <v>4143</v>
      </c>
      <c r="G141" s="6" t="str">
        <f>_xlfn.XLOOKUP(LD_01[[#This Row],[DISCIPLINA]],'CLASSES DE PROJETOS'!$F$3:$F$37,'CLASSES DE PROJETOS'!$C$3:$C$37)</f>
        <v>PV</v>
      </c>
      <c r="H141" t="str">
        <f>_xlfn.TEXTJOIN("/",TRUE,"MSV-163MS-"&amp;LD_01[[#This Row],[TRECHO]],_xlfn.XLOOKUP(LD_01[[#This Row],[SIGLA]],'CLASSES DE PROJETOS'!$C$3:$C$37,'CLASSES DE PROJETOS'!$E$3:$E$37))</f>
        <v>MSV-163MS-454-460/28.PV</v>
      </c>
      <c r="I141" s="6" t="str" cm="1">
        <f t="array" ref="I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J141" s="6" t="str" cm="1">
        <f t="array" ref="J141">_xlfn.TEXTJOIN(", ",TRUE,_xlfn.UNIQUE(_xlfn._xlws.FILTER(ARQUIVOS_RECEBIDOS!$F$2:$F$5010,ARQUIVOS_RECEBIDOS!$E$2:$E$5010=LD_01[[#This Row],[DOCUMENTO]])))</f>
        <v>R02</v>
      </c>
      <c r="K141" s="12" cm="1">
        <f t="array" ref="K141">_xlfn.UNIQUE(_xlfn._xlws.FILTER(ARQUIVOS[DATA RECEBIMENTO],(ARQUIVOS[DOCUMENTO]=LD_01[[#This Row],[DOCUMENTO]])*(ARQUIVOS[REVISÃO]=LD_01[[#This Row],[REVISÃO]])))</f>
        <v>45838</v>
      </c>
      <c r="L1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M141" s="6" t="str">
        <f>LD_01[[#This Row],[PASTA]]&amp;"/"&amp;LD_01[[#This Row],[ARQUIVO]]</f>
        <v>MSV-163MS-454-460/28.PV/MSV-163MS-454-460-ACA-EXE-DE-I2-008-R02.pdf</v>
      </c>
    </row>
    <row r="142" spans="1:13" hidden="1" x14ac:dyDescent="0.3">
      <c r="A142" s="6" t="s">
        <v>2935</v>
      </c>
      <c r="B142" s="6" t="str">
        <f>VLOOKUP(LD_01[[#This Row],[DOCUMENTO]],_xlfn.SORTBY(ARQUIVOS_RECEBIDOS!$E$2:$F$5010,ARQUIVOS_RECEBIDOS!$F$2:$F$5010,-1),2,)</f>
        <v>R03</v>
      </c>
      <c r="C142" s="15" t="s">
        <v>5987</v>
      </c>
      <c r="D142" s="6" t="s">
        <v>4310</v>
      </c>
      <c r="E142" s="8" t="s">
        <v>4087</v>
      </c>
      <c r="F142" s="8" t="s">
        <v>4143</v>
      </c>
      <c r="G142" s="6" t="str">
        <f>_xlfn.XLOOKUP(LD_01[[#This Row],[DISCIPLINA]],'CLASSES DE PROJETOS'!$F$3:$F$37,'CLASSES DE PROJETOS'!$C$3:$C$37)</f>
        <v>PV</v>
      </c>
      <c r="H142" t="str">
        <f>_xlfn.TEXTJOIN("/",TRUE,"MSV-163MS-"&amp;LD_01[[#This Row],[TRECHO]],_xlfn.XLOOKUP(LD_01[[#This Row],[SIGLA]],'CLASSES DE PROJETOS'!$C$3:$C$37,'CLASSES DE PROJETOS'!$E$3:$E$37))</f>
        <v>MSV-163MS-454-460/28.PV</v>
      </c>
      <c r="I142" s="6" t="str" cm="1">
        <f t="array" ref="I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J142" s="6" t="str" cm="1">
        <f t="array" ref="J142">_xlfn.TEXTJOIN(", ",TRUE,_xlfn.UNIQUE(_xlfn._xlws.FILTER(ARQUIVOS_RECEBIDOS!$F$2:$F$5010,ARQUIVOS_RECEBIDOS!$E$2:$E$5010=LD_01[[#This Row],[DOCUMENTO]])))</f>
        <v>R02, R03</v>
      </c>
      <c r="K142" s="12" cm="1">
        <f t="array" ref="K142">_xlfn.UNIQUE(_xlfn._xlws.FILTER(ARQUIVOS[DATA RECEBIMENTO],(ARQUIVOS[DOCUMENTO]=LD_01[[#This Row],[DOCUMENTO]])*(ARQUIVOS[REVISÃO]=LD_01[[#This Row],[REVISÃO]])))</f>
        <v>45895</v>
      </c>
      <c r="L1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M142" s="6" t="str">
        <f>LD_01[[#This Row],[PASTA]]&amp;"/"&amp;LD_01[[#This Row],[ARQUIVO]]</f>
        <v>MSV-163MS-454-460/28.PV/MSV-163MS-454-460-ACA-EXE-DE-I2-009-R03.pdf</v>
      </c>
    </row>
    <row r="143" spans="1:13" hidden="1" x14ac:dyDescent="0.3">
      <c r="A143" s="6" t="s">
        <v>2936</v>
      </c>
      <c r="B143" s="6" t="str">
        <f>VLOOKUP(LD_01[[#This Row],[DOCUMENTO]],_xlfn.SORTBY(ARQUIVOS_RECEBIDOS!$E$2:$F$5010,ARQUIVOS_RECEBIDOS!$F$2:$F$5010,-1),2,)</f>
        <v>R03</v>
      </c>
      <c r="C143" s="15" t="s">
        <v>5987</v>
      </c>
      <c r="D143" s="6" t="s">
        <v>4310</v>
      </c>
      <c r="E143" s="8" t="s">
        <v>4087</v>
      </c>
      <c r="F143" s="8" t="s">
        <v>4143</v>
      </c>
      <c r="G143" s="6" t="str">
        <f>_xlfn.XLOOKUP(LD_01[[#This Row],[DISCIPLINA]],'CLASSES DE PROJETOS'!$F$3:$F$37,'CLASSES DE PROJETOS'!$C$3:$C$37)</f>
        <v>PV</v>
      </c>
      <c r="H143" t="str">
        <f>_xlfn.TEXTJOIN("/",TRUE,"MSV-163MS-"&amp;LD_01[[#This Row],[TRECHO]],_xlfn.XLOOKUP(LD_01[[#This Row],[SIGLA]],'CLASSES DE PROJETOS'!$C$3:$C$37,'CLASSES DE PROJETOS'!$E$3:$E$37))</f>
        <v>MSV-163MS-454-460/28.PV</v>
      </c>
      <c r="I143" s="6" t="str" cm="1">
        <f t="array" ref="I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J143" s="6" t="str" cm="1">
        <f t="array" ref="J143">_xlfn.TEXTJOIN(", ",TRUE,_xlfn.UNIQUE(_xlfn._xlws.FILTER(ARQUIVOS_RECEBIDOS!$F$2:$F$5010,ARQUIVOS_RECEBIDOS!$E$2:$E$5010=LD_01[[#This Row],[DOCUMENTO]])))</f>
        <v>R02, R03</v>
      </c>
      <c r="K143" s="12" cm="1">
        <f t="array" ref="K143">_xlfn.UNIQUE(_xlfn._xlws.FILTER(ARQUIVOS[DATA RECEBIMENTO],(ARQUIVOS[DOCUMENTO]=LD_01[[#This Row],[DOCUMENTO]])*(ARQUIVOS[REVISÃO]=LD_01[[#This Row],[REVISÃO]])))</f>
        <v>45895</v>
      </c>
      <c r="L1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M143" s="6" t="str">
        <f>LD_01[[#This Row],[PASTA]]&amp;"/"&amp;LD_01[[#This Row],[ARQUIVO]]</f>
        <v>MSV-163MS-454-460/28.PV/MSV-163MS-454-460-ACA-EXE-DE-I2-010-R03.pdf</v>
      </c>
    </row>
    <row r="144" spans="1:13" hidden="1" x14ac:dyDescent="0.3">
      <c r="A144" s="14" t="s">
        <v>2937</v>
      </c>
      <c r="B144" s="6" t="str">
        <f>VLOOKUP(LD_01[[#This Row],[DOCUMENTO]],_xlfn.SORTBY(ARQUIVOS_RECEBIDOS!$E$2:$F$5010,ARQUIVOS_RECEBIDOS!$F$2:$F$5010,-1),2,)</f>
        <v>R02</v>
      </c>
      <c r="C144" s="15" t="s">
        <v>5987</v>
      </c>
      <c r="D144" s="6" t="s">
        <v>4310</v>
      </c>
      <c r="E144" s="8" t="s">
        <v>4087</v>
      </c>
      <c r="F144" s="8" t="s">
        <v>4143</v>
      </c>
      <c r="G144" s="6" t="str">
        <f>_xlfn.XLOOKUP(LD_01[[#This Row],[DISCIPLINA]],'CLASSES DE PROJETOS'!$F$3:$F$37,'CLASSES DE PROJETOS'!$C$3:$C$37)</f>
        <v>PV</v>
      </c>
      <c r="H144" t="str">
        <f>_xlfn.TEXTJOIN("/",TRUE,"MSV-163MS-"&amp;LD_01[[#This Row],[TRECHO]],_xlfn.XLOOKUP(LD_01[[#This Row],[SIGLA]],'CLASSES DE PROJETOS'!$C$3:$C$37,'CLASSES DE PROJETOS'!$E$3:$E$37))</f>
        <v>MSV-163MS-454-460/28.PV</v>
      </c>
      <c r="I144" s="6" t="str" cm="1">
        <f t="array" ref="I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J144" s="6" t="str" cm="1">
        <f t="array" ref="J144">_xlfn.TEXTJOIN(", ",TRUE,_xlfn.UNIQUE(_xlfn._xlws.FILTER(ARQUIVOS_RECEBIDOS!$F$2:$F$5010,ARQUIVOS_RECEBIDOS!$E$2:$E$5010=LD_01[[#This Row],[DOCUMENTO]])))</f>
        <v>R02</v>
      </c>
      <c r="K144" s="12" cm="1">
        <f t="array" ref="K144">_xlfn.UNIQUE(_xlfn._xlws.FILTER(ARQUIVOS[DATA RECEBIMENTO],(ARQUIVOS[DOCUMENTO]=LD_01[[#This Row],[DOCUMENTO]])*(ARQUIVOS[REVISÃO]=LD_01[[#This Row],[REVISÃO]])))</f>
        <v>45838</v>
      </c>
      <c r="L1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M144" s="6" t="str">
        <f>LD_01[[#This Row],[PASTA]]&amp;"/"&amp;LD_01[[#This Row],[ARQUIVO]]</f>
        <v>MSV-163MS-454-460/28.PV/MSV-163MS-454-460-ACA-EXE-DE-I2-011-R02.pdf</v>
      </c>
    </row>
    <row r="145" spans="1:13" hidden="1" x14ac:dyDescent="0.3">
      <c r="A145" s="14" t="s">
        <v>2938</v>
      </c>
      <c r="B145" s="6" t="str">
        <f>VLOOKUP(LD_01[[#This Row],[DOCUMENTO]],_xlfn.SORTBY(ARQUIVOS_RECEBIDOS!$E$2:$F$5010,ARQUIVOS_RECEBIDOS!$F$2:$F$5010,-1),2,)</f>
        <v>R06</v>
      </c>
      <c r="C145" s="15" t="s">
        <v>5987</v>
      </c>
      <c r="D145" s="6" t="s">
        <v>4310</v>
      </c>
      <c r="E145" s="8" t="s">
        <v>4102</v>
      </c>
      <c r="F145" s="8" t="s">
        <v>4143</v>
      </c>
      <c r="G145" s="6" t="str">
        <f>_xlfn.XLOOKUP(LD_01[[#This Row],[DISCIPLINA]],'CLASSES DE PROJETOS'!$F$3:$F$37,'CLASSES DE PROJETOS'!$C$3:$C$37)</f>
        <v>PV</v>
      </c>
      <c r="H145" t="str">
        <f>_xlfn.TEXTJOIN("/",TRUE,"MSV-163MS-"&amp;LD_01[[#This Row],[TRECHO]],_xlfn.XLOOKUP(LD_01[[#This Row],[SIGLA]],'CLASSES DE PROJETOS'!$C$3:$C$37,'CLASSES DE PROJETOS'!$E$3:$E$37))</f>
        <v>MSV-163MS-454-460/28.PV</v>
      </c>
      <c r="I145" s="6" t="str" cm="1">
        <f t="array" ref="I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J145" s="6" t="str" cm="1">
        <f t="array" ref="J145">_xlfn.TEXTJOIN(", ",TRUE,_xlfn.UNIQUE(_xlfn._xlws.FILTER(ARQUIVOS_RECEBIDOS!$F$2:$F$5010,ARQUIVOS_RECEBIDOS!$E$2:$E$5010=LD_01[[#This Row],[DOCUMENTO]])))</f>
        <v>R04, R06</v>
      </c>
      <c r="K145" s="12" cm="1">
        <f t="array" ref="K145">_xlfn.UNIQUE(_xlfn._xlws.FILTER(ARQUIVOS[DATA RECEBIMENTO],(ARQUIVOS[DOCUMENTO]=LD_01[[#This Row],[DOCUMENTO]])*(ARQUIVOS[REVISÃO]=LD_01[[#This Row],[REVISÃO]])))</f>
        <v>45895</v>
      </c>
      <c r="L1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M145" s="6" t="str">
        <f>LD_01[[#This Row],[PASTA]]&amp;"/"&amp;LD_01[[#This Row],[ARQUIVO]]</f>
        <v>MSV-163MS-454-460/28.PV/MSV-163MS-454-460-ACA-EXE-DE-I2-012-R06.pdf</v>
      </c>
    </row>
    <row r="146" spans="1:13" hidden="1" x14ac:dyDescent="0.3">
      <c r="A146" s="6" t="s">
        <v>2939</v>
      </c>
      <c r="B146" s="6" t="str">
        <f>VLOOKUP(LD_01[[#This Row],[DOCUMENTO]],_xlfn.SORTBY(ARQUIVOS_RECEBIDOS!$E$2:$F$5010,ARQUIVOS_RECEBIDOS!$F$2:$F$5010,-1),2,)</f>
        <v>R05</v>
      </c>
      <c r="C146" s="15" t="s">
        <v>5987</v>
      </c>
      <c r="D146" s="6" t="s">
        <v>4310</v>
      </c>
      <c r="E146" s="8" t="s">
        <v>4088</v>
      </c>
      <c r="F146" s="8" t="s">
        <v>4143</v>
      </c>
      <c r="G146" s="6" t="str">
        <f>_xlfn.XLOOKUP(LD_01[[#This Row],[DISCIPLINA]],'CLASSES DE PROJETOS'!$F$3:$F$37,'CLASSES DE PROJETOS'!$C$3:$C$37)</f>
        <v>PV</v>
      </c>
      <c r="H146" t="str">
        <f>_xlfn.TEXTJOIN("/",TRUE,"MSV-163MS-"&amp;LD_01[[#This Row],[TRECHO]],_xlfn.XLOOKUP(LD_01[[#This Row],[SIGLA]],'CLASSES DE PROJETOS'!$C$3:$C$37,'CLASSES DE PROJETOS'!$E$3:$E$37))</f>
        <v>MSV-163MS-454-460/28.PV</v>
      </c>
      <c r="I146" s="6" t="str" cm="1">
        <f t="array" ref="I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J146" s="6" t="str" cm="1">
        <f t="array" ref="J146">_xlfn.TEXTJOIN(", ",TRUE,_xlfn.UNIQUE(_xlfn._xlws.FILTER(ARQUIVOS_RECEBIDOS!$F$2:$F$5010,ARQUIVOS_RECEBIDOS!$E$2:$E$5010=LD_01[[#This Row],[DOCUMENTO]])))</f>
        <v>R04, R05</v>
      </c>
      <c r="K146" s="12" cm="1">
        <f t="array" ref="K146">_xlfn.UNIQUE(_xlfn._xlws.FILTER(ARQUIVOS[DATA RECEBIMENTO],(ARQUIVOS[DOCUMENTO]=LD_01[[#This Row],[DOCUMENTO]])*(ARQUIVOS[REVISÃO]=LD_01[[#This Row],[REVISÃO]])))</f>
        <v>45895</v>
      </c>
      <c r="L1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M146" s="6" t="str">
        <f>LD_01[[#This Row],[PASTA]]&amp;"/"&amp;LD_01[[#This Row],[ARQUIVO]]</f>
        <v>MSV-163MS-454-460/28.PV/MSV-163MS-454-460-ACA-EXE-DE-I2-013-R05.pdf</v>
      </c>
    </row>
    <row r="147" spans="1:13" hidden="1" x14ac:dyDescent="0.3">
      <c r="A147" s="6" t="s">
        <v>2940</v>
      </c>
      <c r="B147" s="6" t="str">
        <f>VLOOKUP(LD_01[[#This Row],[DOCUMENTO]],_xlfn.SORTBY(ARQUIVOS_RECEBIDOS!$E$2:$F$5010,ARQUIVOS_RECEBIDOS!$F$2:$F$5010,-1),2,)</f>
        <v>R05</v>
      </c>
      <c r="C147" s="15" t="s">
        <v>5987</v>
      </c>
      <c r="D147" s="6" t="s">
        <v>4310</v>
      </c>
      <c r="E147" s="8" t="s">
        <v>4088</v>
      </c>
      <c r="F147" s="8" t="s">
        <v>4143</v>
      </c>
      <c r="G147" s="6" t="str">
        <f>_xlfn.XLOOKUP(LD_01[[#This Row],[DISCIPLINA]],'CLASSES DE PROJETOS'!$F$3:$F$37,'CLASSES DE PROJETOS'!$C$3:$C$37)</f>
        <v>PV</v>
      </c>
      <c r="H147" t="str">
        <f>_xlfn.TEXTJOIN("/",TRUE,"MSV-163MS-"&amp;LD_01[[#This Row],[TRECHO]],_xlfn.XLOOKUP(LD_01[[#This Row],[SIGLA]],'CLASSES DE PROJETOS'!$C$3:$C$37,'CLASSES DE PROJETOS'!$E$3:$E$37))</f>
        <v>MSV-163MS-454-460/28.PV</v>
      </c>
      <c r="I147" s="6" t="str" cm="1">
        <f t="array" ref="I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J147" s="6" t="str" cm="1">
        <f t="array" ref="J147">_xlfn.TEXTJOIN(", ",TRUE,_xlfn.UNIQUE(_xlfn._xlws.FILTER(ARQUIVOS_RECEBIDOS!$F$2:$F$5010,ARQUIVOS_RECEBIDOS!$E$2:$E$5010=LD_01[[#This Row],[DOCUMENTO]])))</f>
        <v>R04, R05</v>
      </c>
      <c r="K147" s="12" cm="1">
        <f t="array" ref="K147">_xlfn.UNIQUE(_xlfn._xlws.FILTER(ARQUIVOS[DATA RECEBIMENTO],(ARQUIVOS[DOCUMENTO]=LD_01[[#This Row],[DOCUMENTO]])*(ARQUIVOS[REVISÃO]=LD_01[[#This Row],[REVISÃO]])))</f>
        <v>45895</v>
      </c>
      <c r="L1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M147" s="6" t="str">
        <f>LD_01[[#This Row],[PASTA]]&amp;"/"&amp;LD_01[[#This Row],[ARQUIVO]]</f>
        <v>MSV-163MS-454-460/28.PV/MSV-163MS-454-460-ACA-EXE-DE-I2-014-R05.pdf</v>
      </c>
    </row>
    <row r="148" spans="1:13" hidden="1" x14ac:dyDescent="0.3">
      <c r="A148" s="6" t="s">
        <v>2941</v>
      </c>
      <c r="B148" s="6" t="str">
        <f>VLOOKUP(LD_01[[#This Row],[DOCUMENTO]],_xlfn.SORTBY(ARQUIVOS_RECEBIDOS!$E$2:$F$5010,ARQUIVOS_RECEBIDOS!$F$2:$F$5010,-1),2,)</f>
        <v>R04</v>
      </c>
      <c r="C148" s="15" t="s">
        <v>5987</v>
      </c>
      <c r="D148" s="6" t="s">
        <v>4310</v>
      </c>
      <c r="E148" s="8" t="s">
        <v>4089</v>
      </c>
      <c r="F148" s="8" t="s">
        <v>4143</v>
      </c>
      <c r="G148" s="6" t="str">
        <f>_xlfn.XLOOKUP(LD_01[[#This Row],[DISCIPLINA]],'CLASSES DE PROJETOS'!$F$3:$F$37,'CLASSES DE PROJETOS'!$C$3:$C$37)</f>
        <v>PV</v>
      </c>
      <c r="H148" t="str">
        <f>_xlfn.TEXTJOIN("/",TRUE,"MSV-163MS-"&amp;LD_01[[#This Row],[TRECHO]],_xlfn.XLOOKUP(LD_01[[#This Row],[SIGLA]],'CLASSES DE PROJETOS'!$C$3:$C$37,'CLASSES DE PROJETOS'!$E$3:$E$37))</f>
        <v>MSV-163MS-454-460/28.PV</v>
      </c>
      <c r="I148" s="6" t="str" cm="1">
        <f t="array" ref="I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J148" s="6" t="str" cm="1">
        <f t="array" ref="J148">_xlfn.TEXTJOIN(", ",TRUE,_xlfn.UNIQUE(_xlfn._xlws.FILTER(ARQUIVOS_RECEBIDOS!$F$2:$F$5010,ARQUIVOS_RECEBIDOS!$E$2:$E$5010=LD_01[[#This Row],[DOCUMENTO]])))</f>
        <v>R04</v>
      </c>
      <c r="K148" s="12" cm="1">
        <f t="array" ref="K148">_xlfn.UNIQUE(_xlfn._xlws.FILTER(ARQUIVOS[DATA RECEBIMENTO],(ARQUIVOS[DOCUMENTO]=LD_01[[#This Row],[DOCUMENTO]])*(ARQUIVOS[REVISÃO]=LD_01[[#This Row],[REVISÃO]])))</f>
        <v>45838</v>
      </c>
      <c r="L1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M148" s="6" t="str">
        <f>LD_01[[#This Row],[PASTA]]&amp;"/"&amp;LD_01[[#This Row],[ARQUIVO]]</f>
        <v>MSV-163MS-454-460/28.PV/MSV-163MS-454-460-ACA-EXE-DE-I2-015-R04.pdf</v>
      </c>
    </row>
    <row r="149" spans="1:13" hidden="1" x14ac:dyDescent="0.3">
      <c r="A149" s="6" t="s">
        <v>2942</v>
      </c>
      <c r="B149" s="6" t="str">
        <f>VLOOKUP(LD_01[[#This Row],[DOCUMENTO]],_xlfn.SORTBY(ARQUIVOS_RECEBIDOS!$E$2:$F$5010,ARQUIVOS_RECEBIDOS!$F$2:$F$5010,-1),2,)</f>
        <v>R05</v>
      </c>
      <c r="C149" s="15" t="s">
        <v>5987</v>
      </c>
      <c r="D149" s="6" t="s">
        <v>4310</v>
      </c>
      <c r="E149" s="8" t="s">
        <v>4089</v>
      </c>
      <c r="F149" s="8" t="s">
        <v>4143</v>
      </c>
      <c r="G149" s="6" t="str">
        <f>_xlfn.XLOOKUP(LD_01[[#This Row],[DISCIPLINA]],'CLASSES DE PROJETOS'!$F$3:$F$37,'CLASSES DE PROJETOS'!$C$3:$C$37)</f>
        <v>PV</v>
      </c>
      <c r="H149" t="str">
        <f>_xlfn.TEXTJOIN("/",TRUE,"MSV-163MS-"&amp;LD_01[[#This Row],[TRECHO]],_xlfn.XLOOKUP(LD_01[[#This Row],[SIGLA]],'CLASSES DE PROJETOS'!$C$3:$C$37,'CLASSES DE PROJETOS'!$E$3:$E$37))</f>
        <v>MSV-163MS-454-460/28.PV</v>
      </c>
      <c r="I149" s="6" t="str" cm="1">
        <f t="array" ref="I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J149" s="6" t="str" cm="1">
        <f t="array" ref="J149">_xlfn.TEXTJOIN(", ",TRUE,_xlfn.UNIQUE(_xlfn._xlws.FILTER(ARQUIVOS_RECEBIDOS!$F$2:$F$5010,ARQUIVOS_RECEBIDOS!$E$2:$E$5010=LD_01[[#This Row],[DOCUMENTO]])))</f>
        <v>R04, R05</v>
      </c>
      <c r="K149" s="12" cm="1">
        <f t="array" ref="K149">_xlfn.UNIQUE(_xlfn._xlws.FILTER(ARQUIVOS[DATA RECEBIMENTO],(ARQUIVOS[DOCUMENTO]=LD_01[[#This Row],[DOCUMENTO]])*(ARQUIVOS[REVISÃO]=LD_01[[#This Row],[REVISÃO]])))</f>
        <v>45895</v>
      </c>
      <c r="L1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M149" s="6" t="str">
        <f>LD_01[[#This Row],[PASTA]]&amp;"/"&amp;LD_01[[#This Row],[ARQUIVO]]</f>
        <v>MSV-163MS-454-460/28.PV/MSV-163MS-454-460-ACA-EXE-DE-I2-016-R05.pdf</v>
      </c>
    </row>
    <row r="150" spans="1:13" hidden="1" x14ac:dyDescent="0.3">
      <c r="A150" s="6" t="s">
        <v>2916</v>
      </c>
      <c r="B150" s="6" t="str">
        <f>VLOOKUP(LD_01[[#This Row],[DOCUMENTO]],_xlfn.SORTBY(ARQUIVOS_RECEBIDOS!$E$2:$F$5010,ARQUIVOS_RECEBIDOS!$F$2:$F$5010,-1),2,)</f>
        <v>R03</v>
      </c>
      <c r="C150" s="15" t="s">
        <v>5987</v>
      </c>
      <c r="D150" s="6" t="s">
        <v>4310</v>
      </c>
      <c r="E150" s="8" t="s">
        <v>4083</v>
      </c>
      <c r="F150" s="8" t="s">
        <v>4331</v>
      </c>
      <c r="G150" s="6" t="str">
        <f>_xlfn.XLOOKUP(LD_01[[#This Row],[DISCIPLINA]],'CLASSES DE PROJETOS'!$F$3:$F$37,'CLASSES DE PROJETOS'!$C$3:$C$37)</f>
        <v>SI</v>
      </c>
      <c r="H150" t="str">
        <f>_xlfn.TEXTJOIN("/",TRUE,"MSV-163MS-"&amp;LD_01[[#This Row],[TRECHO]],_xlfn.XLOOKUP(LD_01[[#This Row],[SIGLA]],'CLASSES DE PROJETOS'!$C$3:$C$37,'CLASSES DE PROJETOS'!$E$3:$E$37))</f>
        <v>MSV-163MS-454-460/31.SI</v>
      </c>
      <c r="I150" s="6" t="str" cm="1">
        <f t="array" ref="I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J150" s="6" t="str" cm="1">
        <f t="array" ref="J150">_xlfn.TEXTJOIN(", ",TRUE,_xlfn.UNIQUE(_xlfn._xlws.FILTER(ARQUIVOS_RECEBIDOS!$F$2:$F$5010,ARQUIVOS_RECEBIDOS!$E$2:$E$5010=LD_01[[#This Row],[DOCUMENTO]])))</f>
        <v>R03</v>
      </c>
      <c r="K150" s="12" cm="1">
        <f t="array" ref="K150">_xlfn.UNIQUE(_xlfn._xlws.FILTER(ARQUIVOS[DATA RECEBIMENTO],(ARQUIVOS[DOCUMENTO]=LD_01[[#This Row],[DOCUMENTO]])*(ARQUIVOS[REVISÃO]=LD_01[[#This Row],[REVISÃO]])))</f>
        <v>45838</v>
      </c>
      <c r="L1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M150" s="6" t="str">
        <f>LD_01[[#This Row],[PASTA]]&amp;"/"&amp;LD_01[[#This Row],[ARQUIVO]]</f>
        <v>MSV-163MS-454-460/31.SI/MSV-163MS-454-460-ACA-EXE-DE-J1-001-R03.pdf</v>
      </c>
    </row>
    <row r="151" spans="1:13" hidden="1" x14ac:dyDescent="0.3">
      <c r="A151" s="6" t="s">
        <v>2917</v>
      </c>
      <c r="B151" s="6" t="str">
        <f>VLOOKUP(LD_01[[#This Row],[DOCUMENTO]],_xlfn.SORTBY(ARQUIVOS_RECEBIDOS!$E$2:$F$5010,ARQUIVOS_RECEBIDOS!$F$2:$F$5010,-1),2,)</f>
        <v>R05</v>
      </c>
      <c r="C151" s="15" t="s">
        <v>5987</v>
      </c>
      <c r="D151" s="6" t="s">
        <v>4310</v>
      </c>
      <c r="E151" s="8" t="s">
        <v>4083</v>
      </c>
      <c r="F151" s="8" t="s">
        <v>4331</v>
      </c>
      <c r="G151" s="6" t="str">
        <f>_xlfn.XLOOKUP(LD_01[[#This Row],[DISCIPLINA]],'CLASSES DE PROJETOS'!$F$3:$F$37,'CLASSES DE PROJETOS'!$C$3:$C$37)</f>
        <v>SI</v>
      </c>
      <c r="H151" t="str">
        <f>_xlfn.TEXTJOIN("/",TRUE,"MSV-163MS-"&amp;LD_01[[#This Row],[TRECHO]],_xlfn.XLOOKUP(LD_01[[#This Row],[SIGLA]],'CLASSES DE PROJETOS'!$C$3:$C$37,'CLASSES DE PROJETOS'!$E$3:$E$37))</f>
        <v>MSV-163MS-454-460/31.SI</v>
      </c>
      <c r="I151" s="6" t="str" cm="1">
        <f t="array" ref="I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J151" s="6" t="str" cm="1">
        <f t="array" ref="J151">_xlfn.TEXTJOIN(", ",TRUE,_xlfn.UNIQUE(_xlfn._xlws.FILTER(ARQUIVOS_RECEBIDOS!$F$2:$F$5010,ARQUIVOS_RECEBIDOS!$E$2:$E$5010=LD_01[[#This Row],[DOCUMENTO]])))</f>
        <v>R05</v>
      </c>
      <c r="K151" s="12" cm="1">
        <f t="array" ref="K151">_xlfn.UNIQUE(_xlfn._xlws.FILTER(ARQUIVOS[DATA RECEBIMENTO],(ARQUIVOS[DOCUMENTO]=LD_01[[#This Row],[DOCUMENTO]])*(ARQUIVOS[REVISÃO]=LD_01[[#This Row],[REVISÃO]])))</f>
        <v>45838</v>
      </c>
      <c r="L1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M151" s="6" t="str">
        <f>LD_01[[#This Row],[PASTA]]&amp;"/"&amp;LD_01[[#This Row],[ARQUIVO]]</f>
        <v>MSV-163MS-454-460/31.SI/MSV-163MS-454-460-ACA-EXE-DE-J1-002-R05.pdf</v>
      </c>
    </row>
    <row r="152" spans="1:13" hidden="1" x14ac:dyDescent="0.3">
      <c r="A152" s="6" t="s">
        <v>2918</v>
      </c>
      <c r="B152" s="6" t="str">
        <f>VLOOKUP(LD_01[[#This Row],[DOCUMENTO]],_xlfn.SORTBY(ARQUIVOS_RECEBIDOS!$E$2:$F$5010,ARQUIVOS_RECEBIDOS!$F$2:$F$5010,-1),2,)</f>
        <v>R05</v>
      </c>
      <c r="C152" s="15" t="s">
        <v>5987</v>
      </c>
      <c r="D152" s="6" t="s">
        <v>4310</v>
      </c>
      <c r="E152" s="8" t="s">
        <v>4083</v>
      </c>
      <c r="F152" s="8" t="s">
        <v>4331</v>
      </c>
      <c r="G152" s="6" t="str">
        <f>_xlfn.XLOOKUP(LD_01[[#This Row],[DISCIPLINA]],'CLASSES DE PROJETOS'!$F$3:$F$37,'CLASSES DE PROJETOS'!$C$3:$C$37)</f>
        <v>SI</v>
      </c>
      <c r="H152" t="str">
        <f>_xlfn.TEXTJOIN("/",TRUE,"MSV-163MS-"&amp;LD_01[[#This Row],[TRECHO]],_xlfn.XLOOKUP(LD_01[[#This Row],[SIGLA]],'CLASSES DE PROJETOS'!$C$3:$C$37,'CLASSES DE PROJETOS'!$E$3:$E$37))</f>
        <v>MSV-163MS-454-460/31.SI</v>
      </c>
      <c r="I152" s="6" t="str" cm="1">
        <f t="array" ref="I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J152" s="6" t="str" cm="1">
        <f t="array" ref="J152">_xlfn.TEXTJOIN(", ",TRUE,_xlfn.UNIQUE(_xlfn._xlws.FILTER(ARQUIVOS_RECEBIDOS!$F$2:$F$5010,ARQUIVOS_RECEBIDOS!$E$2:$E$5010=LD_01[[#This Row],[DOCUMENTO]])))</f>
        <v>R05</v>
      </c>
      <c r="K152" s="12" cm="1">
        <f t="array" ref="K152">_xlfn.UNIQUE(_xlfn._xlws.FILTER(ARQUIVOS[DATA RECEBIMENTO],(ARQUIVOS[DOCUMENTO]=LD_01[[#This Row],[DOCUMENTO]])*(ARQUIVOS[REVISÃO]=LD_01[[#This Row],[REVISÃO]])))</f>
        <v>45838</v>
      </c>
      <c r="L1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M152" s="6" t="str">
        <f>LD_01[[#This Row],[PASTA]]&amp;"/"&amp;LD_01[[#This Row],[ARQUIVO]]</f>
        <v>MSV-163MS-454-460/31.SI/MSV-163MS-454-460-ACA-EXE-DE-J1-003-R05.pdf</v>
      </c>
    </row>
    <row r="153" spans="1:13" hidden="1" x14ac:dyDescent="0.3">
      <c r="A153" s="6" t="s">
        <v>2919</v>
      </c>
      <c r="B153" s="6" t="str">
        <f>VLOOKUP(LD_01[[#This Row],[DOCUMENTO]],_xlfn.SORTBY(ARQUIVOS_RECEBIDOS!$E$2:$F$5010,ARQUIVOS_RECEBIDOS!$F$2:$F$5010,-1),2,)</f>
        <v>R08</v>
      </c>
      <c r="C153" s="15" t="s">
        <v>5987</v>
      </c>
      <c r="D153" s="6" t="s">
        <v>4310</v>
      </c>
      <c r="E153" s="8" t="s">
        <v>4083</v>
      </c>
      <c r="F153" s="8" t="s">
        <v>4331</v>
      </c>
      <c r="G153" s="6" t="str">
        <f>_xlfn.XLOOKUP(LD_01[[#This Row],[DISCIPLINA]],'CLASSES DE PROJETOS'!$F$3:$F$37,'CLASSES DE PROJETOS'!$C$3:$C$37)</f>
        <v>SI</v>
      </c>
      <c r="H153" t="str">
        <f>_xlfn.TEXTJOIN("/",TRUE,"MSV-163MS-"&amp;LD_01[[#This Row],[TRECHO]],_xlfn.XLOOKUP(LD_01[[#This Row],[SIGLA]],'CLASSES DE PROJETOS'!$C$3:$C$37,'CLASSES DE PROJETOS'!$E$3:$E$37))</f>
        <v>MSV-163MS-454-460/31.SI</v>
      </c>
      <c r="I153" s="6" t="str" cm="1">
        <f t="array" ref="I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J153" s="6" t="str" cm="1">
        <f t="array" ref="J153">_xlfn.TEXTJOIN(", ",TRUE,_xlfn.UNIQUE(_xlfn._xlws.FILTER(ARQUIVOS_RECEBIDOS!$F$2:$F$5010,ARQUIVOS_RECEBIDOS!$E$2:$E$5010=LD_01[[#This Row],[DOCUMENTO]])))</f>
        <v>R07, R08</v>
      </c>
      <c r="K153" s="12" cm="1">
        <f t="array" ref="K153">_xlfn.UNIQUE(_xlfn._xlws.FILTER(ARQUIVOS[DATA RECEBIMENTO],(ARQUIVOS[DOCUMENTO]=LD_01[[#This Row],[DOCUMENTO]])*(ARQUIVOS[REVISÃO]=LD_01[[#This Row],[REVISÃO]])))</f>
        <v>45895</v>
      </c>
      <c r="L1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M153" s="6" t="str">
        <f>LD_01[[#This Row],[PASTA]]&amp;"/"&amp;LD_01[[#This Row],[ARQUIVO]]</f>
        <v>MSV-163MS-454-460/31.SI/MSV-163MS-454-460-ACA-EXE-DE-J1-004-R08.pdf</v>
      </c>
    </row>
    <row r="154" spans="1:13" hidden="1" x14ac:dyDescent="0.3">
      <c r="A154" s="6" t="s">
        <v>2920</v>
      </c>
      <c r="B154" s="6" t="str">
        <f>VLOOKUP(LD_01[[#This Row],[DOCUMENTO]],_xlfn.SORTBY(ARQUIVOS_RECEBIDOS!$E$2:$F$5010,ARQUIVOS_RECEBIDOS!$F$2:$F$5010,-1),2,)</f>
        <v>R05</v>
      </c>
      <c r="C154" s="15" t="s">
        <v>5987</v>
      </c>
      <c r="D154" s="6" t="s">
        <v>4310</v>
      </c>
      <c r="E154" s="8" t="s">
        <v>4083</v>
      </c>
      <c r="F154" s="8" t="s">
        <v>4331</v>
      </c>
      <c r="G154" s="6" t="str">
        <f>_xlfn.XLOOKUP(LD_01[[#This Row],[DISCIPLINA]],'CLASSES DE PROJETOS'!$F$3:$F$37,'CLASSES DE PROJETOS'!$C$3:$C$37)</f>
        <v>SI</v>
      </c>
      <c r="H154" t="str">
        <f>_xlfn.TEXTJOIN("/",TRUE,"MSV-163MS-"&amp;LD_01[[#This Row],[TRECHO]],_xlfn.XLOOKUP(LD_01[[#This Row],[SIGLA]],'CLASSES DE PROJETOS'!$C$3:$C$37,'CLASSES DE PROJETOS'!$E$3:$E$37))</f>
        <v>MSV-163MS-454-460/31.SI</v>
      </c>
      <c r="I154" s="6" t="str" cm="1">
        <f t="array" ref="I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J154" s="6" t="str" cm="1">
        <f t="array" ref="J154">_xlfn.TEXTJOIN(", ",TRUE,_xlfn.UNIQUE(_xlfn._xlws.FILTER(ARQUIVOS_RECEBIDOS!$F$2:$F$5010,ARQUIVOS_RECEBIDOS!$E$2:$E$5010=LD_01[[#This Row],[DOCUMENTO]])))</f>
        <v>R05</v>
      </c>
      <c r="K154" s="12" cm="1">
        <f t="array" ref="K154">_xlfn.UNIQUE(_xlfn._xlws.FILTER(ARQUIVOS[DATA RECEBIMENTO],(ARQUIVOS[DOCUMENTO]=LD_01[[#This Row],[DOCUMENTO]])*(ARQUIVOS[REVISÃO]=LD_01[[#This Row],[REVISÃO]])))</f>
        <v>45838</v>
      </c>
      <c r="L1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M154" s="6" t="str">
        <f>LD_01[[#This Row],[PASTA]]&amp;"/"&amp;LD_01[[#This Row],[ARQUIVO]]</f>
        <v>MSV-163MS-454-460/31.SI/MSV-163MS-454-460-ACA-EXE-DE-J1-005-R05.pdf</v>
      </c>
    </row>
    <row r="155" spans="1:13" hidden="1" x14ac:dyDescent="0.3">
      <c r="A155" s="6" t="s">
        <v>2921</v>
      </c>
      <c r="B155" s="6" t="str">
        <f>VLOOKUP(LD_01[[#This Row],[DOCUMENTO]],_xlfn.SORTBY(ARQUIVOS_RECEBIDOS!$E$2:$F$5010,ARQUIVOS_RECEBIDOS!$F$2:$F$5010,-1),2,)</f>
        <v>R04</v>
      </c>
      <c r="C155" s="15" t="s">
        <v>5987</v>
      </c>
      <c r="D155" s="6" t="s">
        <v>4310</v>
      </c>
      <c r="E155" s="8" t="s">
        <v>4083</v>
      </c>
      <c r="F155" s="8" t="s">
        <v>4331</v>
      </c>
      <c r="G155" s="6" t="str">
        <f>_xlfn.XLOOKUP(LD_01[[#This Row],[DISCIPLINA]],'CLASSES DE PROJETOS'!$F$3:$F$37,'CLASSES DE PROJETOS'!$C$3:$C$37)</f>
        <v>SI</v>
      </c>
      <c r="H155" t="str">
        <f>_xlfn.TEXTJOIN("/",TRUE,"MSV-163MS-"&amp;LD_01[[#This Row],[TRECHO]],_xlfn.XLOOKUP(LD_01[[#This Row],[SIGLA]],'CLASSES DE PROJETOS'!$C$3:$C$37,'CLASSES DE PROJETOS'!$E$3:$E$37))</f>
        <v>MSV-163MS-454-460/31.SI</v>
      </c>
      <c r="I155" s="6" t="str" cm="1">
        <f t="array" ref="I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J155" s="6" t="str" cm="1">
        <f t="array" ref="J155">_xlfn.TEXTJOIN(", ",TRUE,_xlfn.UNIQUE(_xlfn._xlws.FILTER(ARQUIVOS_RECEBIDOS!$F$2:$F$5010,ARQUIVOS_RECEBIDOS!$E$2:$E$5010=LD_01[[#This Row],[DOCUMENTO]])))</f>
        <v>R04</v>
      </c>
      <c r="K155" s="12" cm="1">
        <f t="array" ref="K155">_xlfn.UNIQUE(_xlfn._xlws.FILTER(ARQUIVOS[DATA RECEBIMENTO],(ARQUIVOS[DOCUMENTO]=LD_01[[#This Row],[DOCUMENTO]])*(ARQUIVOS[REVISÃO]=LD_01[[#This Row],[REVISÃO]])))</f>
        <v>45838</v>
      </c>
      <c r="L1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M155" s="6" t="str">
        <f>LD_01[[#This Row],[PASTA]]&amp;"/"&amp;LD_01[[#This Row],[ARQUIVO]]</f>
        <v>MSV-163MS-454-460/31.SI/MSV-163MS-454-460-ACA-EXE-DE-J1-006-R04.pdf</v>
      </c>
    </row>
    <row r="156" spans="1:13" hidden="1" x14ac:dyDescent="0.3">
      <c r="A156" s="6" t="s">
        <v>2922</v>
      </c>
      <c r="B156" s="6" t="str">
        <f>VLOOKUP(LD_01[[#This Row],[DOCUMENTO]],_xlfn.SORTBY(ARQUIVOS_RECEBIDOS!$E$2:$F$5010,ARQUIVOS_RECEBIDOS!$F$2:$F$5010,-1),2,)</f>
        <v>R01</v>
      </c>
      <c r="C156" s="15" t="s">
        <v>5987</v>
      </c>
      <c r="D156" s="6" t="s">
        <v>4310</v>
      </c>
      <c r="E156" s="8" t="s">
        <v>4084</v>
      </c>
      <c r="F156" s="8" t="s">
        <v>4331</v>
      </c>
      <c r="G156" s="6" t="str">
        <f>_xlfn.XLOOKUP(LD_01[[#This Row],[DISCIPLINA]],'CLASSES DE PROJETOS'!$F$3:$F$37,'CLASSES DE PROJETOS'!$C$3:$C$37)</f>
        <v>SI</v>
      </c>
      <c r="H156" t="str">
        <f>_xlfn.TEXTJOIN("/",TRUE,"MSV-163MS-"&amp;LD_01[[#This Row],[TRECHO]],_xlfn.XLOOKUP(LD_01[[#This Row],[SIGLA]],'CLASSES DE PROJETOS'!$C$3:$C$37,'CLASSES DE PROJETOS'!$E$3:$E$37))</f>
        <v>MSV-163MS-454-460/31.SI</v>
      </c>
      <c r="I156" s="6" t="str" cm="1">
        <f t="array" ref="I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J156" s="6" t="str" cm="1">
        <f t="array" ref="J156">_xlfn.TEXTJOIN(", ",TRUE,_xlfn.UNIQUE(_xlfn._xlws.FILTER(ARQUIVOS_RECEBIDOS!$F$2:$F$5010,ARQUIVOS_RECEBIDOS!$E$2:$E$5010=LD_01[[#This Row],[DOCUMENTO]])))</f>
        <v>R01</v>
      </c>
      <c r="K156" s="12" cm="1">
        <f t="array" ref="K156">_xlfn.UNIQUE(_xlfn._xlws.FILTER(ARQUIVOS[DATA RECEBIMENTO],(ARQUIVOS[DOCUMENTO]=LD_01[[#This Row],[DOCUMENTO]])*(ARQUIVOS[REVISÃO]=LD_01[[#This Row],[REVISÃO]])))</f>
        <v>45838</v>
      </c>
      <c r="L1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M156" s="6" t="str">
        <f>LD_01[[#This Row],[PASTA]]&amp;"/"&amp;LD_01[[#This Row],[ARQUIVO]]</f>
        <v>MSV-163MS-454-460/31.SI/MSV-163MS-454-460-ACA-EXE-DE-J1-007-R01.pdf</v>
      </c>
    </row>
    <row r="157" spans="1:13" hidden="1" x14ac:dyDescent="0.3">
      <c r="A157" s="6" t="s">
        <v>2923</v>
      </c>
      <c r="B157" s="6" t="str">
        <f>VLOOKUP(LD_01[[#This Row],[DOCUMENTO]],_xlfn.SORTBY(ARQUIVOS_RECEBIDOS!$E$2:$F$5010,ARQUIVOS_RECEBIDOS!$F$2:$F$5010,-1),2,)</f>
        <v>R02</v>
      </c>
      <c r="C157" s="15" t="s">
        <v>5987</v>
      </c>
      <c r="D157" s="6" t="s">
        <v>4310</v>
      </c>
      <c r="E157" s="8" t="s">
        <v>4085</v>
      </c>
      <c r="F157" s="8" t="s">
        <v>4331</v>
      </c>
      <c r="G157" s="6" t="str">
        <f>_xlfn.XLOOKUP(LD_01[[#This Row],[DISCIPLINA]],'CLASSES DE PROJETOS'!$F$3:$F$37,'CLASSES DE PROJETOS'!$C$3:$C$37)</f>
        <v>SI</v>
      </c>
      <c r="H157" t="str">
        <f>_xlfn.TEXTJOIN("/",TRUE,"MSV-163MS-"&amp;LD_01[[#This Row],[TRECHO]],_xlfn.XLOOKUP(LD_01[[#This Row],[SIGLA]],'CLASSES DE PROJETOS'!$C$3:$C$37,'CLASSES DE PROJETOS'!$E$3:$E$37))</f>
        <v>MSV-163MS-454-460/31.SI</v>
      </c>
      <c r="I157" s="6" t="str" cm="1">
        <f t="array" ref="I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J157" s="6" t="str" cm="1">
        <f t="array" ref="J157">_xlfn.TEXTJOIN(", ",TRUE,_xlfn.UNIQUE(_xlfn._xlws.FILTER(ARQUIVOS_RECEBIDOS!$F$2:$F$5010,ARQUIVOS_RECEBIDOS!$E$2:$E$5010=LD_01[[#This Row],[DOCUMENTO]])))</f>
        <v>R02</v>
      </c>
      <c r="K157" s="12" cm="1">
        <f t="array" ref="K157">_xlfn.UNIQUE(_xlfn._xlws.FILTER(ARQUIVOS[DATA RECEBIMENTO],(ARQUIVOS[DOCUMENTO]=LD_01[[#This Row],[DOCUMENTO]])*(ARQUIVOS[REVISÃO]=LD_01[[#This Row],[REVISÃO]])))</f>
        <v>45838</v>
      </c>
      <c r="L1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M157" s="6" t="str">
        <f>LD_01[[#This Row],[PASTA]]&amp;"/"&amp;LD_01[[#This Row],[ARQUIVO]]</f>
        <v>MSV-163MS-454-460/31.SI/MSV-163MS-454-460-ACA-EXE-DE-J1-008-R02.pdf</v>
      </c>
    </row>
    <row r="158" spans="1:13" hidden="1" x14ac:dyDescent="0.3">
      <c r="A158" s="6" t="s">
        <v>2924</v>
      </c>
      <c r="B158" s="6" t="str">
        <f>VLOOKUP(LD_01[[#This Row],[DOCUMENTO]],_xlfn.SORTBY(ARQUIVOS_RECEBIDOS!$E$2:$F$5010,ARQUIVOS_RECEBIDOS!$F$2:$F$5010,-1),2,)</f>
        <v>R00</v>
      </c>
      <c r="C158" s="15" t="s">
        <v>5987</v>
      </c>
      <c r="D158" s="6" t="s">
        <v>4310</v>
      </c>
      <c r="E158" s="8" t="s">
        <v>4085</v>
      </c>
      <c r="F158" s="8" t="s">
        <v>4331</v>
      </c>
      <c r="G158" s="6" t="str">
        <f>_xlfn.XLOOKUP(LD_01[[#This Row],[DISCIPLINA]],'CLASSES DE PROJETOS'!$F$3:$F$37,'CLASSES DE PROJETOS'!$C$3:$C$37)</f>
        <v>SI</v>
      </c>
      <c r="H158" t="str">
        <f>_xlfn.TEXTJOIN("/",TRUE,"MSV-163MS-"&amp;LD_01[[#This Row],[TRECHO]],_xlfn.XLOOKUP(LD_01[[#This Row],[SIGLA]],'CLASSES DE PROJETOS'!$C$3:$C$37,'CLASSES DE PROJETOS'!$E$3:$E$37))</f>
        <v>MSV-163MS-454-460/31.SI</v>
      </c>
      <c r="I158" s="6" t="str" cm="1">
        <f t="array" ref="I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J158" s="6" t="str" cm="1">
        <f t="array" ref="J158">_xlfn.TEXTJOIN(", ",TRUE,_xlfn.UNIQUE(_xlfn._xlws.FILTER(ARQUIVOS_RECEBIDOS!$F$2:$F$5010,ARQUIVOS_RECEBIDOS!$E$2:$E$5010=LD_01[[#This Row],[DOCUMENTO]])))</f>
        <v>R00</v>
      </c>
      <c r="K158" s="12" cm="1">
        <f t="array" ref="K158">_xlfn.UNIQUE(_xlfn._xlws.FILTER(ARQUIVOS[DATA RECEBIMENTO],(ARQUIVOS[DOCUMENTO]=LD_01[[#This Row],[DOCUMENTO]])*(ARQUIVOS[REVISÃO]=LD_01[[#This Row],[REVISÃO]])))</f>
        <v>45838</v>
      </c>
      <c r="L1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M158" s="6" t="str">
        <f>LD_01[[#This Row],[PASTA]]&amp;"/"&amp;LD_01[[#This Row],[ARQUIVO]]</f>
        <v>MSV-163MS-454-460/31.SI/MSV-163MS-454-460-ACA-EXE-DE-J1-009-R00.pdf</v>
      </c>
    </row>
    <row r="159" spans="1:13" hidden="1" x14ac:dyDescent="0.3">
      <c r="A159" s="6" t="s">
        <v>2925</v>
      </c>
      <c r="B159" s="6" t="str">
        <f>VLOOKUP(LD_01[[#This Row],[DOCUMENTO]],_xlfn.SORTBY(ARQUIVOS_RECEBIDOS!$E$2:$F$5010,ARQUIVOS_RECEBIDOS!$F$2:$F$5010,-1),2,)</f>
        <v>R01</v>
      </c>
      <c r="C159" s="15" t="s">
        <v>5987</v>
      </c>
      <c r="D159" s="6" t="s">
        <v>4310</v>
      </c>
      <c r="E159" s="8" t="s">
        <v>4086</v>
      </c>
      <c r="F159" s="8" t="s">
        <v>4331</v>
      </c>
      <c r="G159" s="6" t="str">
        <f>_xlfn.XLOOKUP(LD_01[[#This Row],[DISCIPLINA]],'CLASSES DE PROJETOS'!$F$3:$F$37,'CLASSES DE PROJETOS'!$C$3:$C$37)</f>
        <v>SI</v>
      </c>
      <c r="H159" t="str">
        <f>_xlfn.TEXTJOIN("/",TRUE,"MSV-163MS-"&amp;LD_01[[#This Row],[TRECHO]],_xlfn.XLOOKUP(LD_01[[#This Row],[SIGLA]],'CLASSES DE PROJETOS'!$C$3:$C$37,'CLASSES DE PROJETOS'!$E$3:$E$37))</f>
        <v>MSV-163MS-454-460/31.SI</v>
      </c>
      <c r="I159" s="6" t="str" cm="1">
        <f t="array" ref="I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J159" s="6" t="str" cm="1">
        <f t="array" ref="J159">_xlfn.TEXTJOIN(", ",TRUE,_xlfn.UNIQUE(_xlfn._xlws.FILTER(ARQUIVOS_RECEBIDOS!$F$2:$F$5010,ARQUIVOS_RECEBIDOS!$E$2:$E$5010=LD_01[[#This Row],[DOCUMENTO]])))</f>
        <v>R01</v>
      </c>
      <c r="K159" s="12" cm="1">
        <f t="array" ref="K159">_xlfn.UNIQUE(_xlfn._xlws.FILTER(ARQUIVOS[DATA RECEBIMENTO],(ARQUIVOS[DOCUMENTO]=LD_01[[#This Row],[DOCUMENTO]])*(ARQUIVOS[REVISÃO]=LD_01[[#This Row],[REVISÃO]])))</f>
        <v>45838</v>
      </c>
      <c r="L1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M159" s="6" t="str">
        <f>LD_01[[#This Row],[PASTA]]&amp;"/"&amp;LD_01[[#This Row],[ARQUIVO]]</f>
        <v>MSV-163MS-454-460/31.SI/MSV-163MS-454-460-ACA-EXE-DE-J1-010-R01.pdf</v>
      </c>
    </row>
    <row r="160" spans="1:13" ht="43.2" hidden="1" x14ac:dyDescent="0.3">
      <c r="A160" s="6" t="s">
        <v>2926</v>
      </c>
      <c r="B160" s="6" t="str">
        <f>VLOOKUP(LD_01[[#This Row],[DOCUMENTO]],_xlfn.SORTBY(ARQUIVOS_RECEBIDOS!$E$2:$F$5010,ARQUIVOS_RECEBIDOS!$F$2:$F$5010,-1),2,)</f>
        <v>R00</v>
      </c>
      <c r="C160" s="15" t="s">
        <v>5987</v>
      </c>
      <c r="D160" s="6" t="s">
        <v>4310</v>
      </c>
      <c r="E160" s="8" t="s">
        <v>4175</v>
      </c>
      <c r="F160" s="8" t="s">
        <v>4336</v>
      </c>
      <c r="G160" s="6" t="str">
        <f>_xlfn.XLOOKUP(LD_01[[#This Row],[DISCIPLINA]],'CLASSES DE PROJETOS'!$F$3:$F$37,'CLASSES DE PROJETOS'!$C$3:$C$37)</f>
        <v>OC</v>
      </c>
      <c r="H160" t="str">
        <f>_xlfn.TEXTJOIN("/",TRUE,"MSV-163MS-"&amp;LD_01[[#This Row],[TRECHO]],_xlfn.XLOOKUP(LD_01[[#This Row],[SIGLA]],'CLASSES DE PROJETOS'!$C$3:$C$37,'CLASSES DE PROJETOS'!$E$3:$E$37))</f>
        <v>MSV-163MS-454-460/35.OC</v>
      </c>
      <c r="I160" s="6" t="str" cm="1">
        <f t="array" ref="I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J160" s="6" t="str" cm="1">
        <f t="array" ref="J160">_xlfn.TEXTJOIN(", ",TRUE,_xlfn.UNIQUE(_xlfn._xlws.FILTER(ARQUIVOS_RECEBIDOS!$F$2:$F$5010,ARQUIVOS_RECEBIDOS!$E$2:$E$5010=LD_01[[#This Row],[DOCUMENTO]])))</f>
        <v>R00</v>
      </c>
      <c r="K160" s="12" cm="1">
        <f t="array" ref="K160">_xlfn.UNIQUE(_xlfn._xlws.FILTER(ARQUIVOS[DATA RECEBIMENTO],(ARQUIVOS[DOCUMENTO]=LD_01[[#This Row],[DOCUMENTO]])*(ARQUIVOS[REVISÃO]=LD_01[[#This Row],[REVISÃO]])))</f>
        <v>45838</v>
      </c>
      <c r="L1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M160" s="6" t="str">
        <f>LD_01[[#This Row],[PASTA]]&amp;"/"&amp;LD_01[[#This Row],[ARQUIVO]]</f>
        <v>MSV-163MS-454-460/35.OC/MSV-163MS-454-460-ACA-EXE-DE-J2-101-R00.pdf</v>
      </c>
    </row>
    <row r="161" spans="1:13" ht="43.2" hidden="1" x14ac:dyDescent="0.3">
      <c r="A161" s="6" t="s">
        <v>2955</v>
      </c>
      <c r="B161" s="6" t="str">
        <f>VLOOKUP(LD_01[[#This Row],[DOCUMENTO]],_xlfn.SORTBY(ARQUIVOS_RECEBIDOS!$E$2:$F$5010,ARQUIVOS_RECEBIDOS!$F$2:$F$5010,-1),2,)</f>
        <v>R02</v>
      </c>
      <c r="C161" s="15" t="s">
        <v>5987</v>
      </c>
      <c r="D161" s="6" t="s">
        <v>4310</v>
      </c>
      <c r="E161" s="8" t="s">
        <v>4184</v>
      </c>
      <c r="F161" s="8" t="s">
        <v>4337</v>
      </c>
      <c r="G161" s="6" t="str">
        <f>_xlfn.XLOOKUP(LD_01[[#This Row],[DISCIPLINA]],'CLASSES DE PROJETOS'!$F$3:$F$37,'CLASSES DE PROJETOS'!$C$3:$C$37)</f>
        <v>EL</v>
      </c>
      <c r="H161" t="str">
        <f>_xlfn.TEXTJOIN("/",TRUE,"MSV-163MS-"&amp;LD_01[[#This Row],[TRECHO]],_xlfn.XLOOKUP(LD_01[[#This Row],[SIGLA]],'CLASSES DE PROJETOS'!$C$3:$C$37,'CLASSES DE PROJETOS'!$E$3:$E$37))</f>
        <v>MSV-163MS-454-460/14.EL</v>
      </c>
      <c r="I161" s="6" t="str" cm="1">
        <f t="array" ref="I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J161" s="6" t="str" cm="1">
        <f t="array" ref="J161">_xlfn.TEXTJOIN(", ",TRUE,_xlfn.UNIQUE(_xlfn._xlws.FILTER(ARQUIVOS_RECEBIDOS!$F$2:$F$5010,ARQUIVOS_RECEBIDOS!$E$2:$E$5010=LD_01[[#This Row],[DOCUMENTO]])))</f>
        <v>R02</v>
      </c>
      <c r="K161" s="12" cm="1">
        <f t="array" ref="K161">_xlfn.UNIQUE(_xlfn._xlws.FILTER(ARQUIVOS[DATA RECEBIMENTO],(ARQUIVOS[DOCUMENTO]=LD_01[[#This Row],[DOCUMENTO]])*(ARQUIVOS[REVISÃO]=LD_01[[#This Row],[REVISÃO]])))</f>
        <v>45838</v>
      </c>
      <c r="L1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M161" s="6" t="str">
        <f>LD_01[[#This Row],[PASTA]]&amp;"/"&amp;LD_01[[#This Row],[ARQUIVO]]</f>
        <v>MSV-163MS-454-460/14.EL/MSV-163MS-454-460-ACA-EXE-DE-K2-001-R02.pdf</v>
      </c>
    </row>
    <row r="162" spans="1:13" ht="43.2" hidden="1" x14ac:dyDescent="0.3">
      <c r="A162" s="6" t="s">
        <v>2956</v>
      </c>
      <c r="B162" s="6" t="str">
        <f>VLOOKUP(LD_01[[#This Row],[DOCUMENTO]],_xlfn.SORTBY(ARQUIVOS_RECEBIDOS!$E$2:$F$5010,ARQUIVOS_RECEBIDOS!$F$2:$F$5010,-1),2,)</f>
        <v>R03</v>
      </c>
      <c r="C162" s="15" t="s">
        <v>5987</v>
      </c>
      <c r="D162" s="6" t="s">
        <v>4310</v>
      </c>
      <c r="E162" s="8" t="s">
        <v>4185</v>
      </c>
      <c r="F162" s="8" t="s">
        <v>4337</v>
      </c>
      <c r="G162" s="6" t="str">
        <f>_xlfn.XLOOKUP(LD_01[[#This Row],[DISCIPLINA]],'CLASSES DE PROJETOS'!$F$3:$F$37,'CLASSES DE PROJETOS'!$C$3:$C$37)</f>
        <v>EL</v>
      </c>
      <c r="H162" t="str">
        <f>_xlfn.TEXTJOIN("/",TRUE,"MSV-163MS-"&amp;LD_01[[#This Row],[TRECHO]],_xlfn.XLOOKUP(LD_01[[#This Row],[SIGLA]],'CLASSES DE PROJETOS'!$C$3:$C$37,'CLASSES DE PROJETOS'!$E$3:$E$37))</f>
        <v>MSV-163MS-454-460/14.EL</v>
      </c>
      <c r="I162" s="6" t="str" cm="1">
        <f t="array" ref="I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J162" s="6" t="str" cm="1">
        <f t="array" ref="J162">_xlfn.TEXTJOIN(", ",TRUE,_xlfn.UNIQUE(_xlfn._xlws.FILTER(ARQUIVOS_RECEBIDOS!$F$2:$F$5010,ARQUIVOS_RECEBIDOS!$E$2:$E$5010=LD_01[[#This Row],[DOCUMENTO]])))</f>
        <v>R03</v>
      </c>
      <c r="K162" s="12" cm="1">
        <f t="array" ref="K162">_xlfn.UNIQUE(_xlfn._xlws.FILTER(ARQUIVOS[DATA RECEBIMENTO],(ARQUIVOS[DOCUMENTO]=LD_01[[#This Row],[DOCUMENTO]])*(ARQUIVOS[REVISÃO]=LD_01[[#This Row],[REVISÃO]])))</f>
        <v>45838</v>
      </c>
      <c r="L1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M162" s="6" t="str">
        <f>LD_01[[#This Row],[PASTA]]&amp;"/"&amp;LD_01[[#This Row],[ARQUIVO]]</f>
        <v>MSV-163MS-454-460/14.EL/MSV-163MS-454-460-ACA-EXE-DE-K2-002-R03.pdf</v>
      </c>
    </row>
    <row r="163" spans="1:13" ht="43.2" hidden="1" x14ac:dyDescent="0.3">
      <c r="A163" s="6" t="s">
        <v>2957</v>
      </c>
      <c r="B163" s="6" t="str">
        <f>VLOOKUP(LD_01[[#This Row],[DOCUMENTO]],_xlfn.SORTBY(ARQUIVOS_RECEBIDOS!$E$2:$F$5010,ARQUIVOS_RECEBIDOS!$F$2:$F$5010,-1),2,)</f>
        <v>R05</v>
      </c>
      <c r="C163" s="15" t="s">
        <v>5987</v>
      </c>
      <c r="D163" s="6" t="s">
        <v>4310</v>
      </c>
      <c r="E163" s="8" t="s">
        <v>4186</v>
      </c>
      <c r="F163" s="8" t="s">
        <v>4337</v>
      </c>
      <c r="G163" s="6" t="str">
        <f>_xlfn.XLOOKUP(LD_01[[#This Row],[DISCIPLINA]],'CLASSES DE PROJETOS'!$F$3:$F$37,'CLASSES DE PROJETOS'!$C$3:$C$37)</f>
        <v>EL</v>
      </c>
      <c r="H163" t="str">
        <f>_xlfn.TEXTJOIN("/",TRUE,"MSV-163MS-"&amp;LD_01[[#This Row],[TRECHO]],_xlfn.XLOOKUP(LD_01[[#This Row],[SIGLA]],'CLASSES DE PROJETOS'!$C$3:$C$37,'CLASSES DE PROJETOS'!$E$3:$E$37))</f>
        <v>MSV-163MS-454-460/14.EL</v>
      </c>
      <c r="I163" s="6" t="str" cm="1">
        <f t="array" ref="I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J163" s="6" t="str" cm="1">
        <f t="array" ref="J163">_xlfn.TEXTJOIN(", ",TRUE,_xlfn.UNIQUE(_xlfn._xlws.FILTER(ARQUIVOS_RECEBIDOS!$F$2:$F$5010,ARQUIVOS_RECEBIDOS!$E$2:$E$5010=LD_01[[#This Row],[DOCUMENTO]])))</f>
        <v>R05</v>
      </c>
      <c r="K163" s="12" cm="1">
        <f t="array" ref="K163">_xlfn.UNIQUE(_xlfn._xlws.FILTER(ARQUIVOS[DATA RECEBIMENTO],(ARQUIVOS[DOCUMENTO]=LD_01[[#This Row],[DOCUMENTO]])*(ARQUIVOS[REVISÃO]=LD_01[[#This Row],[REVISÃO]])))</f>
        <v>45838</v>
      </c>
      <c r="L1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M163" s="6" t="str">
        <f>LD_01[[#This Row],[PASTA]]&amp;"/"&amp;LD_01[[#This Row],[ARQUIVO]]</f>
        <v>MSV-163MS-454-460/14.EL/MSV-163MS-454-460-ACA-EXE-DE-K2-003-R05.pdf</v>
      </c>
    </row>
    <row r="164" spans="1:13" ht="43.2" hidden="1" x14ac:dyDescent="0.3">
      <c r="A164" s="6" t="s">
        <v>2958</v>
      </c>
      <c r="B164" s="6" t="str">
        <f>VLOOKUP(LD_01[[#This Row],[DOCUMENTO]],_xlfn.SORTBY(ARQUIVOS_RECEBIDOS!$E$2:$F$5010,ARQUIVOS_RECEBIDOS!$F$2:$F$5010,-1),2,)</f>
        <v>R05</v>
      </c>
      <c r="C164" s="15" t="s">
        <v>5987</v>
      </c>
      <c r="D164" s="6" t="s">
        <v>4310</v>
      </c>
      <c r="E164" s="8" t="s">
        <v>4186</v>
      </c>
      <c r="F164" s="8" t="s">
        <v>4337</v>
      </c>
      <c r="G164" s="6" t="str">
        <f>_xlfn.XLOOKUP(LD_01[[#This Row],[DISCIPLINA]],'CLASSES DE PROJETOS'!$F$3:$F$37,'CLASSES DE PROJETOS'!$C$3:$C$37)</f>
        <v>EL</v>
      </c>
      <c r="H164" t="str">
        <f>_xlfn.TEXTJOIN("/",TRUE,"MSV-163MS-"&amp;LD_01[[#This Row],[TRECHO]],_xlfn.XLOOKUP(LD_01[[#This Row],[SIGLA]],'CLASSES DE PROJETOS'!$C$3:$C$37,'CLASSES DE PROJETOS'!$E$3:$E$37))</f>
        <v>MSV-163MS-454-460/14.EL</v>
      </c>
      <c r="I164" s="6" t="str" cm="1">
        <f t="array" ref="I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J164" s="6" t="str" cm="1">
        <f t="array" ref="J164">_xlfn.TEXTJOIN(", ",TRUE,_xlfn.UNIQUE(_xlfn._xlws.FILTER(ARQUIVOS_RECEBIDOS!$F$2:$F$5010,ARQUIVOS_RECEBIDOS!$E$2:$E$5010=LD_01[[#This Row],[DOCUMENTO]])))</f>
        <v>R05</v>
      </c>
      <c r="K164" s="12" cm="1">
        <f t="array" ref="K164">_xlfn.UNIQUE(_xlfn._xlws.FILTER(ARQUIVOS[DATA RECEBIMENTO],(ARQUIVOS[DOCUMENTO]=LD_01[[#This Row],[DOCUMENTO]])*(ARQUIVOS[REVISÃO]=LD_01[[#This Row],[REVISÃO]])))</f>
        <v>45838</v>
      </c>
      <c r="L1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M164" s="6" t="str">
        <f>LD_01[[#This Row],[PASTA]]&amp;"/"&amp;LD_01[[#This Row],[ARQUIVO]]</f>
        <v>MSV-163MS-454-460/14.EL/MSV-163MS-454-460-ACA-EXE-DE-K2-004-R05.pdf</v>
      </c>
    </row>
    <row r="165" spans="1:13" ht="43.2" hidden="1" x14ac:dyDescent="0.3">
      <c r="A165" s="6" t="s">
        <v>2959</v>
      </c>
      <c r="B165" s="6" t="str">
        <f>VLOOKUP(LD_01[[#This Row],[DOCUMENTO]],_xlfn.SORTBY(ARQUIVOS_RECEBIDOS!$E$2:$F$5010,ARQUIVOS_RECEBIDOS!$F$2:$F$5010,-1),2,)</f>
        <v>R04</v>
      </c>
      <c r="C165" s="15" t="s">
        <v>5987</v>
      </c>
      <c r="D165" s="6" t="s">
        <v>4310</v>
      </c>
      <c r="E165" s="8" t="s">
        <v>4187</v>
      </c>
      <c r="F165" s="8" t="s">
        <v>4337</v>
      </c>
      <c r="G165" s="6" t="str">
        <f>_xlfn.XLOOKUP(LD_01[[#This Row],[DISCIPLINA]],'CLASSES DE PROJETOS'!$F$3:$F$37,'CLASSES DE PROJETOS'!$C$3:$C$37)</f>
        <v>EL</v>
      </c>
      <c r="H165" t="str">
        <f>_xlfn.TEXTJOIN("/",TRUE,"MSV-163MS-"&amp;LD_01[[#This Row],[TRECHO]],_xlfn.XLOOKUP(LD_01[[#This Row],[SIGLA]],'CLASSES DE PROJETOS'!$C$3:$C$37,'CLASSES DE PROJETOS'!$E$3:$E$37))</f>
        <v>MSV-163MS-454-460/14.EL</v>
      </c>
      <c r="I165" s="6" t="str" cm="1">
        <f t="array" ref="I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J165" s="6" t="str" cm="1">
        <f t="array" ref="J165">_xlfn.TEXTJOIN(", ",TRUE,_xlfn.UNIQUE(_xlfn._xlws.FILTER(ARQUIVOS_RECEBIDOS!$F$2:$F$5010,ARQUIVOS_RECEBIDOS!$E$2:$E$5010=LD_01[[#This Row],[DOCUMENTO]])))</f>
        <v>R03, R04</v>
      </c>
      <c r="K165" s="12" cm="1">
        <f t="array" ref="K165">_xlfn.UNIQUE(_xlfn._xlws.FILTER(ARQUIVOS[DATA RECEBIMENTO],(ARQUIVOS[DOCUMENTO]=LD_01[[#This Row],[DOCUMENTO]])*(ARQUIVOS[REVISÃO]=LD_01[[#This Row],[REVISÃO]])))</f>
        <v>45895</v>
      </c>
      <c r="L1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M165" s="6" t="str">
        <f>LD_01[[#This Row],[PASTA]]&amp;"/"&amp;LD_01[[#This Row],[ARQUIVO]]</f>
        <v>MSV-163MS-454-460/14.EL/MSV-163MS-454-460-ACA-EXE-DE-K2-005-R04.pdf</v>
      </c>
    </row>
    <row r="166" spans="1:13" ht="43.2" hidden="1" x14ac:dyDescent="0.3">
      <c r="A166" s="6" t="s">
        <v>2947</v>
      </c>
      <c r="B166" s="6" t="str">
        <f>VLOOKUP(LD_01[[#This Row],[DOCUMENTO]],_xlfn.SORTBY(ARQUIVOS_RECEBIDOS!$E$2:$F$5010,ARQUIVOS_RECEBIDOS!$F$2:$F$5010,-1),2,)</f>
        <v>R01</v>
      </c>
      <c r="C166" s="15" t="s">
        <v>5987</v>
      </c>
      <c r="D166" s="6" t="s">
        <v>4310</v>
      </c>
      <c r="E166" s="8" t="s">
        <v>4177</v>
      </c>
      <c r="F166" s="8" t="s">
        <v>5989</v>
      </c>
      <c r="G166" s="6" t="str">
        <f>_xlfn.XLOOKUP(LD_01[[#This Row],[DISCIPLINA]],'CLASSES DE PROJETOS'!$F$3:$F$37,'CLASSES DE PROJETOS'!$C$3:$C$37)</f>
        <v>ES</v>
      </c>
      <c r="H166" t="str">
        <f>_xlfn.TEXTJOIN("/",TRUE,"MSV-163MS-"&amp;LD_01[[#This Row],[TRECHO]],_xlfn.XLOOKUP(LD_01[[#This Row],[SIGLA]],'CLASSES DE PROJETOS'!$C$3:$C$37,'CLASSES DE PROJETOS'!$E$3:$E$37))</f>
        <v>MSV-163MS-454-460/16.ES</v>
      </c>
      <c r="I166" s="6" t="str" cm="1">
        <f t="array" ref="I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J166" s="6" t="str" cm="1">
        <f t="array" ref="J166">_xlfn.TEXTJOIN(", ",TRUE,_xlfn.UNIQUE(_xlfn._xlws.FILTER(ARQUIVOS_RECEBIDOS!$F$2:$F$5010,ARQUIVOS_RECEBIDOS!$E$2:$E$5010=LD_01[[#This Row],[DOCUMENTO]])))</f>
        <v>R00, R01</v>
      </c>
      <c r="K166" s="12" cm="1">
        <f t="array" ref="K166">_xlfn.UNIQUE(_xlfn._xlws.FILTER(ARQUIVOS[DATA RECEBIMENTO],(ARQUIVOS[DOCUMENTO]=LD_01[[#This Row],[DOCUMENTO]])*(ARQUIVOS[REVISÃO]=LD_01[[#This Row],[REVISÃO]])))</f>
        <v>45895</v>
      </c>
      <c r="L1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M166" s="6" t="str">
        <f>LD_01[[#This Row],[PASTA]]&amp;"/"&amp;LD_01[[#This Row],[ARQUIVO]]</f>
        <v>MSV-163MS-454-460/16.ES/MSV-163MS-454-460-ACA-EXE-DE-L2-001-R01.pdf</v>
      </c>
    </row>
    <row r="167" spans="1:13" ht="28.8" hidden="1" x14ac:dyDescent="0.3">
      <c r="A167" s="6" t="s">
        <v>2948</v>
      </c>
      <c r="B167" s="6" t="str">
        <f>VLOOKUP(LD_01[[#This Row],[DOCUMENTO]],_xlfn.SORTBY(ARQUIVOS_RECEBIDOS!$E$2:$F$5010,ARQUIVOS_RECEBIDOS!$F$2:$F$5010,-1),2,)</f>
        <v>R01</v>
      </c>
      <c r="C167" s="15" t="s">
        <v>5987</v>
      </c>
      <c r="D167" s="6" t="s">
        <v>4310</v>
      </c>
      <c r="E167" s="8" t="s">
        <v>4178</v>
      </c>
      <c r="F167" s="8" t="s">
        <v>5989</v>
      </c>
      <c r="G167" s="6" t="str">
        <f>_xlfn.XLOOKUP(LD_01[[#This Row],[DISCIPLINA]],'CLASSES DE PROJETOS'!$F$3:$F$37,'CLASSES DE PROJETOS'!$C$3:$C$37)</f>
        <v>ES</v>
      </c>
      <c r="H167" t="str">
        <f>_xlfn.TEXTJOIN("/",TRUE,"MSV-163MS-"&amp;LD_01[[#This Row],[TRECHO]],_xlfn.XLOOKUP(LD_01[[#This Row],[SIGLA]],'CLASSES DE PROJETOS'!$C$3:$C$37,'CLASSES DE PROJETOS'!$E$3:$E$37))</f>
        <v>MSV-163MS-454-460/16.ES</v>
      </c>
      <c r="I167" s="6" t="str" cm="1">
        <f t="array" ref="I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J167" s="6" t="str" cm="1">
        <f t="array" ref="J167">_xlfn.TEXTJOIN(", ",TRUE,_xlfn.UNIQUE(_xlfn._xlws.FILTER(ARQUIVOS_RECEBIDOS!$F$2:$F$5010,ARQUIVOS_RECEBIDOS!$E$2:$E$5010=LD_01[[#This Row],[DOCUMENTO]])))</f>
        <v>R00, R01</v>
      </c>
      <c r="K167" s="12" cm="1">
        <f t="array" ref="K167">_xlfn.UNIQUE(_xlfn._xlws.FILTER(ARQUIVOS[DATA RECEBIMENTO],(ARQUIVOS[DOCUMENTO]=LD_01[[#This Row],[DOCUMENTO]])*(ARQUIVOS[REVISÃO]=LD_01[[#This Row],[REVISÃO]])))</f>
        <v>45895</v>
      </c>
      <c r="L1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M167" s="6" t="str">
        <f>LD_01[[#This Row],[PASTA]]&amp;"/"&amp;LD_01[[#This Row],[ARQUIVO]]</f>
        <v>MSV-163MS-454-460/16.ES/MSV-163MS-454-460-ACA-EXE-DE-L2-002-R01.pdf</v>
      </c>
    </row>
    <row r="168" spans="1:13" ht="28.8" hidden="1" x14ac:dyDescent="0.3">
      <c r="A168" s="6" t="s">
        <v>2949</v>
      </c>
      <c r="B168" s="6" t="str">
        <f>VLOOKUP(LD_01[[#This Row],[DOCUMENTO]],_xlfn.SORTBY(ARQUIVOS_RECEBIDOS!$E$2:$F$5010,ARQUIVOS_RECEBIDOS!$F$2:$F$5010,-1),2,)</f>
        <v>R01</v>
      </c>
      <c r="C168" s="15" t="s">
        <v>5987</v>
      </c>
      <c r="D168" s="6" t="s">
        <v>4310</v>
      </c>
      <c r="E168" s="8" t="s">
        <v>4179</v>
      </c>
      <c r="F168" s="8" t="s">
        <v>5989</v>
      </c>
      <c r="G168" s="6" t="str">
        <f>_xlfn.XLOOKUP(LD_01[[#This Row],[DISCIPLINA]],'CLASSES DE PROJETOS'!$F$3:$F$37,'CLASSES DE PROJETOS'!$C$3:$C$37)</f>
        <v>ES</v>
      </c>
      <c r="H168" t="str">
        <f>_xlfn.TEXTJOIN("/",TRUE,"MSV-163MS-"&amp;LD_01[[#This Row],[TRECHO]],_xlfn.XLOOKUP(LD_01[[#This Row],[SIGLA]],'CLASSES DE PROJETOS'!$C$3:$C$37,'CLASSES DE PROJETOS'!$E$3:$E$37))</f>
        <v>MSV-163MS-454-460/16.ES</v>
      </c>
      <c r="I168" s="6" t="str" cm="1">
        <f t="array" ref="I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J168" s="6" t="str" cm="1">
        <f t="array" ref="J168">_xlfn.TEXTJOIN(", ",TRUE,_xlfn.UNIQUE(_xlfn._xlws.FILTER(ARQUIVOS_RECEBIDOS!$F$2:$F$5010,ARQUIVOS_RECEBIDOS!$E$2:$E$5010=LD_01[[#This Row],[DOCUMENTO]])))</f>
        <v>R00, R01</v>
      </c>
      <c r="K168" s="12" cm="1">
        <f t="array" ref="K168">_xlfn.UNIQUE(_xlfn._xlws.FILTER(ARQUIVOS[DATA RECEBIMENTO],(ARQUIVOS[DOCUMENTO]=LD_01[[#This Row],[DOCUMENTO]])*(ARQUIVOS[REVISÃO]=LD_01[[#This Row],[REVISÃO]])))</f>
        <v>45895</v>
      </c>
      <c r="L1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M168" s="6" t="str">
        <f>LD_01[[#This Row],[PASTA]]&amp;"/"&amp;LD_01[[#This Row],[ARQUIVO]]</f>
        <v>MSV-163MS-454-460/16.ES/MSV-163MS-454-460-ACA-EXE-DE-L2-003-R01.pdf</v>
      </c>
    </row>
    <row r="169" spans="1:13" ht="28.8" hidden="1" x14ac:dyDescent="0.3">
      <c r="A169" s="6" t="s">
        <v>2950</v>
      </c>
      <c r="B169" s="6" t="str">
        <f>VLOOKUP(LD_01[[#This Row],[DOCUMENTO]],_xlfn.SORTBY(ARQUIVOS_RECEBIDOS!$E$2:$F$5010,ARQUIVOS_RECEBIDOS!$F$2:$F$5010,-1),2,)</f>
        <v>R01</v>
      </c>
      <c r="C169" s="15" t="s">
        <v>5987</v>
      </c>
      <c r="D169" s="6" t="s">
        <v>4310</v>
      </c>
      <c r="E169" s="8" t="s">
        <v>4180</v>
      </c>
      <c r="F169" s="8" t="s">
        <v>5989</v>
      </c>
      <c r="G169" s="6" t="str">
        <f>_xlfn.XLOOKUP(LD_01[[#This Row],[DISCIPLINA]],'CLASSES DE PROJETOS'!$F$3:$F$37,'CLASSES DE PROJETOS'!$C$3:$C$37)</f>
        <v>ES</v>
      </c>
      <c r="H169" t="str">
        <f>_xlfn.TEXTJOIN("/",TRUE,"MSV-163MS-"&amp;LD_01[[#This Row],[TRECHO]],_xlfn.XLOOKUP(LD_01[[#This Row],[SIGLA]],'CLASSES DE PROJETOS'!$C$3:$C$37,'CLASSES DE PROJETOS'!$E$3:$E$37))</f>
        <v>MSV-163MS-454-460/16.ES</v>
      </c>
      <c r="I169" s="6" t="str" cm="1">
        <f t="array" ref="I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J169" s="6" t="str" cm="1">
        <f t="array" ref="J169">_xlfn.TEXTJOIN(", ",TRUE,_xlfn.UNIQUE(_xlfn._xlws.FILTER(ARQUIVOS_RECEBIDOS!$F$2:$F$5010,ARQUIVOS_RECEBIDOS!$E$2:$E$5010=LD_01[[#This Row],[DOCUMENTO]])))</f>
        <v>R00, R01</v>
      </c>
      <c r="K169" s="12" cm="1">
        <f t="array" ref="K169">_xlfn.UNIQUE(_xlfn._xlws.FILTER(ARQUIVOS[DATA RECEBIMENTO],(ARQUIVOS[DOCUMENTO]=LD_01[[#This Row],[DOCUMENTO]])*(ARQUIVOS[REVISÃO]=LD_01[[#This Row],[REVISÃO]])))</f>
        <v>45931</v>
      </c>
      <c r="L1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M169" s="6" t="str">
        <f>LD_01[[#This Row],[PASTA]]&amp;"/"&amp;LD_01[[#This Row],[ARQUIVO]]</f>
        <v>MSV-163MS-454-460/16.ES/MSV-163MS-454-460-ACA-EXE-DE-L2-004-R01.pdf</v>
      </c>
    </row>
    <row r="170" spans="1:13" ht="28.8" hidden="1" x14ac:dyDescent="0.3">
      <c r="A170" s="6" t="s">
        <v>2951</v>
      </c>
      <c r="B170" s="6" t="str">
        <f>VLOOKUP(LD_01[[#This Row],[DOCUMENTO]],_xlfn.SORTBY(ARQUIVOS_RECEBIDOS!$E$2:$F$5010,ARQUIVOS_RECEBIDOS!$F$2:$F$5010,-1),2,)</f>
        <v>R01</v>
      </c>
      <c r="C170" s="15" t="s">
        <v>5987</v>
      </c>
      <c r="D170" s="6" t="s">
        <v>4310</v>
      </c>
      <c r="E170" s="8" t="s">
        <v>4181</v>
      </c>
      <c r="F170" s="8" t="s">
        <v>5989</v>
      </c>
      <c r="G170" s="6" t="str">
        <f>_xlfn.XLOOKUP(LD_01[[#This Row],[DISCIPLINA]],'CLASSES DE PROJETOS'!$F$3:$F$37,'CLASSES DE PROJETOS'!$C$3:$C$37)</f>
        <v>ES</v>
      </c>
      <c r="H170" t="str">
        <f>_xlfn.TEXTJOIN("/",TRUE,"MSV-163MS-"&amp;LD_01[[#This Row],[TRECHO]],_xlfn.XLOOKUP(LD_01[[#This Row],[SIGLA]],'CLASSES DE PROJETOS'!$C$3:$C$37,'CLASSES DE PROJETOS'!$E$3:$E$37))</f>
        <v>MSV-163MS-454-460/16.ES</v>
      </c>
      <c r="I170" s="6" t="str" cm="1">
        <f t="array" ref="I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J170" s="6" t="str" cm="1">
        <f t="array" ref="J170">_xlfn.TEXTJOIN(", ",TRUE,_xlfn.UNIQUE(_xlfn._xlws.FILTER(ARQUIVOS_RECEBIDOS!$F$2:$F$5010,ARQUIVOS_RECEBIDOS!$E$2:$E$5010=LD_01[[#This Row],[DOCUMENTO]])))</f>
        <v>R00, R01</v>
      </c>
      <c r="K170" s="12" cm="1">
        <f t="array" ref="K170">_xlfn.UNIQUE(_xlfn._xlws.FILTER(ARQUIVOS[DATA RECEBIMENTO],(ARQUIVOS[DOCUMENTO]=LD_01[[#This Row],[DOCUMENTO]])*(ARQUIVOS[REVISÃO]=LD_01[[#This Row],[REVISÃO]])))</f>
        <v>45931</v>
      </c>
      <c r="L1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M170" s="6" t="str">
        <f>LD_01[[#This Row],[PASTA]]&amp;"/"&amp;LD_01[[#This Row],[ARQUIVO]]</f>
        <v>MSV-163MS-454-460/16.ES/MSV-163MS-454-460-ACA-EXE-DE-L2-005-R01.pdf</v>
      </c>
    </row>
    <row r="171" spans="1:13" ht="28.8" hidden="1" x14ac:dyDescent="0.3">
      <c r="A171" s="6" t="s">
        <v>2952</v>
      </c>
      <c r="B171" s="6" t="str">
        <f>VLOOKUP(LD_01[[#This Row],[DOCUMENTO]],_xlfn.SORTBY(ARQUIVOS_RECEBIDOS!$E$2:$F$5010,ARQUIVOS_RECEBIDOS!$F$2:$F$5010,-1),2,)</f>
        <v>R01</v>
      </c>
      <c r="C171" s="15" t="s">
        <v>5987</v>
      </c>
      <c r="D171" s="6" t="s">
        <v>4310</v>
      </c>
      <c r="E171" s="8" t="s">
        <v>4181</v>
      </c>
      <c r="F171" s="8" t="s">
        <v>5989</v>
      </c>
      <c r="G171" s="6" t="str">
        <f>_xlfn.XLOOKUP(LD_01[[#This Row],[DISCIPLINA]],'CLASSES DE PROJETOS'!$F$3:$F$37,'CLASSES DE PROJETOS'!$C$3:$C$37)</f>
        <v>ES</v>
      </c>
      <c r="H171" t="str">
        <f>_xlfn.TEXTJOIN("/",TRUE,"MSV-163MS-"&amp;LD_01[[#This Row],[TRECHO]],_xlfn.XLOOKUP(LD_01[[#This Row],[SIGLA]],'CLASSES DE PROJETOS'!$C$3:$C$37,'CLASSES DE PROJETOS'!$E$3:$E$37))</f>
        <v>MSV-163MS-454-460/16.ES</v>
      </c>
      <c r="I171" s="6" t="str" cm="1">
        <f t="array" ref="I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J171" s="6" t="str" cm="1">
        <f t="array" ref="J171">_xlfn.TEXTJOIN(", ",TRUE,_xlfn.UNIQUE(_xlfn._xlws.FILTER(ARQUIVOS_RECEBIDOS!$F$2:$F$5010,ARQUIVOS_RECEBIDOS!$E$2:$E$5010=LD_01[[#This Row],[DOCUMENTO]])))</f>
        <v>R00, R01</v>
      </c>
      <c r="K171" s="12" cm="1">
        <f t="array" ref="K171">_xlfn.UNIQUE(_xlfn._xlws.FILTER(ARQUIVOS[DATA RECEBIMENTO],(ARQUIVOS[DOCUMENTO]=LD_01[[#This Row],[DOCUMENTO]])*(ARQUIVOS[REVISÃO]=LD_01[[#This Row],[REVISÃO]])))</f>
        <v>45931</v>
      </c>
      <c r="L1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M171" s="6" t="str">
        <f>LD_01[[#This Row],[PASTA]]&amp;"/"&amp;LD_01[[#This Row],[ARQUIVO]]</f>
        <v>MSV-163MS-454-460/16.ES/MSV-163MS-454-460-ACA-EXE-DE-L2-006-R01.pdf</v>
      </c>
    </row>
    <row r="172" spans="1:13" ht="28.8" hidden="1" x14ac:dyDescent="0.3">
      <c r="A172" s="6" t="s">
        <v>2953</v>
      </c>
      <c r="B172" s="6" t="str">
        <f>VLOOKUP(LD_01[[#This Row],[DOCUMENTO]],_xlfn.SORTBY(ARQUIVOS_RECEBIDOS!$E$2:$F$5010,ARQUIVOS_RECEBIDOS!$F$2:$F$5010,-1),2,)</f>
        <v>R01</v>
      </c>
      <c r="C172" s="15" t="s">
        <v>5987</v>
      </c>
      <c r="D172" s="6" t="s">
        <v>4310</v>
      </c>
      <c r="E172" s="8" t="s">
        <v>4182</v>
      </c>
      <c r="F172" s="8" t="s">
        <v>5989</v>
      </c>
      <c r="G172" s="6" t="str">
        <f>_xlfn.XLOOKUP(LD_01[[#This Row],[DISCIPLINA]],'CLASSES DE PROJETOS'!$F$3:$F$37,'CLASSES DE PROJETOS'!$C$3:$C$37)</f>
        <v>ES</v>
      </c>
      <c r="H172" t="str">
        <f>_xlfn.TEXTJOIN("/",TRUE,"MSV-163MS-"&amp;LD_01[[#This Row],[TRECHO]],_xlfn.XLOOKUP(LD_01[[#This Row],[SIGLA]],'CLASSES DE PROJETOS'!$C$3:$C$37,'CLASSES DE PROJETOS'!$E$3:$E$37))</f>
        <v>MSV-163MS-454-460/16.ES</v>
      </c>
      <c r="I172" s="6" t="str" cm="1">
        <f t="array" ref="I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J172" s="6" t="str" cm="1">
        <f t="array" ref="J172">_xlfn.TEXTJOIN(", ",TRUE,_xlfn.UNIQUE(_xlfn._xlws.FILTER(ARQUIVOS_RECEBIDOS!$F$2:$F$5010,ARQUIVOS_RECEBIDOS!$E$2:$E$5010=LD_01[[#This Row],[DOCUMENTO]])))</f>
        <v>R00, R01</v>
      </c>
      <c r="K172" s="12" cm="1">
        <f t="array" ref="K172">_xlfn.UNIQUE(_xlfn._xlws.FILTER(ARQUIVOS[DATA RECEBIMENTO],(ARQUIVOS[DOCUMENTO]=LD_01[[#This Row],[DOCUMENTO]])*(ARQUIVOS[REVISÃO]=LD_01[[#This Row],[REVISÃO]])))</f>
        <v>45931</v>
      </c>
      <c r="L1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M172" s="6" t="str">
        <f>LD_01[[#This Row],[PASTA]]&amp;"/"&amp;LD_01[[#This Row],[ARQUIVO]]</f>
        <v>MSV-163MS-454-460/16.ES/MSV-163MS-454-460-ACA-EXE-DE-L2-007-R01.pdf</v>
      </c>
    </row>
    <row r="173" spans="1:13" ht="43.2" hidden="1" x14ac:dyDescent="0.3">
      <c r="A173" s="6" t="s">
        <v>2986</v>
      </c>
      <c r="B173" s="6" t="str">
        <f>VLOOKUP(LD_01[[#This Row],[DOCUMENTO]],_xlfn.SORTBY(ARQUIVOS_RECEBIDOS!$E$2:$F$5010,ARQUIVOS_RECEBIDOS!$F$2:$F$5010,-1),2,)</f>
        <v>R03</v>
      </c>
      <c r="C173" s="15" t="s">
        <v>5987</v>
      </c>
      <c r="D173" s="6" t="s">
        <v>4310</v>
      </c>
      <c r="E173" s="8" t="s">
        <v>4170</v>
      </c>
      <c r="F173" s="8" t="s">
        <v>4333</v>
      </c>
      <c r="G173" s="6" t="str">
        <f>_xlfn.XLOOKUP(LD_01[[#This Row],[DISCIPLINA]],'CLASSES DE PROJETOS'!$F$3:$F$37,'CLASSES DE PROJETOS'!$C$3:$C$37)</f>
        <v>IN</v>
      </c>
      <c r="H173" t="str">
        <f>_xlfn.TEXTJOIN("/",TRUE,"MSV-163MS-"&amp;LD_01[[#This Row],[TRECHO]],_xlfn.XLOOKUP(LD_01[[#This Row],[SIGLA]],'CLASSES DE PROJETOS'!$C$3:$C$37,'CLASSES DE PROJETOS'!$E$3:$E$37))</f>
        <v>MSV-163MS-454-460/23.IN</v>
      </c>
      <c r="I173" s="6" t="str" cm="1">
        <f t="array" ref="I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J173" s="6" t="str" cm="1">
        <f t="array" ref="J173">_xlfn.TEXTJOIN(", ",TRUE,_xlfn.UNIQUE(_xlfn._xlws.FILTER(ARQUIVOS_RECEBIDOS!$F$2:$F$5010,ARQUIVOS_RECEBIDOS!$E$2:$E$5010=LD_01[[#This Row],[DOCUMENTO]])))</f>
        <v>R03</v>
      </c>
      <c r="K173" s="12" cm="1">
        <f t="array" ref="K173">_xlfn.UNIQUE(_xlfn._xlws.FILTER(ARQUIVOS[DATA RECEBIMENTO],(ARQUIVOS[DOCUMENTO]=LD_01[[#This Row],[DOCUMENTO]])*(ARQUIVOS[REVISÃO]=LD_01[[#This Row],[REVISÃO]])))</f>
        <v>45838</v>
      </c>
      <c r="L1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M173" s="6" t="str">
        <f>LD_01[[#This Row],[PASTA]]&amp;"/"&amp;LD_01[[#This Row],[ARQUIVO]]</f>
        <v>MSV-163MS-454-460/23.IN/MSV-163MS-454-460-ACA-EXE-DE-M1-001-R03.pdf</v>
      </c>
    </row>
    <row r="174" spans="1:13" ht="43.2" hidden="1" x14ac:dyDescent="0.3">
      <c r="A174" s="6" t="s">
        <v>2987</v>
      </c>
      <c r="B174" s="6" t="str">
        <f>VLOOKUP(LD_01[[#This Row],[DOCUMENTO]],_xlfn.SORTBY(ARQUIVOS_RECEBIDOS!$E$2:$F$5010,ARQUIVOS_RECEBIDOS!$F$2:$F$5010,-1),2,)</f>
        <v>R03</v>
      </c>
      <c r="C174" s="15" t="s">
        <v>5987</v>
      </c>
      <c r="D174" s="6" t="s">
        <v>4310</v>
      </c>
      <c r="E174" s="8" t="s">
        <v>4170</v>
      </c>
      <c r="F174" s="8" t="s">
        <v>4333</v>
      </c>
      <c r="G174" s="6" t="str">
        <f>_xlfn.XLOOKUP(LD_01[[#This Row],[DISCIPLINA]],'CLASSES DE PROJETOS'!$F$3:$F$37,'CLASSES DE PROJETOS'!$C$3:$C$37)</f>
        <v>IN</v>
      </c>
      <c r="H174" t="str">
        <f>_xlfn.TEXTJOIN("/",TRUE,"MSV-163MS-"&amp;LD_01[[#This Row],[TRECHO]],_xlfn.XLOOKUP(LD_01[[#This Row],[SIGLA]],'CLASSES DE PROJETOS'!$C$3:$C$37,'CLASSES DE PROJETOS'!$E$3:$E$37))</f>
        <v>MSV-163MS-454-460/23.IN</v>
      </c>
      <c r="I174" s="6" t="str" cm="1">
        <f t="array" ref="I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J174" s="6" t="str" cm="1">
        <f t="array" ref="J174">_xlfn.TEXTJOIN(", ",TRUE,_xlfn.UNIQUE(_xlfn._xlws.FILTER(ARQUIVOS_RECEBIDOS!$F$2:$F$5010,ARQUIVOS_RECEBIDOS!$E$2:$E$5010=LD_01[[#This Row],[DOCUMENTO]])))</f>
        <v>R03</v>
      </c>
      <c r="K174" s="12" cm="1">
        <f t="array" ref="K174">_xlfn.UNIQUE(_xlfn._xlws.FILTER(ARQUIVOS[DATA RECEBIMENTO],(ARQUIVOS[DOCUMENTO]=LD_01[[#This Row],[DOCUMENTO]])*(ARQUIVOS[REVISÃO]=LD_01[[#This Row],[REVISÃO]])))</f>
        <v>45838</v>
      </c>
      <c r="L1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M174" s="6" t="str">
        <f>LD_01[[#This Row],[PASTA]]&amp;"/"&amp;LD_01[[#This Row],[ARQUIVO]]</f>
        <v>MSV-163MS-454-460/23.IN/MSV-163MS-454-460-ACA-EXE-DE-M1-002-R03.pdf</v>
      </c>
    </row>
    <row r="175" spans="1:13" ht="43.2" hidden="1" x14ac:dyDescent="0.3">
      <c r="A175" s="6" t="s">
        <v>2988</v>
      </c>
      <c r="B175" s="6" t="str">
        <f>VLOOKUP(LD_01[[#This Row],[DOCUMENTO]],_xlfn.SORTBY(ARQUIVOS_RECEBIDOS!$E$2:$F$5010,ARQUIVOS_RECEBIDOS!$F$2:$F$5010,-1),2,)</f>
        <v>R04</v>
      </c>
      <c r="C175" s="15" t="s">
        <v>5987</v>
      </c>
      <c r="D175" s="6" t="s">
        <v>4310</v>
      </c>
      <c r="E175" s="8" t="s">
        <v>4170</v>
      </c>
      <c r="F175" s="8" t="s">
        <v>4333</v>
      </c>
      <c r="G175" s="6" t="str">
        <f>_xlfn.XLOOKUP(LD_01[[#This Row],[DISCIPLINA]],'CLASSES DE PROJETOS'!$F$3:$F$37,'CLASSES DE PROJETOS'!$C$3:$C$37)</f>
        <v>IN</v>
      </c>
      <c r="H175" t="str">
        <f>_xlfn.TEXTJOIN("/",TRUE,"MSV-163MS-"&amp;LD_01[[#This Row],[TRECHO]],_xlfn.XLOOKUP(LD_01[[#This Row],[SIGLA]],'CLASSES DE PROJETOS'!$C$3:$C$37,'CLASSES DE PROJETOS'!$E$3:$E$37))</f>
        <v>MSV-163MS-454-460/23.IN</v>
      </c>
      <c r="I175" s="6" t="str" cm="1">
        <f t="array" ref="I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J175" s="6" t="str" cm="1">
        <f t="array" ref="J175">_xlfn.TEXTJOIN(", ",TRUE,_xlfn.UNIQUE(_xlfn._xlws.FILTER(ARQUIVOS_RECEBIDOS!$F$2:$F$5010,ARQUIVOS_RECEBIDOS!$E$2:$E$5010=LD_01[[#This Row],[DOCUMENTO]])))</f>
        <v>R04</v>
      </c>
      <c r="K175" s="12" cm="1">
        <f t="array" ref="K175">_xlfn.UNIQUE(_xlfn._xlws.FILTER(ARQUIVOS[DATA RECEBIMENTO],(ARQUIVOS[DOCUMENTO]=LD_01[[#This Row],[DOCUMENTO]])*(ARQUIVOS[REVISÃO]=LD_01[[#This Row],[REVISÃO]])))</f>
        <v>45838</v>
      </c>
      <c r="L1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M175" s="6" t="str">
        <f>LD_01[[#This Row],[PASTA]]&amp;"/"&amp;LD_01[[#This Row],[ARQUIVO]]</f>
        <v>MSV-163MS-454-460/23.IN/MSV-163MS-454-460-ACA-EXE-DE-M1-003-R04.pdf</v>
      </c>
    </row>
    <row r="176" spans="1:13" ht="43.2" hidden="1" x14ac:dyDescent="0.3">
      <c r="A176" s="6" t="s">
        <v>2989</v>
      </c>
      <c r="B176" s="6" t="str">
        <f>VLOOKUP(LD_01[[#This Row],[DOCUMENTO]],_xlfn.SORTBY(ARQUIVOS_RECEBIDOS!$E$2:$F$5010,ARQUIVOS_RECEBIDOS!$F$2:$F$5010,-1),2,)</f>
        <v>R03</v>
      </c>
      <c r="C176" s="15" t="s">
        <v>5987</v>
      </c>
      <c r="D176" s="6" t="s">
        <v>4310</v>
      </c>
      <c r="E176" s="8" t="s">
        <v>4170</v>
      </c>
      <c r="F176" s="8" t="s">
        <v>4333</v>
      </c>
      <c r="G176" s="6" t="str">
        <f>_xlfn.XLOOKUP(LD_01[[#This Row],[DISCIPLINA]],'CLASSES DE PROJETOS'!$F$3:$F$37,'CLASSES DE PROJETOS'!$C$3:$C$37)</f>
        <v>IN</v>
      </c>
      <c r="H176" t="str">
        <f>_xlfn.TEXTJOIN("/",TRUE,"MSV-163MS-"&amp;LD_01[[#This Row],[TRECHO]],_xlfn.XLOOKUP(LD_01[[#This Row],[SIGLA]],'CLASSES DE PROJETOS'!$C$3:$C$37,'CLASSES DE PROJETOS'!$E$3:$E$37))</f>
        <v>MSV-163MS-454-460/23.IN</v>
      </c>
      <c r="I176" s="6" t="str" cm="1">
        <f t="array" ref="I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J176" s="6" t="str" cm="1">
        <f t="array" ref="J176">_xlfn.TEXTJOIN(", ",TRUE,_xlfn.UNIQUE(_xlfn._xlws.FILTER(ARQUIVOS_RECEBIDOS!$F$2:$F$5010,ARQUIVOS_RECEBIDOS!$E$2:$E$5010=LD_01[[#This Row],[DOCUMENTO]])))</f>
        <v>R03</v>
      </c>
      <c r="K176" s="12" cm="1">
        <f t="array" ref="K176">_xlfn.UNIQUE(_xlfn._xlws.FILTER(ARQUIVOS[DATA RECEBIMENTO],(ARQUIVOS[DOCUMENTO]=LD_01[[#This Row],[DOCUMENTO]])*(ARQUIVOS[REVISÃO]=LD_01[[#This Row],[REVISÃO]])))</f>
        <v>45838</v>
      </c>
      <c r="L1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M176" s="6" t="str">
        <f>LD_01[[#This Row],[PASTA]]&amp;"/"&amp;LD_01[[#This Row],[ARQUIVO]]</f>
        <v>MSV-163MS-454-460/23.IN/MSV-163MS-454-460-ACA-EXE-DE-M1-004-R03.pdf</v>
      </c>
    </row>
    <row r="177" spans="1:13" ht="43.2" hidden="1" x14ac:dyDescent="0.3">
      <c r="A177" s="6" t="s">
        <v>2990</v>
      </c>
      <c r="B177" s="6" t="str">
        <f>VLOOKUP(LD_01[[#This Row],[DOCUMENTO]],_xlfn.SORTBY(ARQUIVOS_RECEBIDOS!$E$2:$F$5010,ARQUIVOS_RECEBIDOS!$F$2:$F$5010,-1),2,)</f>
        <v>R03</v>
      </c>
      <c r="C177" s="15" t="s">
        <v>5987</v>
      </c>
      <c r="D177" s="6" t="s">
        <v>4310</v>
      </c>
      <c r="E177" s="8" t="s">
        <v>4170</v>
      </c>
      <c r="F177" s="8" t="s">
        <v>4333</v>
      </c>
      <c r="G177" s="6" t="str">
        <f>_xlfn.XLOOKUP(LD_01[[#This Row],[DISCIPLINA]],'CLASSES DE PROJETOS'!$F$3:$F$37,'CLASSES DE PROJETOS'!$C$3:$C$37)</f>
        <v>IN</v>
      </c>
      <c r="H177" t="str">
        <f>_xlfn.TEXTJOIN("/",TRUE,"MSV-163MS-"&amp;LD_01[[#This Row],[TRECHO]],_xlfn.XLOOKUP(LD_01[[#This Row],[SIGLA]],'CLASSES DE PROJETOS'!$C$3:$C$37,'CLASSES DE PROJETOS'!$E$3:$E$37))</f>
        <v>MSV-163MS-454-460/23.IN</v>
      </c>
      <c r="I177" s="6" t="str" cm="1">
        <f t="array" ref="I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J177" s="6" t="str" cm="1">
        <f t="array" ref="J177">_xlfn.TEXTJOIN(", ",TRUE,_xlfn.UNIQUE(_xlfn._xlws.FILTER(ARQUIVOS_RECEBIDOS!$F$2:$F$5010,ARQUIVOS_RECEBIDOS!$E$2:$E$5010=LD_01[[#This Row],[DOCUMENTO]])))</f>
        <v>R03</v>
      </c>
      <c r="K177" s="12" cm="1">
        <f t="array" ref="K177">_xlfn.UNIQUE(_xlfn._xlws.FILTER(ARQUIVOS[DATA RECEBIMENTO],(ARQUIVOS[DOCUMENTO]=LD_01[[#This Row],[DOCUMENTO]])*(ARQUIVOS[REVISÃO]=LD_01[[#This Row],[REVISÃO]])))</f>
        <v>45838</v>
      </c>
      <c r="L1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M177" s="6" t="str">
        <f>LD_01[[#This Row],[PASTA]]&amp;"/"&amp;LD_01[[#This Row],[ARQUIVO]]</f>
        <v>MSV-163MS-454-460/23.IN/MSV-163MS-454-460-ACA-EXE-DE-M1-005-R03.pdf</v>
      </c>
    </row>
    <row r="178" spans="1:13" ht="43.2" hidden="1" x14ac:dyDescent="0.3">
      <c r="A178" s="6" t="s">
        <v>2991</v>
      </c>
      <c r="B178" s="6" t="str">
        <f>VLOOKUP(LD_01[[#This Row],[DOCUMENTO]],_xlfn.SORTBY(ARQUIVOS_RECEBIDOS!$E$2:$F$5010,ARQUIVOS_RECEBIDOS!$F$2:$F$5010,-1),2,)</f>
        <v>R03</v>
      </c>
      <c r="C178" s="15" t="s">
        <v>5987</v>
      </c>
      <c r="D178" s="6" t="s">
        <v>4310</v>
      </c>
      <c r="E178" s="8" t="s">
        <v>4170</v>
      </c>
      <c r="F178" s="8" t="s">
        <v>4333</v>
      </c>
      <c r="G178" s="6" t="str">
        <f>_xlfn.XLOOKUP(LD_01[[#This Row],[DISCIPLINA]],'CLASSES DE PROJETOS'!$F$3:$F$37,'CLASSES DE PROJETOS'!$C$3:$C$37)</f>
        <v>IN</v>
      </c>
      <c r="H178" t="str">
        <f>_xlfn.TEXTJOIN("/",TRUE,"MSV-163MS-"&amp;LD_01[[#This Row],[TRECHO]],_xlfn.XLOOKUP(LD_01[[#This Row],[SIGLA]],'CLASSES DE PROJETOS'!$C$3:$C$37,'CLASSES DE PROJETOS'!$E$3:$E$37))</f>
        <v>MSV-163MS-454-460/23.IN</v>
      </c>
      <c r="I178" s="6" t="str" cm="1">
        <f t="array" ref="I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J178" s="6" t="str" cm="1">
        <f t="array" ref="J178">_xlfn.TEXTJOIN(", ",TRUE,_xlfn.UNIQUE(_xlfn._xlws.FILTER(ARQUIVOS_RECEBIDOS!$F$2:$F$5010,ARQUIVOS_RECEBIDOS!$E$2:$E$5010=LD_01[[#This Row],[DOCUMENTO]])))</f>
        <v>R03</v>
      </c>
      <c r="K178" s="12" cm="1">
        <f t="array" ref="K178">_xlfn.UNIQUE(_xlfn._xlws.FILTER(ARQUIVOS[DATA RECEBIMENTO],(ARQUIVOS[DOCUMENTO]=LD_01[[#This Row],[DOCUMENTO]])*(ARQUIVOS[REVISÃO]=LD_01[[#This Row],[REVISÃO]])))</f>
        <v>45838</v>
      </c>
      <c r="L1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M178" s="6" t="str">
        <f>LD_01[[#This Row],[PASTA]]&amp;"/"&amp;LD_01[[#This Row],[ARQUIVO]]</f>
        <v>MSV-163MS-454-460/23.IN/MSV-163MS-454-460-ACA-EXE-DE-M1-006-R03.pdf</v>
      </c>
    </row>
    <row r="179" spans="1:13" ht="28.8" hidden="1" x14ac:dyDescent="0.3">
      <c r="A179" s="6" t="s">
        <v>3014</v>
      </c>
      <c r="B179" s="6" t="str">
        <f>VLOOKUP(LD_01[[#This Row],[DOCUMENTO]],_xlfn.SORTBY(ARQUIVOS_RECEBIDOS!$E$2:$F$5010,ARQUIVOS_RECEBIDOS!$F$2:$F$5010,-1),2,)</f>
        <v>R04</v>
      </c>
      <c r="C179" s="15" t="s">
        <v>5987</v>
      </c>
      <c r="D179" s="6" t="s">
        <v>4310</v>
      </c>
      <c r="E179" s="8" t="s">
        <v>4168</v>
      </c>
      <c r="F179" s="8" t="s">
        <v>4334</v>
      </c>
      <c r="G179" s="6" t="str">
        <f>_xlfn.XLOOKUP(LD_01[[#This Row],[DISCIPLINA]],'CLASSES DE PROJETOS'!$F$3:$F$37,'CLASSES DE PROJETOS'!$C$3:$C$37)</f>
        <v>PA</v>
      </c>
      <c r="H179" t="str">
        <f>_xlfn.TEXTJOIN("/",TRUE,"MSV-163MS-"&amp;LD_01[[#This Row],[TRECHO]],_xlfn.XLOOKUP(LD_01[[#This Row],[SIGLA]],'CLASSES DE PROJETOS'!$C$3:$C$37,'CLASSES DE PROJETOS'!$E$3:$E$37))</f>
        <v>MSV-163MS-454-460/27.PA</v>
      </c>
      <c r="I179" s="6" t="str" cm="1">
        <f t="array" ref="I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J179" s="6" t="str" cm="1">
        <f t="array" ref="J179">_xlfn.TEXTJOIN(", ",TRUE,_xlfn.UNIQUE(_xlfn._xlws.FILTER(ARQUIVOS_RECEBIDOS!$F$2:$F$5010,ARQUIVOS_RECEBIDOS!$E$2:$E$5010=LD_01[[#This Row],[DOCUMENTO]])))</f>
        <v>R04</v>
      </c>
      <c r="K179" s="12" cm="1">
        <f t="array" ref="K179">_xlfn.UNIQUE(_xlfn._xlws.FILTER(ARQUIVOS[DATA RECEBIMENTO],(ARQUIVOS[DOCUMENTO]=LD_01[[#This Row],[DOCUMENTO]])*(ARQUIVOS[REVISÃO]=LD_01[[#This Row],[REVISÃO]])))</f>
        <v>45838</v>
      </c>
      <c r="L1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M179" s="6" t="str">
        <f>LD_01[[#This Row],[PASTA]]&amp;"/"&amp;LD_01[[#This Row],[ARQUIVO]]</f>
        <v>MSV-163MS-454-460/27.PA/MSV-163MS-454-460-ACA-EXE-DE-N2-001-R04.pdf</v>
      </c>
    </row>
    <row r="180" spans="1:13" ht="28.8" hidden="1" x14ac:dyDescent="0.3">
      <c r="A180" s="6" t="s">
        <v>3015</v>
      </c>
      <c r="B180" s="6" t="str">
        <f>VLOOKUP(LD_01[[#This Row],[DOCUMENTO]],_xlfn.SORTBY(ARQUIVOS_RECEBIDOS!$E$2:$F$5010,ARQUIVOS_RECEBIDOS!$F$2:$F$5010,-1),2,)</f>
        <v>R04</v>
      </c>
      <c r="C180" s="15" t="s">
        <v>5987</v>
      </c>
      <c r="D180" s="6" t="s">
        <v>4310</v>
      </c>
      <c r="E180" s="8" t="s">
        <v>4168</v>
      </c>
      <c r="F180" s="8" t="s">
        <v>4334</v>
      </c>
      <c r="G180" s="6" t="str">
        <f>_xlfn.XLOOKUP(LD_01[[#This Row],[DISCIPLINA]],'CLASSES DE PROJETOS'!$F$3:$F$37,'CLASSES DE PROJETOS'!$C$3:$C$37)</f>
        <v>PA</v>
      </c>
      <c r="H180" t="str">
        <f>_xlfn.TEXTJOIN("/",TRUE,"MSV-163MS-"&amp;LD_01[[#This Row],[TRECHO]],_xlfn.XLOOKUP(LD_01[[#This Row],[SIGLA]],'CLASSES DE PROJETOS'!$C$3:$C$37,'CLASSES DE PROJETOS'!$E$3:$E$37))</f>
        <v>MSV-163MS-454-460/27.PA</v>
      </c>
      <c r="I180" s="6" t="str" cm="1">
        <f t="array" ref="I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J180" s="6" t="str" cm="1">
        <f t="array" ref="J180">_xlfn.TEXTJOIN(", ",TRUE,_xlfn.UNIQUE(_xlfn._xlws.FILTER(ARQUIVOS_RECEBIDOS!$F$2:$F$5010,ARQUIVOS_RECEBIDOS!$E$2:$E$5010=LD_01[[#This Row],[DOCUMENTO]])))</f>
        <v>R04</v>
      </c>
      <c r="K180" s="12" cm="1">
        <f t="array" ref="K180">_xlfn.UNIQUE(_xlfn._xlws.FILTER(ARQUIVOS[DATA RECEBIMENTO],(ARQUIVOS[DOCUMENTO]=LD_01[[#This Row],[DOCUMENTO]])*(ARQUIVOS[REVISÃO]=LD_01[[#This Row],[REVISÃO]])))</f>
        <v>45838</v>
      </c>
      <c r="L1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M180" s="6" t="str">
        <f>LD_01[[#This Row],[PASTA]]&amp;"/"&amp;LD_01[[#This Row],[ARQUIVO]]</f>
        <v>MSV-163MS-454-460/27.PA/MSV-163MS-454-460-ACA-EXE-DE-N2-002-R04.pdf</v>
      </c>
    </row>
    <row r="181" spans="1:13" ht="28.8" hidden="1" x14ac:dyDescent="0.3">
      <c r="A181" s="6" t="s">
        <v>3016</v>
      </c>
      <c r="B181" s="6" t="str">
        <f>VLOOKUP(LD_01[[#This Row],[DOCUMENTO]],_xlfn.SORTBY(ARQUIVOS_RECEBIDOS!$E$2:$F$5010,ARQUIVOS_RECEBIDOS!$F$2:$F$5010,-1),2,)</f>
        <v>R04</v>
      </c>
      <c r="C181" s="15" t="s">
        <v>5987</v>
      </c>
      <c r="D181" s="6" t="s">
        <v>4310</v>
      </c>
      <c r="E181" s="8" t="s">
        <v>4168</v>
      </c>
      <c r="F181" s="8" t="s">
        <v>4334</v>
      </c>
      <c r="G181" s="6" t="str">
        <f>_xlfn.XLOOKUP(LD_01[[#This Row],[DISCIPLINA]],'CLASSES DE PROJETOS'!$F$3:$F$37,'CLASSES DE PROJETOS'!$C$3:$C$37)</f>
        <v>PA</v>
      </c>
      <c r="H181" t="str">
        <f>_xlfn.TEXTJOIN("/",TRUE,"MSV-163MS-"&amp;LD_01[[#This Row],[TRECHO]],_xlfn.XLOOKUP(LD_01[[#This Row],[SIGLA]],'CLASSES DE PROJETOS'!$C$3:$C$37,'CLASSES DE PROJETOS'!$E$3:$E$37))</f>
        <v>MSV-163MS-454-460/27.PA</v>
      </c>
      <c r="I181" s="6" t="str" cm="1">
        <f t="array" ref="I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J181" s="6" t="str" cm="1">
        <f t="array" ref="J181">_xlfn.TEXTJOIN(", ",TRUE,_xlfn.UNIQUE(_xlfn._xlws.FILTER(ARQUIVOS_RECEBIDOS!$F$2:$F$5010,ARQUIVOS_RECEBIDOS!$E$2:$E$5010=LD_01[[#This Row],[DOCUMENTO]])))</f>
        <v>R04</v>
      </c>
      <c r="K181" s="12" cm="1">
        <f t="array" ref="K181">_xlfn.UNIQUE(_xlfn._xlws.FILTER(ARQUIVOS[DATA RECEBIMENTO],(ARQUIVOS[DOCUMENTO]=LD_01[[#This Row],[DOCUMENTO]])*(ARQUIVOS[REVISÃO]=LD_01[[#This Row],[REVISÃO]])))</f>
        <v>45838</v>
      </c>
      <c r="L1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M181" s="6" t="str">
        <f>LD_01[[#This Row],[PASTA]]&amp;"/"&amp;LD_01[[#This Row],[ARQUIVO]]</f>
        <v>MSV-163MS-454-460/27.PA/MSV-163MS-454-460-ACA-EXE-DE-N2-003-R04.pdf</v>
      </c>
    </row>
    <row r="182" spans="1:13" ht="28.8" hidden="1" x14ac:dyDescent="0.3">
      <c r="A182" s="6" t="s">
        <v>3017</v>
      </c>
      <c r="B182" s="6" t="str">
        <f>VLOOKUP(LD_01[[#This Row],[DOCUMENTO]],_xlfn.SORTBY(ARQUIVOS_RECEBIDOS!$E$2:$F$5010,ARQUIVOS_RECEBIDOS!$F$2:$F$5010,-1),2,)</f>
        <v>R04</v>
      </c>
      <c r="C182" s="15" t="s">
        <v>5987</v>
      </c>
      <c r="D182" s="6" t="s">
        <v>4310</v>
      </c>
      <c r="E182" s="8" t="s">
        <v>4168</v>
      </c>
      <c r="F182" s="8" t="s">
        <v>4334</v>
      </c>
      <c r="G182" s="6" t="str">
        <f>_xlfn.XLOOKUP(LD_01[[#This Row],[DISCIPLINA]],'CLASSES DE PROJETOS'!$F$3:$F$37,'CLASSES DE PROJETOS'!$C$3:$C$37)</f>
        <v>PA</v>
      </c>
      <c r="H182" t="str">
        <f>_xlfn.TEXTJOIN("/",TRUE,"MSV-163MS-"&amp;LD_01[[#This Row],[TRECHO]],_xlfn.XLOOKUP(LD_01[[#This Row],[SIGLA]],'CLASSES DE PROJETOS'!$C$3:$C$37,'CLASSES DE PROJETOS'!$E$3:$E$37))</f>
        <v>MSV-163MS-454-460/27.PA</v>
      </c>
      <c r="I182" s="6" t="str" cm="1">
        <f t="array" ref="I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J182" s="6" t="str" cm="1">
        <f t="array" ref="J182">_xlfn.TEXTJOIN(", ",TRUE,_xlfn.UNIQUE(_xlfn._xlws.FILTER(ARQUIVOS_RECEBIDOS!$F$2:$F$5010,ARQUIVOS_RECEBIDOS!$E$2:$E$5010=LD_01[[#This Row],[DOCUMENTO]])))</f>
        <v>R04</v>
      </c>
      <c r="K182" s="12" cm="1">
        <f t="array" ref="K182">_xlfn.UNIQUE(_xlfn._xlws.FILTER(ARQUIVOS[DATA RECEBIMENTO],(ARQUIVOS[DOCUMENTO]=LD_01[[#This Row],[DOCUMENTO]])*(ARQUIVOS[REVISÃO]=LD_01[[#This Row],[REVISÃO]])))</f>
        <v>45838</v>
      </c>
      <c r="L1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M182" s="6" t="str">
        <f>LD_01[[#This Row],[PASTA]]&amp;"/"&amp;LD_01[[#This Row],[ARQUIVO]]</f>
        <v>MSV-163MS-454-460/27.PA/MSV-163MS-454-460-ACA-EXE-DE-N2-004-R04.pdf</v>
      </c>
    </row>
    <row r="183" spans="1:13" ht="28.8" hidden="1" x14ac:dyDescent="0.3">
      <c r="A183" s="6" t="s">
        <v>3018</v>
      </c>
      <c r="B183" s="6" t="str">
        <f>VLOOKUP(LD_01[[#This Row],[DOCUMENTO]],_xlfn.SORTBY(ARQUIVOS_RECEBIDOS!$E$2:$F$5010,ARQUIVOS_RECEBIDOS!$F$2:$F$5010,-1),2,)</f>
        <v>R04</v>
      </c>
      <c r="C183" s="15" t="s">
        <v>5987</v>
      </c>
      <c r="D183" s="6" t="s">
        <v>4310</v>
      </c>
      <c r="E183" s="8" t="s">
        <v>4168</v>
      </c>
      <c r="F183" s="8" t="s">
        <v>4334</v>
      </c>
      <c r="G183" s="6" t="str">
        <f>_xlfn.XLOOKUP(LD_01[[#This Row],[DISCIPLINA]],'CLASSES DE PROJETOS'!$F$3:$F$37,'CLASSES DE PROJETOS'!$C$3:$C$37)</f>
        <v>PA</v>
      </c>
      <c r="H183" t="str">
        <f>_xlfn.TEXTJOIN("/",TRUE,"MSV-163MS-"&amp;LD_01[[#This Row],[TRECHO]],_xlfn.XLOOKUP(LD_01[[#This Row],[SIGLA]],'CLASSES DE PROJETOS'!$C$3:$C$37,'CLASSES DE PROJETOS'!$E$3:$E$37))</f>
        <v>MSV-163MS-454-460/27.PA</v>
      </c>
      <c r="I183" s="6" t="str" cm="1">
        <f t="array" ref="I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J183" s="6" t="str" cm="1">
        <f t="array" ref="J183">_xlfn.TEXTJOIN(", ",TRUE,_xlfn.UNIQUE(_xlfn._xlws.FILTER(ARQUIVOS_RECEBIDOS!$F$2:$F$5010,ARQUIVOS_RECEBIDOS!$E$2:$E$5010=LD_01[[#This Row],[DOCUMENTO]])))</f>
        <v>R04</v>
      </c>
      <c r="K183" s="12" cm="1">
        <f t="array" ref="K183">_xlfn.UNIQUE(_xlfn._xlws.FILTER(ARQUIVOS[DATA RECEBIMENTO],(ARQUIVOS[DOCUMENTO]=LD_01[[#This Row],[DOCUMENTO]])*(ARQUIVOS[REVISÃO]=LD_01[[#This Row],[REVISÃO]])))</f>
        <v>45838</v>
      </c>
      <c r="L1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M183" s="6" t="str">
        <f>LD_01[[#This Row],[PASTA]]&amp;"/"&amp;LD_01[[#This Row],[ARQUIVO]]</f>
        <v>MSV-163MS-454-460/27.PA/MSV-163MS-454-460-ACA-EXE-DE-N2-005-R04.pdf</v>
      </c>
    </row>
    <row r="184" spans="1:13" ht="28.8" hidden="1" x14ac:dyDescent="0.3">
      <c r="A184" s="6" t="s">
        <v>3019</v>
      </c>
      <c r="B184" s="6" t="str">
        <f>VLOOKUP(LD_01[[#This Row],[DOCUMENTO]],_xlfn.SORTBY(ARQUIVOS_RECEBIDOS!$E$2:$F$5010,ARQUIVOS_RECEBIDOS!$F$2:$F$5010,-1),2,)</f>
        <v>R05</v>
      </c>
      <c r="C184" s="15" t="s">
        <v>5987</v>
      </c>
      <c r="D184" s="6" t="s">
        <v>4310</v>
      </c>
      <c r="E184" s="8" t="s">
        <v>4168</v>
      </c>
      <c r="F184" s="8" t="s">
        <v>4334</v>
      </c>
      <c r="G184" s="6" t="str">
        <f>_xlfn.XLOOKUP(LD_01[[#This Row],[DISCIPLINA]],'CLASSES DE PROJETOS'!$F$3:$F$37,'CLASSES DE PROJETOS'!$C$3:$C$37)</f>
        <v>PA</v>
      </c>
      <c r="H184" t="str">
        <f>_xlfn.TEXTJOIN("/",TRUE,"MSV-163MS-"&amp;LD_01[[#This Row],[TRECHO]],_xlfn.XLOOKUP(LD_01[[#This Row],[SIGLA]],'CLASSES DE PROJETOS'!$C$3:$C$37,'CLASSES DE PROJETOS'!$E$3:$E$37))</f>
        <v>MSV-163MS-454-460/27.PA</v>
      </c>
      <c r="I184" s="6" t="str" cm="1">
        <f t="array" ref="I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J184" s="6" t="str" cm="1">
        <f t="array" ref="J184">_xlfn.TEXTJOIN(", ",TRUE,_xlfn.UNIQUE(_xlfn._xlws.FILTER(ARQUIVOS_RECEBIDOS!$F$2:$F$5010,ARQUIVOS_RECEBIDOS!$E$2:$E$5010=LD_01[[#This Row],[DOCUMENTO]])))</f>
        <v>R05</v>
      </c>
      <c r="K184" s="12" cm="1">
        <f t="array" ref="K184">_xlfn.UNIQUE(_xlfn._xlws.FILTER(ARQUIVOS[DATA RECEBIMENTO],(ARQUIVOS[DOCUMENTO]=LD_01[[#This Row],[DOCUMENTO]])*(ARQUIVOS[REVISÃO]=LD_01[[#This Row],[REVISÃO]])))</f>
        <v>45838</v>
      </c>
      <c r="L1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M184" s="6" t="str">
        <f>LD_01[[#This Row],[PASTA]]&amp;"/"&amp;LD_01[[#This Row],[ARQUIVO]]</f>
        <v>MSV-163MS-454-460/27.PA/MSV-163MS-454-460-ACA-EXE-DE-N2-006-R05.pdf</v>
      </c>
    </row>
    <row r="185" spans="1:13" ht="28.8" hidden="1" x14ac:dyDescent="0.3">
      <c r="A185" s="6" t="s">
        <v>3000</v>
      </c>
      <c r="B185" s="6" t="str">
        <f>VLOOKUP(LD_01[[#This Row],[DOCUMENTO]],_xlfn.SORTBY(ARQUIVOS_RECEBIDOS!$E$2:$F$5010,ARQUIVOS_RECEBIDOS!$F$2:$F$5010,-1),2,)</f>
        <v>R02</v>
      </c>
      <c r="C185" s="15" t="s">
        <v>5987</v>
      </c>
      <c r="D185" s="6" t="s">
        <v>4310</v>
      </c>
      <c r="E185" s="8" t="s">
        <v>4087</v>
      </c>
      <c r="F185" s="8" t="s">
        <v>4144</v>
      </c>
      <c r="G185" s="6" t="str">
        <f>_xlfn.XLOOKUP(LD_01[[#This Row],[DISCIPLINA]],'CLASSES DE PROJETOS'!$F$3:$F$37,'CLASSES DE PROJETOS'!$C$3:$C$37)</f>
        <v>DV</v>
      </c>
      <c r="H185" t="str">
        <f>_xlfn.TEXTJOIN("/",TRUE,"MSV-163MS-"&amp;LD_01[[#This Row],[TRECHO]],_xlfn.XLOOKUP(LD_01[[#This Row],[SIGLA]],'CLASSES DE PROJETOS'!$C$3:$C$37,'CLASSES DE PROJETOS'!$E$3:$E$37))</f>
        <v>MSV-163MS-454-460/12.DV</v>
      </c>
      <c r="I185" s="6" t="str" cm="1">
        <f t="array" ref="I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J185" s="6" t="str" cm="1">
        <f t="array" ref="J185">_xlfn.TEXTJOIN(", ",TRUE,_xlfn.UNIQUE(_xlfn._xlws.FILTER(ARQUIVOS_RECEBIDOS!$F$2:$F$5010,ARQUIVOS_RECEBIDOS!$E$2:$E$5010=LD_01[[#This Row],[DOCUMENTO]])))</f>
        <v>R02</v>
      </c>
      <c r="K185" s="12" cm="1">
        <f t="array" ref="K185">_xlfn.UNIQUE(_xlfn._xlws.FILTER(ARQUIVOS[DATA RECEBIMENTO],(ARQUIVOS[DOCUMENTO]=LD_01[[#This Row],[DOCUMENTO]])*(ARQUIVOS[REVISÃO]=LD_01[[#This Row],[REVISÃO]])))</f>
        <v>45838</v>
      </c>
      <c r="L1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M185" s="6" t="str">
        <f>LD_01[[#This Row],[PASTA]]&amp;"/"&amp;LD_01[[#This Row],[ARQUIVO]]</f>
        <v>MSV-163MS-454-460/12.DV/MSV-163MS-454-460-ACA-EXE-DE-O2-001-R02.pdf</v>
      </c>
    </row>
    <row r="186" spans="1:13" ht="28.8" hidden="1" x14ac:dyDescent="0.3">
      <c r="A186" s="6" t="s">
        <v>3001</v>
      </c>
      <c r="B186" s="6" t="str">
        <f>VLOOKUP(LD_01[[#This Row],[DOCUMENTO]],_xlfn.SORTBY(ARQUIVOS_RECEBIDOS!$E$2:$F$5010,ARQUIVOS_RECEBIDOS!$F$2:$F$5010,-1),2,)</f>
        <v>R02</v>
      </c>
      <c r="C186" s="15" t="s">
        <v>5987</v>
      </c>
      <c r="D186" s="6" t="s">
        <v>4310</v>
      </c>
      <c r="E186" s="8" t="s">
        <v>4087</v>
      </c>
      <c r="F186" s="8" t="s">
        <v>4144</v>
      </c>
      <c r="G186" s="6" t="str">
        <f>_xlfn.XLOOKUP(LD_01[[#This Row],[DISCIPLINA]],'CLASSES DE PROJETOS'!$F$3:$F$37,'CLASSES DE PROJETOS'!$C$3:$C$37)</f>
        <v>DV</v>
      </c>
      <c r="H186" t="str">
        <f>_xlfn.TEXTJOIN("/",TRUE,"MSV-163MS-"&amp;LD_01[[#This Row],[TRECHO]],_xlfn.XLOOKUP(LD_01[[#This Row],[SIGLA]],'CLASSES DE PROJETOS'!$C$3:$C$37,'CLASSES DE PROJETOS'!$E$3:$E$37))</f>
        <v>MSV-163MS-454-460/12.DV</v>
      </c>
      <c r="I186" s="6" t="str" cm="1">
        <f t="array" ref="I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J186" s="6" t="str" cm="1">
        <f t="array" ref="J186">_xlfn.TEXTJOIN(", ",TRUE,_xlfn.UNIQUE(_xlfn._xlws.FILTER(ARQUIVOS_RECEBIDOS!$F$2:$F$5010,ARQUIVOS_RECEBIDOS!$E$2:$E$5010=LD_01[[#This Row],[DOCUMENTO]])))</f>
        <v>R02</v>
      </c>
      <c r="K186" s="12" cm="1">
        <f t="array" ref="K186">_xlfn.UNIQUE(_xlfn._xlws.FILTER(ARQUIVOS[DATA RECEBIMENTO],(ARQUIVOS[DOCUMENTO]=LD_01[[#This Row],[DOCUMENTO]])*(ARQUIVOS[REVISÃO]=LD_01[[#This Row],[REVISÃO]])))</f>
        <v>45838</v>
      </c>
      <c r="L1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M186" s="6" t="str">
        <f>LD_01[[#This Row],[PASTA]]&amp;"/"&amp;LD_01[[#This Row],[ARQUIVO]]</f>
        <v>MSV-163MS-454-460/12.DV/MSV-163MS-454-460-ACA-EXE-DE-O2-002-R02.pdf</v>
      </c>
    </row>
    <row r="187" spans="1:13" ht="28.8" hidden="1" x14ac:dyDescent="0.3">
      <c r="A187" s="6" t="s">
        <v>3002</v>
      </c>
      <c r="B187" s="6" t="str">
        <f>VLOOKUP(LD_01[[#This Row],[DOCUMENTO]],_xlfn.SORTBY(ARQUIVOS_RECEBIDOS!$E$2:$F$5010,ARQUIVOS_RECEBIDOS!$F$2:$F$5010,-1),2,)</f>
        <v>R02</v>
      </c>
      <c r="C187" s="15" t="s">
        <v>5987</v>
      </c>
      <c r="D187" s="6" t="s">
        <v>4310</v>
      </c>
      <c r="E187" s="8" t="s">
        <v>4087</v>
      </c>
      <c r="F187" s="8" t="s">
        <v>4144</v>
      </c>
      <c r="G187" s="6" t="str">
        <f>_xlfn.XLOOKUP(LD_01[[#This Row],[DISCIPLINA]],'CLASSES DE PROJETOS'!$F$3:$F$37,'CLASSES DE PROJETOS'!$C$3:$C$37)</f>
        <v>DV</v>
      </c>
      <c r="H187" t="str">
        <f>_xlfn.TEXTJOIN("/",TRUE,"MSV-163MS-"&amp;LD_01[[#This Row],[TRECHO]],_xlfn.XLOOKUP(LD_01[[#This Row],[SIGLA]],'CLASSES DE PROJETOS'!$C$3:$C$37,'CLASSES DE PROJETOS'!$E$3:$E$37))</f>
        <v>MSV-163MS-454-460/12.DV</v>
      </c>
      <c r="I187" s="6" t="str" cm="1">
        <f t="array" ref="I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J187" s="6" t="str" cm="1">
        <f t="array" ref="J187">_xlfn.TEXTJOIN(", ",TRUE,_xlfn.UNIQUE(_xlfn._xlws.FILTER(ARQUIVOS_RECEBIDOS!$F$2:$F$5010,ARQUIVOS_RECEBIDOS!$E$2:$E$5010=LD_01[[#This Row],[DOCUMENTO]])))</f>
        <v>R02</v>
      </c>
      <c r="K187" s="12" cm="1">
        <f t="array" ref="K187">_xlfn.UNIQUE(_xlfn._xlws.FILTER(ARQUIVOS[DATA RECEBIMENTO],(ARQUIVOS[DOCUMENTO]=LD_01[[#This Row],[DOCUMENTO]])*(ARQUIVOS[REVISÃO]=LD_01[[#This Row],[REVISÃO]])))</f>
        <v>45838</v>
      </c>
      <c r="L1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M187" s="6" t="str">
        <f>LD_01[[#This Row],[PASTA]]&amp;"/"&amp;LD_01[[#This Row],[ARQUIVO]]</f>
        <v>MSV-163MS-454-460/12.DV/MSV-163MS-454-460-ACA-EXE-DE-O2-003-R02.pdf</v>
      </c>
    </row>
    <row r="188" spans="1:13" ht="28.8" hidden="1" x14ac:dyDescent="0.3">
      <c r="A188" s="6" t="s">
        <v>3003</v>
      </c>
      <c r="B188" s="6" t="str">
        <f>VLOOKUP(LD_01[[#This Row],[DOCUMENTO]],_xlfn.SORTBY(ARQUIVOS_RECEBIDOS!$E$2:$F$5010,ARQUIVOS_RECEBIDOS!$F$2:$F$5010,-1),2,)</f>
        <v>R01</v>
      </c>
      <c r="C188" s="15" t="s">
        <v>5987</v>
      </c>
      <c r="D188" s="6" t="s">
        <v>4310</v>
      </c>
      <c r="E188" s="8" t="s">
        <v>4087</v>
      </c>
      <c r="F188" s="8" t="s">
        <v>4144</v>
      </c>
      <c r="G188" s="6" t="str">
        <f>_xlfn.XLOOKUP(LD_01[[#This Row],[DISCIPLINA]],'CLASSES DE PROJETOS'!$F$3:$F$37,'CLASSES DE PROJETOS'!$C$3:$C$37)</f>
        <v>DV</v>
      </c>
      <c r="H188" t="str">
        <f>_xlfn.TEXTJOIN("/",TRUE,"MSV-163MS-"&amp;LD_01[[#This Row],[TRECHO]],_xlfn.XLOOKUP(LD_01[[#This Row],[SIGLA]],'CLASSES DE PROJETOS'!$C$3:$C$37,'CLASSES DE PROJETOS'!$E$3:$E$37))</f>
        <v>MSV-163MS-454-460/12.DV</v>
      </c>
      <c r="I188" s="6" t="str" cm="1">
        <f t="array" ref="I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J188" s="6" t="str" cm="1">
        <f t="array" ref="J188">_xlfn.TEXTJOIN(", ",TRUE,_xlfn.UNIQUE(_xlfn._xlws.FILTER(ARQUIVOS_RECEBIDOS!$F$2:$F$5010,ARQUIVOS_RECEBIDOS!$E$2:$E$5010=LD_01[[#This Row],[DOCUMENTO]])))</f>
        <v>R01</v>
      </c>
      <c r="K188" s="12" cm="1">
        <f t="array" ref="K188">_xlfn.UNIQUE(_xlfn._xlws.FILTER(ARQUIVOS[DATA RECEBIMENTO],(ARQUIVOS[DOCUMENTO]=LD_01[[#This Row],[DOCUMENTO]])*(ARQUIVOS[REVISÃO]=LD_01[[#This Row],[REVISÃO]])))</f>
        <v>45838</v>
      </c>
      <c r="L1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M188" s="6" t="str">
        <f>LD_01[[#This Row],[PASTA]]&amp;"/"&amp;LD_01[[#This Row],[ARQUIVO]]</f>
        <v>MSV-163MS-454-460/12.DV/MSV-163MS-454-460-ACA-EXE-DE-O2-004-R01.pdf</v>
      </c>
    </row>
    <row r="189" spans="1:13" ht="28.8" hidden="1" x14ac:dyDescent="0.3">
      <c r="A189" s="6" t="s">
        <v>3004</v>
      </c>
      <c r="B189" s="6" t="str">
        <f>VLOOKUP(LD_01[[#This Row],[DOCUMENTO]],_xlfn.SORTBY(ARQUIVOS_RECEBIDOS!$E$2:$F$5010,ARQUIVOS_RECEBIDOS!$F$2:$F$5010,-1),2,)</f>
        <v>R02</v>
      </c>
      <c r="C189" s="15" t="s">
        <v>5987</v>
      </c>
      <c r="D189" s="6" t="s">
        <v>4310</v>
      </c>
      <c r="E189" s="8" t="s">
        <v>4087</v>
      </c>
      <c r="F189" s="8" t="s">
        <v>4144</v>
      </c>
      <c r="G189" s="6" t="str">
        <f>_xlfn.XLOOKUP(LD_01[[#This Row],[DISCIPLINA]],'CLASSES DE PROJETOS'!$F$3:$F$37,'CLASSES DE PROJETOS'!$C$3:$C$37)</f>
        <v>DV</v>
      </c>
      <c r="H189" t="str">
        <f>_xlfn.TEXTJOIN("/",TRUE,"MSV-163MS-"&amp;LD_01[[#This Row],[TRECHO]],_xlfn.XLOOKUP(LD_01[[#This Row],[SIGLA]],'CLASSES DE PROJETOS'!$C$3:$C$37,'CLASSES DE PROJETOS'!$E$3:$E$37))</f>
        <v>MSV-163MS-454-460/12.DV</v>
      </c>
      <c r="I189" s="6" t="str" cm="1">
        <f t="array" ref="I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J189" s="6" t="str" cm="1">
        <f t="array" ref="J189">_xlfn.TEXTJOIN(", ",TRUE,_xlfn.UNIQUE(_xlfn._xlws.FILTER(ARQUIVOS_RECEBIDOS!$F$2:$F$5010,ARQUIVOS_RECEBIDOS!$E$2:$E$5010=LD_01[[#This Row],[DOCUMENTO]])))</f>
        <v>R02</v>
      </c>
      <c r="K189" s="12" cm="1">
        <f t="array" ref="K189">_xlfn.UNIQUE(_xlfn._xlws.FILTER(ARQUIVOS[DATA RECEBIMENTO],(ARQUIVOS[DOCUMENTO]=LD_01[[#This Row],[DOCUMENTO]])*(ARQUIVOS[REVISÃO]=LD_01[[#This Row],[REVISÃO]])))</f>
        <v>45838</v>
      </c>
      <c r="L1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M189" s="6" t="str">
        <f>LD_01[[#This Row],[PASTA]]&amp;"/"&amp;LD_01[[#This Row],[ARQUIVO]]</f>
        <v>MSV-163MS-454-460/12.DV/MSV-163MS-454-460-ACA-EXE-DE-O2-005-R02.pdf</v>
      </c>
    </row>
    <row r="190" spans="1:13" ht="28.8" hidden="1" x14ac:dyDescent="0.3">
      <c r="A190" s="6" t="s">
        <v>3005</v>
      </c>
      <c r="B190" s="6" t="str">
        <f>VLOOKUP(LD_01[[#This Row],[DOCUMENTO]],_xlfn.SORTBY(ARQUIVOS_RECEBIDOS!$E$2:$F$5010,ARQUIVOS_RECEBIDOS!$F$2:$F$5010,-1),2,)</f>
        <v>R02</v>
      </c>
      <c r="C190" s="15" t="s">
        <v>5987</v>
      </c>
      <c r="D190" s="6" t="s">
        <v>4310</v>
      </c>
      <c r="E190" s="8" t="s">
        <v>4087</v>
      </c>
      <c r="F190" s="8" t="s">
        <v>4144</v>
      </c>
      <c r="G190" s="6" t="str">
        <f>_xlfn.XLOOKUP(LD_01[[#This Row],[DISCIPLINA]],'CLASSES DE PROJETOS'!$F$3:$F$37,'CLASSES DE PROJETOS'!$C$3:$C$37)</f>
        <v>DV</v>
      </c>
      <c r="H190" t="str">
        <f>_xlfn.TEXTJOIN("/",TRUE,"MSV-163MS-"&amp;LD_01[[#This Row],[TRECHO]],_xlfn.XLOOKUP(LD_01[[#This Row],[SIGLA]],'CLASSES DE PROJETOS'!$C$3:$C$37,'CLASSES DE PROJETOS'!$E$3:$E$37))</f>
        <v>MSV-163MS-454-460/12.DV</v>
      </c>
      <c r="I190" s="6" t="str" cm="1">
        <f t="array" ref="I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J190" s="6" t="str" cm="1">
        <f t="array" ref="J190">_xlfn.TEXTJOIN(", ",TRUE,_xlfn.UNIQUE(_xlfn._xlws.FILTER(ARQUIVOS_RECEBIDOS!$F$2:$F$5010,ARQUIVOS_RECEBIDOS!$E$2:$E$5010=LD_01[[#This Row],[DOCUMENTO]])))</f>
        <v>R02</v>
      </c>
      <c r="K190" s="12" cm="1">
        <f t="array" ref="K190">_xlfn.UNIQUE(_xlfn._xlws.FILTER(ARQUIVOS[DATA RECEBIMENTO],(ARQUIVOS[DOCUMENTO]=LD_01[[#This Row],[DOCUMENTO]])*(ARQUIVOS[REVISÃO]=LD_01[[#This Row],[REVISÃO]])))</f>
        <v>45838</v>
      </c>
      <c r="L1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M190" s="6" t="str">
        <f>LD_01[[#This Row],[PASTA]]&amp;"/"&amp;LD_01[[#This Row],[ARQUIVO]]</f>
        <v>MSV-163MS-454-460/12.DV/MSV-163MS-454-460-ACA-EXE-DE-O2-006-R02.pdf</v>
      </c>
    </row>
    <row r="191" spans="1:13" ht="28.8" hidden="1" x14ac:dyDescent="0.3">
      <c r="A191" s="6" t="s">
        <v>3006</v>
      </c>
      <c r="B191" s="6" t="str">
        <f>VLOOKUP(LD_01[[#This Row],[DOCUMENTO]],_xlfn.SORTBY(ARQUIVOS_RECEBIDOS!$E$2:$F$5010,ARQUIVOS_RECEBIDOS!$F$2:$F$5010,-1),2,)</f>
        <v>R01</v>
      </c>
      <c r="C191" s="15" t="s">
        <v>5987</v>
      </c>
      <c r="D191" s="6" t="s">
        <v>4310</v>
      </c>
      <c r="E191" s="8" t="s">
        <v>4087</v>
      </c>
      <c r="F191" s="8" t="s">
        <v>4144</v>
      </c>
      <c r="G191" s="6" t="str">
        <f>_xlfn.XLOOKUP(LD_01[[#This Row],[DISCIPLINA]],'CLASSES DE PROJETOS'!$F$3:$F$37,'CLASSES DE PROJETOS'!$C$3:$C$37)</f>
        <v>DV</v>
      </c>
      <c r="H191" t="str">
        <f>_xlfn.TEXTJOIN("/",TRUE,"MSV-163MS-"&amp;LD_01[[#This Row],[TRECHO]],_xlfn.XLOOKUP(LD_01[[#This Row],[SIGLA]],'CLASSES DE PROJETOS'!$C$3:$C$37,'CLASSES DE PROJETOS'!$E$3:$E$37))</f>
        <v>MSV-163MS-454-460/12.DV</v>
      </c>
      <c r="I191" s="6" t="str" cm="1">
        <f t="array" ref="I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J191" s="6" t="str" cm="1">
        <f t="array" ref="J191">_xlfn.TEXTJOIN(", ",TRUE,_xlfn.UNIQUE(_xlfn._xlws.FILTER(ARQUIVOS_RECEBIDOS!$F$2:$F$5010,ARQUIVOS_RECEBIDOS!$E$2:$E$5010=LD_01[[#This Row],[DOCUMENTO]])))</f>
        <v>R01</v>
      </c>
      <c r="K191" s="12" cm="1">
        <f t="array" ref="K191">_xlfn.UNIQUE(_xlfn._xlws.FILTER(ARQUIVOS[DATA RECEBIMENTO],(ARQUIVOS[DOCUMENTO]=LD_01[[#This Row],[DOCUMENTO]])*(ARQUIVOS[REVISÃO]=LD_01[[#This Row],[REVISÃO]])))</f>
        <v>45838</v>
      </c>
      <c r="L1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M191" s="6" t="str">
        <f>LD_01[[#This Row],[PASTA]]&amp;"/"&amp;LD_01[[#This Row],[ARQUIVO]]</f>
        <v>MSV-163MS-454-460/12.DV/MSV-163MS-454-460-ACA-EXE-DE-O2-007-R01.pdf</v>
      </c>
    </row>
    <row r="192" spans="1:13" ht="28.8" hidden="1" x14ac:dyDescent="0.3">
      <c r="A192" s="6" t="s">
        <v>3007</v>
      </c>
      <c r="B192" s="6" t="str">
        <f>VLOOKUP(LD_01[[#This Row],[DOCUMENTO]],_xlfn.SORTBY(ARQUIVOS_RECEBIDOS!$E$2:$F$5010,ARQUIVOS_RECEBIDOS!$F$2:$F$5010,-1),2,)</f>
        <v>R01</v>
      </c>
      <c r="C192" s="15" t="s">
        <v>5987</v>
      </c>
      <c r="D192" s="6" t="s">
        <v>4310</v>
      </c>
      <c r="E192" s="8" t="s">
        <v>4087</v>
      </c>
      <c r="F192" s="8" t="s">
        <v>4144</v>
      </c>
      <c r="G192" s="6" t="str">
        <f>_xlfn.XLOOKUP(LD_01[[#This Row],[DISCIPLINA]],'CLASSES DE PROJETOS'!$F$3:$F$37,'CLASSES DE PROJETOS'!$C$3:$C$37)</f>
        <v>DV</v>
      </c>
      <c r="H192" t="str">
        <f>_xlfn.TEXTJOIN("/",TRUE,"MSV-163MS-"&amp;LD_01[[#This Row],[TRECHO]],_xlfn.XLOOKUP(LD_01[[#This Row],[SIGLA]],'CLASSES DE PROJETOS'!$C$3:$C$37,'CLASSES DE PROJETOS'!$E$3:$E$37))</f>
        <v>MSV-163MS-454-460/12.DV</v>
      </c>
      <c r="I192" s="6" t="str" cm="1">
        <f t="array" ref="I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J192" s="6" t="str" cm="1">
        <f t="array" ref="J192">_xlfn.TEXTJOIN(", ",TRUE,_xlfn.UNIQUE(_xlfn._xlws.FILTER(ARQUIVOS_RECEBIDOS!$F$2:$F$5010,ARQUIVOS_RECEBIDOS!$E$2:$E$5010=LD_01[[#This Row],[DOCUMENTO]])))</f>
        <v>R01</v>
      </c>
      <c r="K192" s="12" cm="1">
        <f t="array" ref="K192">_xlfn.UNIQUE(_xlfn._xlws.FILTER(ARQUIVOS[DATA RECEBIMENTO],(ARQUIVOS[DOCUMENTO]=LD_01[[#This Row],[DOCUMENTO]])*(ARQUIVOS[REVISÃO]=LD_01[[#This Row],[REVISÃO]])))</f>
        <v>45838</v>
      </c>
      <c r="L1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M192" s="6" t="str">
        <f>LD_01[[#This Row],[PASTA]]&amp;"/"&amp;LD_01[[#This Row],[ARQUIVO]]</f>
        <v>MSV-163MS-454-460/12.DV/MSV-163MS-454-460-ACA-EXE-DE-O2-008-R01.pdf</v>
      </c>
    </row>
    <row r="193" spans="1:13" ht="28.8" hidden="1" x14ac:dyDescent="0.3">
      <c r="A193" s="6" t="s">
        <v>3008</v>
      </c>
      <c r="B193" s="6" t="str">
        <f>VLOOKUP(LD_01[[#This Row],[DOCUMENTO]],_xlfn.SORTBY(ARQUIVOS_RECEBIDOS!$E$2:$F$5010,ARQUIVOS_RECEBIDOS!$F$2:$F$5010,-1),2,)</f>
        <v>R02</v>
      </c>
      <c r="C193" s="15" t="s">
        <v>5987</v>
      </c>
      <c r="D193" s="6" t="s">
        <v>4310</v>
      </c>
      <c r="E193" s="8" t="s">
        <v>4087</v>
      </c>
      <c r="F193" s="8" t="s">
        <v>4144</v>
      </c>
      <c r="G193" s="6" t="str">
        <f>_xlfn.XLOOKUP(LD_01[[#This Row],[DISCIPLINA]],'CLASSES DE PROJETOS'!$F$3:$F$37,'CLASSES DE PROJETOS'!$C$3:$C$37)</f>
        <v>DV</v>
      </c>
      <c r="H193" t="str">
        <f>_xlfn.TEXTJOIN("/",TRUE,"MSV-163MS-"&amp;LD_01[[#This Row],[TRECHO]],_xlfn.XLOOKUP(LD_01[[#This Row],[SIGLA]],'CLASSES DE PROJETOS'!$C$3:$C$37,'CLASSES DE PROJETOS'!$E$3:$E$37))</f>
        <v>MSV-163MS-454-460/12.DV</v>
      </c>
      <c r="I193" s="6" t="str" cm="1">
        <f t="array" ref="I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J193" s="6" t="str" cm="1">
        <f t="array" ref="J193">_xlfn.TEXTJOIN(", ",TRUE,_xlfn.UNIQUE(_xlfn._xlws.FILTER(ARQUIVOS_RECEBIDOS!$F$2:$F$5010,ARQUIVOS_RECEBIDOS!$E$2:$E$5010=LD_01[[#This Row],[DOCUMENTO]])))</f>
        <v>R02</v>
      </c>
      <c r="K193" s="12" cm="1">
        <f t="array" ref="K193">_xlfn.UNIQUE(_xlfn._xlws.FILTER(ARQUIVOS[DATA RECEBIMENTO],(ARQUIVOS[DOCUMENTO]=LD_01[[#This Row],[DOCUMENTO]])*(ARQUIVOS[REVISÃO]=LD_01[[#This Row],[REVISÃO]])))</f>
        <v>45838</v>
      </c>
      <c r="L1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M193" s="6" t="str">
        <f>LD_01[[#This Row],[PASTA]]&amp;"/"&amp;LD_01[[#This Row],[ARQUIVO]]</f>
        <v>MSV-163MS-454-460/12.DV/MSV-163MS-454-460-ACA-EXE-DE-O2-009-R02.pdf</v>
      </c>
    </row>
    <row r="194" spans="1:13" ht="28.8" hidden="1" x14ac:dyDescent="0.3">
      <c r="A194" s="6" t="s">
        <v>3009</v>
      </c>
      <c r="B194" s="6" t="str">
        <f>VLOOKUP(LD_01[[#This Row],[DOCUMENTO]],_xlfn.SORTBY(ARQUIVOS_RECEBIDOS!$E$2:$F$5010,ARQUIVOS_RECEBIDOS!$F$2:$F$5010,-1),2,)</f>
        <v>R01</v>
      </c>
      <c r="C194" s="15" t="s">
        <v>5987</v>
      </c>
      <c r="D194" s="6" t="s">
        <v>4310</v>
      </c>
      <c r="E194" s="8" t="s">
        <v>4087</v>
      </c>
      <c r="F194" s="8" t="s">
        <v>4144</v>
      </c>
      <c r="G194" s="6" t="str">
        <f>_xlfn.XLOOKUP(LD_01[[#This Row],[DISCIPLINA]],'CLASSES DE PROJETOS'!$F$3:$F$37,'CLASSES DE PROJETOS'!$C$3:$C$37)</f>
        <v>DV</v>
      </c>
      <c r="H194" t="str">
        <f>_xlfn.TEXTJOIN("/",TRUE,"MSV-163MS-"&amp;LD_01[[#This Row],[TRECHO]],_xlfn.XLOOKUP(LD_01[[#This Row],[SIGLA]],'CLASSES DE PROJETOS'!$C$3:$C$37,'CLASSES DE PROJETOS'!$E$3:$E$37))</f>
        <v>MSV-163MS-454-460/12.DV</v>
      </c>
      <c r="I194" s="6" t="str" cm="1">
        <f t="array" ref="I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J194" s="6" t="str" cm="1">
        <f t="array" ref="J194">_xlfn.TEXTJOIN(", ",TRUE,_xlfn.UNIQUE(_xlfn._xlws.FILTER(ARQUIVOS_RECEBIDOS!$F$2:$F$5010,ARQUIVOS_RECEBIDOS!$E$2:$E$5010=LD_01[[#This Row],[DOCUMENTO]])))</f>
        <v>R01</v>
      </c>
      <c r="K194" s="12" cm="1">
        <f t="array" ref="K194">_xlfn.UNIQUE(_xlfn._xlws.FILTER(ARQUIVOS[DATA RECEBIMENTO],(ARQUIVOS[DOCUMENTO]=LD_01[[#This Row],[DOCUMENTO]])*(ARQUIVOS[REVISÃO]=LD_01[[#This Row],[REVISÃO]])))</f>
        <v>45838</v>
      </c>
      <c r="L1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M194" s="6" t="str">
        <f>LD_01[[#This Row],[PASTA]]&amp;"/"&amp;LD_01[[#This Row],[ARQUIVO]]</f>
        <v>MSV-163MS-454-460/12.DV/MSV-163MS-454-460-ACA-EXE-DE-O2-010-R01.pdf</v>
      </c>
    </row>
    <row r="195" spans="1:13" ht="28.8" hidden="1" x14ac:dyDescent="0.3">
      <c r="A195" s="6" t="s">
        <v>3010</v>
      </c>
      <c r="B195" s="6" t="str">
        <f>VLOOKUP(LD_01[[#This Row],[DOCUMENTO]],_xlfn.SORTBY(ARQUIVOS_RECEBIDOS!$E$2:$F$5010,ARQUIVOS_RECEBIDOS!$F$2:$F$5010,-1),2,)</f>
        <v>R02</v>
      </c>
      <c r="C195" s="15" t="s">
        <v>5987</v>
      </c>
      <c r="D195" s="6" t="s">
        <v>4310</v>
      </c>
      <c r="E195" s="8" t="s">
        <v>4087</v>
      </c>
      <c r="F195" s="8" t="s">
        <v>4144</v>
      </c>
      <c r="G195" s="6" t="str">
        <f>_xlfn.XLOOKUP(LD_01[[#This Row],[DISCIPLINA]],'CLASSES DE PROJETOS'!$F$3:$F$37,'CLASSES DE PROJETOS'!$C$3:$C$37)</f>
        <v>DV</v>
      </c>
      <c r="H195" t="str">
        <f>_xlfn.TEXTJOIN("/",TRUE,"MSV-163MS-"&amp;LD_01[[#This Row],[TRECHO]],_xlfn.XLOOKUP(LD_01[[#This Row],[SIGLA]],'CLASSES DE PROJETOS'!$C$3:$C$37,'CLASSES DE PROJETOS'!$E$3:$E$37))</f>
        <v>MSV-163MS-454-460/12.DV</v>
      </c>
      <c r="I195" s="6" t="str" cm="1">
        <f t="array" ref="I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J195" s="6" t="str" cm="1">
        <f t="array" ref="J195">_xlfn.TEXTJOIN(", ",TRUE,_xlfn.UNIQUE(_xlfn._xlws.FILTER(ARQUIVOS_RECEBIDOS!$F$2:$F$5010,ARQUIVOS_RECEBIDOS!$E$2:$E$5010=LD_01[[#This Row],[DOCUMENTO]])))</f>
        <v>R02</v>
      </c>
      <c r="K195" s="12" cm="1">
        <f t="array" ref="K195">_xlfn.UNIQUE(_xlfn._xlws.FILTER(ARQUIVOS[DATA RECEBIMENTO],(ARQUIVOS[DOCUMENTO]=LD_01[[#This Row],[DOCUMENTO]])*(ARQUIVOS[REVISÃO]=LD_01[[#This Row],[REVISÃO]])))</f>
        <v>45838</v>
      </c>
      <c r="L1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M195" s="6" t="str">
        <f>LD_01[[#This Row],[PASTA]]&amp;"/"&amp;LD_01[[#This Row],[ARQUIVO]]</f>
        <v>MSV-163MS-454-460/12.DV/MSV-163MS-454-460-ACA-EXE-DE-O2-011-R02.pdf</v>
      </c>
    </row>
    <row r="196" spans="1:13" ht="28.8" hidden="1" x14ac:dyDescent="0.3">
      <c r="A196" s="6" t="s">
        <v>3011</v>
      </c>
      <c r="B196" s="6" t="str">
        <f>VLOOKUP(LD_01[[#This Row],[DOCUMENTO]],_xlfn.SORTBY(ARQUIVOS_RECEBIDOS!$E$2:$F$5010,ARQUIVOS_RECEBIDOS!$F$2:$F$5010,-1),2,)</f>
        <v>R02</v>
      </c>
      <c r="C196" s="15" t="s">
        <v>5987</v>
      </c>
      <c r="D196" s="6" t="s">
        <v>4310</v>
      </c>
      <c r="E196" s="8" t="s">
        <v>4087</v>
      </c>
      <c r="F196" s="8" t="s">
        <v>4144</v>
      </c>
      <c r="G196" s="6" t="str">
        <f>_xlfn.XLOOKUP(LD_01[[#This Row],[DISCIPLINA]],'CLASSES DE PROJETOS'!$F$3:$F$37,'CLASSES DE PROJETOS'!$C$3:$C$37)</f>
        <v>DV</v>
      </c>
      <c r="H196" t="str">
        <f>_xlfn.TEXTJOIN("/",TRUE,"MSV-163MS-"&amp;LD_01[[#This Row],[TRECHO]],_xlfn.XLOOKUP(LD_01[[#This Row],[SIGLA]],'CLASSES DE PROJETOS'!$C$3:$C$37,'CLASSES DE PROJETOS'!$E$3:$E$37))</f>
        <v>MSV-163MS-454-460/12.DV</v>
      </c>
      <c r="I196" s="6" t="str" cm="1">
        <f t="array" ref="I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J196" s="6" t="str" cm="1">
        <f t="array" ref="J196">_xlfn.TEXTJOIN(", ",TRUE,_xlfn.UNIQUE(_xlfn._xlws.FILTER(ARQUIVOS_RECEBIDOS!$F$2:$F$5010,ARQUIVOS_RECEBIDOS!$E$2:$E$5010=LD_01[[#This Row],[DOCUMENTO]])))</f>
        <v>R02</v>
      </c>
      <c r="K196" s="12" cm="1">
        <f t="array" ref="K196">_xlfn.UNIQUE(_xlfn._xlws.FILTER(ARQUIVOS[DATA RECEBIMENTO],(ARQUIVOS[DOCUMENTO]=LD_01[[#This Row],[DOCUMENTO]])*(ARQUIVOS[REVISÃO]=LD_01[[#This Row],[REVISÃO]])))</f>
        <v>45838</v>
      </c>
      <c r="L1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M196" s="6" t="str">
        <f>LD_01[[#This Row],[PASTA]]&amp;"/"&amp;LD_01[[#This Row],[ARQUIVO]]</f>
        <v>MSV-163MS-454-460/12.DV/MSV-163MS-454-460-ACA-EXE-DE-O2-012-R02.pdf</v>
      </c>
    </row>
    <row r="197" spans="1:13" ht="28.8" hidden="1" x14ac:dyDescent="0.3">
      <c r="A197" s="6" t="s">
        <v>3012</v>
      </c>
      <c r="B197" s="6" t="str">
        <f>VLOOKUP(LD_01[[#This Row],[DOCUMENTO]],_xlfn.SORTBY(ARQUIVOS_RECEBIDOS!$E$2:$F$5010,ARQUIVOS_RECEBIDOS!$F$2:$F$5010,-1),2,)</f>
        <v>R03</v>
      </c>
      <c r="C197" s="15" t="s">
        <v>5987</v>
      </c>
      <c r="D197" s="6" t="s">
        <v>4310</v>
      </c>
      <c r="E197" s="8" t="s">
        <v>4089</v>
      </c>
      <c r="F197" s="8" t="s">
        <v>4144</v>
      </c>
      <c r="G197" s="6" t="str">
        <f>_xlfn.XLOOKUP(LD_01[[#This Row],[DISCIPLINA]],'CLASSES DE PROJETOS'!$F$3:$F$37,'CLASSES DE PROJETOS'!$C$3:$C$37)</f>
        <v>DV</v>
      </c>
      <c r="H197" t="str">
        <f>_xlfn.TEXTJOIN("/",TRUE,"MSV-163MS-"&amp;LD_01[[#This Row],[TRECHO]],_xlfn.XLOOKUP(LD_01[[#This Row],[SIGLA]],'CLASSES DE PROJETOS'!$C$3:$C$37,'CLASSES DE PROJETOS'!$E$3:$E$37))</f>
        <v>MSV-163MS-454-460/12.DV</v>
      </c>
      <c r="I197" s="6" t="str" cm="1">
        <f t="array" ref="I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J197" s="6" t="str" cm="1">
        <f t="array" ref="J197">_xlfn.TEXTJOIN(", ",TRUE,_xlfn.UNIQUE(_xlfn._xlws.FILTER(ARQUIVOS_RECEBIDOS!$F$2:$F$5010,ARQUIVOS_RECEBIDOS!$E$2:$E$5010=LD_01[[#This Row],[DOCUMENTO]])))</f>
        <v>R03</v>
      </c>
      <c r="K197" s="12" cm="1">
        <f t="array" ref="K197">_xlfn.UNIQUE(_xlfn._xlws.FILTER(ARQUIVOS[DATA RECEBIMENTO],(ARQUIVOS[DOCUMENTO]=LD_01[[#This Row],[DOCUMENTO]])*(ARQUIVOS[REVISÃO]=LD_01[[#This Row],[REVISÃO]])))</f>
        <v>45838</v>
      </c>
      <c r="L1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M197" s="6" t="str">
        <f>LD_01[[#This Row],[PASTA]]&amp;"/"&amp;LD_01[[#This Row],[ARQUIVO]]</f>
        <v>MSV-163MS-454-460/12.DV/MSV-163MS-454-460-ACA-EXE-DE-O2-013-R03.pdf</v>
      </c>
    </row>
    <row r="198" spans="1:13" ht="28.8" hidden="1" x14ac:dyDescent="0.3">
      <c r="A198" s="6" t="s">
        <v>2993</v>
      </c>
      <c r="B198" s="6" t="str">
        <f>VLOOKUP(LD_01[[#This Row],[DOCUMENTO]],_xlfn.SORTBY(ARQUIVOS_RECEBIDOS!$E$2:$F$5010,ARQUIVOS_RECEBIDOS!$F$2:$F$5010,-1),2,)</f>
        <v>R02</v>
      </c>
      <c r="C198" s="15" t="s">
        <v>5987</v>
      </c>
      <c r="D198" s="6" t="s">
        <v>4310</v>
      </c>
      <c r="E198" s="8" t="s">
        <v>4192</v>
      </c>
      <c r="F198" s="8" t="s">
        <v>4338</v>
      </c>
      <c r="G198" s="6" t="str">
        <f>_xlfn.XLOOKUP(LD_01[[#This Row],[DISCIPLINA]],'CLASSES DE PROJETOS'!$F$3:$F$37,'CLASSES DE PROJETOS'!$C$3:$C$37)</f>
        <v>DS</v>
      </c>
      <c r="H198" t="str">
        <f>_xlfn.TEXTJOIN("/",TRUE,"MSV-163MS-"&amp;LD_01[[#This Row],[TRECHO]],_xlfn.XLOOKUP(LD_01[[#This Row],[SIGLA]],'CLASSES DE PROJETOS'!$C$3:$C$37,'CLASSES DE PROJETOS'!$E$3:$E$37))</f>
        <v>MSV-163MS-454-460/11.DS</v>
      </c>
      <c r="I198" s="6" t="str" cm="1">
        <f t="array" ref="I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J198" s="6" t="str" cm="1">
        <f t="array" ref="J198">_xlfn.TEXTJOIN(", ",TRUE,_xlfn.UNIQUE(_xlfn._xlws.FILTER(ARQUIVOS_RECEBIDOS!$F$2:$F$5010,ARQUIVOS_RECEBIDOS!$E$2:$E$5010=LD_01[[#This Row],[DOCUMENTO]])))</f>
        <v>R02</v>
      </c>
      <c r="K198" s="12" cm="1">
        <f t="array" ref="K198">_xlfn.UNIQUE(_xlfn._xlws.FILTER(ARQUIVOS[DATA RECEBIMENTO],(ARQUIVOS[DOCUMENTO]=LD_01[[#This Row],[DOCUMENTO]])*(ARQUIVOS[REVISÃO]=LD_01[[#This Row],[REVISÃO]])))</f>
        <v>45838</v>
      </c>
      <c r="L1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M198" s="6" t="str">
        <f>LD_01[[#This Row],[PASTA]]&amp;"/"&amp;LD_01[[#This Row],[ARQUIVO]]</f>
        <v>MSV-163MS-454-460/11.DS/MSV-163MS-454-460-ACA-EXE-DE-Q1-001-R02.pdf</v>
      </c>
    </row>
    <row r="199" spans="1:13" ht="28.8" hidden="1" x14ac:dyDescent="0.3">
      <c r="A199" s="6" t="s">
        <v>2994</v>
      </c>
      <c r="B199" s="6" t="str">
        <f>VLOOKUP(LD_01[[#This Row],[DOCUMENTO]],_xlfn.SORTBY(ARQUIVOS_RECEBIDOS!$E$2:$F$5010,ARQUIVOS_RECEBIDOS!$F$2:$F$5010,-1),2,)</f>
        <v>R02</v>
      </c>
      <c r="C199" s="15" t="s">
        <v>5987</v>
      </c>
      <c r="D199" s="6" t="s">
        <v>4310</v>
      </c>
      <c r="E199" s="8" t="s">
        <v>4192</v>
      </c>
      <c r="F199" s="8" t="s">
        <v>4338</v>
      </c>
      <c r="G199" s="6" t="str">
        <f>_xlfn.XLOOKUP(LD_01[[#This Row],[DISCIPLINA]],'CLASSES DE PROJETOS'!$F$3:$F$37,'CLASSES DE PROJETOS'!$C$3:$C$37)</f>
        <v>DS</v>
      </c>
      <c r="H199" t="str">
        <f>_xlfn.TEXTJOIN("/",TRUE,"MSV-163MS-"&amp;LD_01[[#This Row],[TRECHO]],_xlfn.XLOOKUP(LD_01[[#This Row],[SIGLA]],'CLASSES DE PROJETOS'!$C$3:$C$37,'CLASSES DE PROJETOS'!$E$3:$E$37))</f>
        <v>MSV-163MS-454-460/11.DS</v>
      </c>
      <c r="I199" s="6" t="str" cm="1">
        <f t="array" ref="I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J199" s="6" t="str" cm="1">
        <f t="array" ref="J199">_xlfn.TEXTJOIN(", ",TRUE,_xlfn.UNIQUE(_xlfn._xlws.FILTER(ARQUIVOS_RECEBIDOS!$F$2:$F$5010,ARQUIVOS_RECEBIDOS!$E$2:$E$5010=LD_01[[#This Row],[DOCUMENTO]])))</f>
        <v>R02</v>
      </c>
      <c r="K199" s="12" cm="1">
        <f t="array" ref="K199">_xlfn.UNIQUE(_xlfn._xlws.FILTER(ARQUIVOS[DATA RECEBIMENTO],(ARQUIVOS[DOCUMENTO]=LD_01[[#This Row],[DOCUMENTO]])*(ARQUIVOS[REVISÃO]=LD_01[[#This Row],[REVISÃO]])))</f>
        <v>45838</v>
      </c>
      <c r="L1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M199" s="6" t="str">
        <f>LD_01[[#This Row],[PASTA]]&amp;"/"&amp;LD_01[[#This Row],[ARQUIVO]]</f>
        <v>MSV-163MS-454-460/11.DS/MSV-163MS-454-460-ACA-EXE-DE-Q1-002-R02.pdf</v>
      </c>
    </row>
    <row r="200" spans="1:13" ht="28.8" hidden="1" x14ac:dyDescent="0.3">
      <c r="A200" s="6" t="s">
        <v>2995</v>
      </c>
      <c r="B200" s="6" t="str">
        <f>VLOOKUP(LD_01[[#This Row],[DOCUMENTO]],_xlfn.SORTBY(ARQUIVOS_RECEBIDOS!$E$2:$F$5010,ARQUIVOS_RECEBIDOS!$F$2:$F$5010,-1),2,)</f>
        <v>R02</v>
      </c>
      <c r="C200" s="15" t="s">
        <v>5987</v>
      </c>
      <c r="D200" s="6" t="s">
        <v>4310</v>
      </c>
      <c r="E200" s="8" t="s">
        <v>4192</v>
      </c>
      <c r="F200" s="8" t="s">
        <v>4338</v>
      </c>
      <c r="G200" s="6" t="str">
        <f>_xlfn.XLOOKUP(LD_01[[#This Row],[DISCIPLINA]],'CLASSES DE PROJETOS'!$F$3:$F$37,'CLASSES DE PROJETOS'!$C$3:$C$37)</f>
        <v>DS</v>
      </c>
      <c r="H200" t="str">
        <f>_xlfn.TEXTJOIN("/",TRUE,"MSV-163MS-"&amp;LD_01[[#This Row],[TRECHO]],_xlfn.XLOOKUP(LD_01[[#This Row],[SIGLA]],'CLASSES DE PROJETOS'!$C$3:$C$37,'CLASSES DE PROJETOS'!$E$3:$E$37))</f>
        <v>MSV-163MS-454-460/11.DS</v>
      </c>
      <c r="I200" s="6" t="str" cm="1">
        <f t="array" ref="I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J200" s="6" t="str" cm="1">
        <f t="array" ref="J200">_xlfn.TEXTJOIN(", ",TRUE,_xlfn.UNIQUE(_xlfn._xlws.FILTER(ARQUIVOS_RECEBIDOS!$F$2:$F$5010,ARQUIVOS_RECEBIDOS!$E$2:$E$5010=LD_01[[#This Row],[DOCUMENTO]])))</f>
        <v>R02</v>
      </c>
      <c r="K200" s="12" cm="1">
        <f t="array" ref="K200">_xlfn.UNIQUE(_xlfn._xlws.FILTER(ARQUIVOS[DATA RECEBIMENTO],(ARQUIVOS[DOCUMENTO]=LD_01[[#This Row],[DOCUMENTO]])*(ARQUIVOS[REVISÃO]=LD_01[[#This Row],[REVISÃO]])))</f>
        <v>45838</v>
      </c>
      <c r="L2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M200" s="6" t="str">
        <f>LD_01[[#This Row],[PASTA]]&amp;"/"&amp;LD_01[[#This Row],[ARQUIVO]]</f>
        <v>MSV-163MS-454-460/11.DS/MSV-163MS-454-460-ACA-EXE-DE-Q1-003-R02.pdf</v>
      </c>
    </row>
    <row r="201" spans="1:13" ht="28.8" hidden="1" x14ac:dyDescent="0.3">
      <c r="A201" s="6" t="s">
        <v>2996</v>
      </c>
      <c r="B201" s="6" t="str">
        <f>VLOOKUP(LD_01[[#This Row],[DOCUMENTO]],_xlfn.SORTBY(ARQUIVOS_RECEBIDOS!$E$2:$F$5010,ARQUIVOS_RECEBIDOS!$F$2:$F$5010,-1),2,)</f>
        <v>R01</v>
      </c>
      <c r="C201" s="15" t="s">
        <v>5987</v>
      </c>
      <c r="D201" s="6" t="s">
        <v>4310</v>
      </c>
      <c r="E201" s="8" t="s">
        <v>4192</v>
      </c>
      <c r="F201" s="8" t="s">
        <v>4338</v>
      </c>
      <c r="G201" s="6" t="str">
        <f>_xlfn.XLOOKUP(LD_01[[#This Row],[DISCIPLINA]],'CLASSES DE PROJETOS'!$F$3:$F$37,'CLASSES DE PROJETOS'!$C$3:$C$37)</f>
        <v>DS</v>
      </c>
      <c r="H201" t="str">
        <f>_xlfn.TEXTJOIN("/",TRUE,"MSV-163MS-"&amp;LD_01[[#This Row],[TRECHO]],_xlfn.XLOOKUP(LD_01[[#This Row],[SIGLA]],'CLASSES DE PROJETOS'!$C$3:$C$37,'CLASSES DE PROJETOS'!$E$3:$E$37))</f>
        <v>MSV-163MS-454-460/11.DS</v>
      </c>
      <c r="I201" s="6" t="str" cm="1">
        <f t="array" ref="I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J201" s="6" t="str" cm="1">
        <f t="array" ref="J201">_xlfn.TEXTJOIN(", ",TRUE,_xlfn.UNIQUE(_xlfn._xlws.FILTER(ARQUIVOS_RECEBIDOS!$F$2:$F$5010,ARQUIVOS_RECEBIDOS!$E$2:$E$5010=LD_01[[#This Row],[DOCUMENTO]])))</f>
        <v>R01</v>
      </c>
      <c r="K201" s="12" cm="1">
        <f t="array" ref="K201">_xlfn.UNIQUE(_xlfn._xlws.FILTER(ARQUIVOS[DATA RECEBIMENTO],(ARQUIVOS[DOCUMENTO]=LD_01[[#This Row],[DOCUMENTO]])*(ARQUIVOS[REVISÃO]=LD_01[[#This Row],[REVISÃO]])))</f>
        <v>45838</v>
      </c>
      <c r="L2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M201" s="6" t="str">
        <f>LD_01[[#This Row],[PASTA]]&amp;"/"&amp;LD_01[[#This Row],[ARQUIVO]]</f>
        <v>MSV-163MS-454-460/11.DS/MSV-163MS-454-460-ACA-EXE-DE-Q1-004-R01.pdf</v>
      </c>
    </row>
    <row r="202" spans="1:13" ht="28.8" hidden="1" x14ac:dyDescent="0.3">
      <c r="A202" s="6" t="s">
        <v>2997</v>
      </c>
      <c r="B202" s="6" t="str">
        <f>VLOOKUP(LD_01[[#This Row],[DOCUMENTO]],_xlfn.SORTBY(ARQUIVOS_RECEBIDOS!$E$2:$F$5010,ARQUIVOS_RECEBIDOS!$F$2:$F$5010,-1),2,)</f>
        <v>R04</v>
      </c>
      <c r="C202" s="15" t="s">
        <v>5987</v>
      </c>
      <c r="D202" s="6" t="s">
        <v>4310</v>
      </c>
      <c r="E202" s="8" t="s">
        <v>4192</v>
      </c>
      <c r="F202" s="8" t="s">
        <v>4338</v>
      </c>
      <c r="G202" s="6" t="str">
        <f>_xlfn.XLOOKUP(LD_01[[#This Row],[DISCIPLINA]],'CLASSES DE PROJETOS'!$F$3:$F$37,'CLASSES DE PROJETOS'!$C$3:$C$37)</f>
        <v>DS</v>
      </c>
      <c r="H202" t="str">
        <f>_xlfn.TEXTJOIN("/",TRUE,"MSV-163MS-"&amp;LD_01[[#This Row],[TRECHO]],_xlfn.XLOOKUP(LD_01[[#This Row],[SIGLA]],'CLASSES DE PROJETOS'!$C$3:$C$37,'CLASSES DE PROJETOS'!$E$3:$E$37))</f>
        <v>MSV-163MS-454-460/11.DS</v>
      </c>
      <c r="I202" s="6" t="str" cm="1">
        <f t="array" ref="I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J202" s="6" t="str" cm="1">
        <f t="array" ref="J202">_xlfn.TEXTJOIN(", ",TRUE,_xlfn.UNIQUE(_xlfn._xlws.FILTER(ARQUIVOS_RECEBIDOS!$F$2:$F$5010,ARQUIVOS_RECEBIDOS!$E$2:$E$5010=LD_01[[#This Row],[DOCUMENTO]])))</f>
        <v>R04</v>
      </c>
      <c r="K202" s="12" cm="1">
        <f t="array" ref="K202">_xlfn.UNIQUE(_xlfn._xlws.FILTER(ARQUIVOS[DATA RECEBIMENTO],(ARQUIVOS[DOCUMENTO]=LD_01[[#This Row],[DOCUMENTO]])*(ARQUIVOS[REVISÃO]=LD_01[[#This Row],[REVISÃO]])))</f>
        <v>45838</v>
      </c>
      <c r="L2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M202" s="6" t="str">
        <f>LD_01[[#This Row],[PASTA]]&amp;"/"&amp;LD_01[[#This Row],[ARQUIVO]]</f>
        <v>MSV-163MS-454-460/11.DS/MSV-163MS-454-460-ACA-EXE-DE-Q1-005-R04.pdf</v>
      </c>
    </row>
    <row r="203" spans="1:13" ht="28.8" hidden="1" x14ac:dyDescent="0.3">
      <c r="A203" s="6" t="s">
        <v>2998</v>
      </c>
      <c r="B203" s="6" t="str">
        <f>VLOOKUP(LD_01[[#This Row],[DOCUMENTO]],_xlfn.SORTBY(ARQUIVOS_RECEBIDOS!$E$2:$F$5010,ARQUIVOS_RECEBIDOS!$F$2:$F$5010,-1),2,)</f>
        <v>R02</v>
      </c>
      <c r="C203" s="15" t="s">
        <v>5987</v>
      </c>
      <c r="D203" s="6" t="s">
        <v>4310</v>
      </c>
      <c r="E203" s="8" t="s">
        <v>4192</v>
      </c>
      <c r="F203" s="8" t="s">
        <v>4338</v>
      </c>
      <c r="G203" s="6" t="str">
        <f>_xlfn.XLOOKUP(LD_01[[#This Row],[DISCIPLINA]],'CLASSES DE PROJETOS'!$F$3:$F$37,'CLASSES DE PROJETOS'!$C$3:$C$37)</f>
        <v>DS</v>
      </c>
      <c r="H203" t="str">
        <f>_xlfn.TEXTJOIN("/",TRUE,"MSV-163MS-"&amp;LD_01[[#This Row],[TRECHO]],_xlfn.XLOOKUP(LD_01[[#This Row],[SIGLA]],'CLASSES DE PROJETOS'!$C$3:$C$37,'CLASSES DE PROJETOS'!$E$3:$E$37))</f>
        <v>MSV-163MS-454-460/11.DS</v>
      </c>
      <c r="I203" s="6" t="str" cm="1">
        <f t="array" ref="I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J203" s="6" t="str" cm="1">
        <f t="array" ref="J203">_xlfn.TEXTJOIN(", ",TRUE,_xlfn.UNIQUE(_xlfn._xlws.FILTER(ARQUIVOS_RECEBIDOS!$F$2:$F$5010,ARQUIVOS_RECEBIDOS!$E$2:$E$5010=LD_01[[#This Row],[DOCUMENTO]])))</f>
        <v>R02</v>
      </c>
      <c r="K203" s="12" cm="1">
        <f t="array" ref="K203">_xlfn.UNIQUE(_xlfn._xlws.FILTER(ARQUIVOS[DATA RECEBIMENTO],(ARQUIVOS[DOCUMENTO]=LD_01[[#This Row],[DOCUMENTO]])*(ARQUIVOS[REVISÃO]=LD_01[[#This Row],[REVISÃO]])))</f>
        <v>45838</v>
      </c>
      <c r="L2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M203" s="6" t="str">
        <f>LD_01[[#This Row],[PASTA]]&amp;"/"&amp;LD_01[[#This Row],[ARQUIVO]]</f>
        <v>MSV-163MS-454-460/11.DS/MSV-163MS-454-460-ACA-EXE-DE-Q1-006-R02.pdf</v>
      </c>
    </row>
    <row r="204" spans="1:13" ht="28.8" hidden="1" x14ac:dyDescent="0.3">
      <c r="A204" s="6" t="s">
        <v>2893</v>
      </c>
      <c r="B204" s="6" t="str">
        <f>VLOOKUP(LD_01[[#This Row],[DOCUMENTO]],_xlfn.SORTBY(ARQUIVOS_RECEBIDOS!$E$2:$F$5010,ARQUIVOS_RECEBIDOS!$F$2:$F$5010,-1),2,)</f>
        <v>R08</v>
      </c>
      <c r="C204" s="15" t="s">
        <v>5987</v>
      </c>
      <c r="D204" s="6" t="s">
        <v>4310</v>
      </c>
      <c r="E204" s="8" t="s">
        <v>4323</v>
      </c>
      <c r="F204" s="8" t="s">
        <v>4330</v>
      </c>
      <c r="G204" s="6" t="str">
        <f>_xlfn.XLOOKUP(LD_01[[#This Row],[DISCIPLINA]],'CLASSES DE PROJETOS'!$F$3:$F$37,'CLASSES DE PROJETOS'!$C$3:$C$37)</f>
        <v>TE</v>
      </c>
      <c r="H204" t="str">
        <f>_xlfn.TEXTJOIN("/",TRUE,"MSV-163MS-"&amp;LD_01[[#This Row],[TRECHO]],_xlfn.XLOOKUP(LD_01[[#This Row],[SIGLA]],'CLASSES DE PROJETOS'!$C$3:$C$37,'CLASSES DE PROJETOS'!$E$3:$E$37))</f>
        <v>MSV-163MS-454-460/32.TE</v>
      </c>
      <c r="I204" s="6" t="str" cm="1">
        <f t="array" ref="I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J204" s="6" t="str" cm="1">
        <f t="array" ref="J204">_xlfn.TEXTJOIN(", ",TRUE,_xlfn.UNIQUE(_xlfn._xlws.FILTER(ARQUIVOS_RECEBIDOS!$F$2:$F$5010,ARQUIVOS_RECEBIDOS!$E$2:$E$5010=LD_01[[#This Row],[DOCUMENTO]])))</f>
        <v>R08</v>
      </c>
      <c r="K204" s="12" cm="1">
        <f t="array" ref="K204">_xlfn.UNIQUE(_xlfn._xlws.FILTER(ARQUIVOS[DATA RECEBIMENTO],(ARQUIVOS[DOCUMENTO]=LD_01[[#This Row],[DOCUMENTO]])*(ARQUIVOS[REVISÃO]=LD_01[[#This Row],[REVISÃO]])))</f>
        <v>45838</v>
      </c>
      <c r="L2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M204" s="6" t="str">
        <f>LD_01[[#This Row],[PASTA]]&amp;"/"&amp;LD_01[[#This Row],[ARQUIVO]]</f>
        <v>MSV-163MS-454-460/32.TE/MSV-163MS-454-460-ACA-EXE-MC-G1-001-R08.pdf</v>
      </c>
    </row>
    <row r="205" spans="1:13" ht="28.8" hidden="1" x14ac:dyDescent="0.3">
      <c r="A205" s="6" t="s">
        <v>2914</v>
      </c>
      <c r="B205" s="6" t="str">
        <f>VLOOKUP(LD_01[[#This Row],[DOCUMENTO]],_xlfn.SORTBY(ARQUIVOS_RECEBIDOS!$E$2:$F$5010,ARQUIVOS_RECEBIDOS!$F$2:$F$5010,-1),2,)</f>
        <v>R05</v>
      </c>
      <c r="C205" s="15" t="s">
        <v>5987</v>
      </c>
      <c r="D205" s="6" t="s">
        <v>4310</v>
      </c>
      <c r="E205" s="8" t="s">
        <v>4081</v>
      </c>
      <c r="F205" s="8" t="s">
        <v>4142</v>
      </c>
      <c r="G205" s="6" t="str">
        <f>_xlfn.XLOOKUP(LD_01[[#This Row],[DISCIPLINA]],'CLASSES DE PROJETOS'!$F$3:$F$37,'CLASSES DE PROJETOS'!$C$3:$C$37)</f>
        <v>DR</v>
      </c>
      <c r="H205" t="str">
        <f>_xlfn.TEXTJOIN("/",TRUE,"MSV-163MS-"&amp;LD_01[[#This Row],[TRECHO]],_xlfn.XLOOKUP(LD_01[[#This Row],[SIGLA]],'CLASSES DE PROJETOS'!$C$3:$C$37,'CLASSES DE PROJETOS'!$E$3:$E$37))</f>
        <v>MSV-163MS-454-460/10.DR</v>
      </c>
      <c r="I205" s="6" t="str" cm="1">
        <f t="array" ref="I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J205" s="6" t="str" cm="1">
        <f t="array" ref="J205">_xlfn.TEXTJOIN(", ",TRUE,_xlfn.UNIQUE(_xlfn._xlws.FILTER(ARQUIVOS_RECEBIDOS!$F$2:$F$5010,ARQUIVOS_RECEBIDOS!$E$2:$E$5010=LD_01[[#This Row],[DOCUMENTO]])))</f>
        <v>R05</v>
      </c>
      <c r="K205" s="12" cm="1">
        <f t="array" ref="K205">_xlfn.UNIQUE(_xlfn._xlws.FILTER(ARQUIVOS[DATA RECEBIMENTO],(ARQUIVOS[DOCUMENTO]=LD_01[[#This Row],[DOCUMENTO]])*(ARQUIVOS[REVISÃO]=LD_01[[#This Row],[REVISÃO]])))</f>
        <v>45838</v>
      </c>
      <c r="L2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M205" s="6" t="str">
        <f>LD_01[[#This Row],[PASTA]]&amp;"/"&amp;LD_01[[#This Row],[ARQUIVO]]</f>
        <v>MSV-163MS-454-460/10.DR/MSV-163MS-454-460-ACA-EXE-MC-H2-001-R05.pdf</v>
      </c>
    </row>
    <row r="206" spans="1:13" ht="43.2" hidden="1" x14ac:dyDescent="0.3">
      <c r="A206" s="6" t="s">
        <v>2960</v>
      </c>
      <c r="B206" s="6" t="str">
        <f>VLOOKUP(LD_01[[#This Row],[DOCUMENTO]],_xlfn.SORTBY(ARQUIVOS_RECEBIDOS!$E$2:$F$5010,ARQUIVOS_RECEBIDOS!$F$2:$F$5010,-1),2,)</f>
        <v>R03</v>
      </c>
      <c r="C206" s="15" t="s">
        <v>5987</v>
      </c>
      <c r="D206" s="6" t="s">
        <v>4310</v>
      </c>
      <c r="E206" s="8" t="s">
        <v>4188</v>
      </c>
      <c r="F206" s="8" t="s">
        <v>4337</v>
      </c>
      <c r="G206" s="6" t="str">
        <f>_xlfn.XLOOKUP(LD_01[[#This Row],[DISCIPLINA]],'CLASSES DE PROJETOS'!$F$3:$F$37,'CLASSES DE PROJETOS'!$C$3:$C$37)</f>
        <v>EL</v>
      </c>
      <c r="H206" t="str">
        <f>_xlfn.TEXTJOIN("/",TRUE,"MSV-163MS-"&amp;LD_01[[#This Row],[TRECHO]],_xlfn.XLOOKUP(LD_01[[#This Row],[SIGLA]],'CLASSES DE PROJETOS'!$C$3:$C$37,'CLASSES DE PROJETOS'!$E$3:$E$37))</f>
        <v>MSV-163MS-454-460/14.EL</v>
      </c>
      <c r="I206" s="6" t="str" cm="1">
        <f t="array" ref="I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J206" s="6" t="str" cm="1">
        <f t="array" ref="J206">_xlfn.TEXTJOIN(", ",TRUE,_xlfn.UNIQUE(_xlfn._xlws.FILTER(ARQUIVOS_RECEBIDOS!$F$2:$F$5010,ARQUIVOS_RECEBIDOS!$E$2:$E$5010=LD_01[[#This Row],[DOCUMENTO]])))</f>
        <v>R03</v>
      </c>
      <c r="K206" s="12" cm="1">
        <f t="array" ref="K206">_xlfn.UNIQUE(_xlfn._xlws.FILTER(ARQUIVOS[DATA RECEBIMENTO],(ARQUIVOS[DOCUMENTO]=LD_01[[#This Row],[DOCUMENTO]])*(ARQUIVOS[REVISÃO]=LD_01[[#This Row],[REVISÃO]])))</f>
        <v>45838</v>
      </c>
      <c r="L2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M206" s="6" t="str">
        <f>LD_01[[#This Row],[PASTA]]&amp;"/"&amp;LD_01[[#This Row],[ARQUIVO]]</f>
        <v>MSV-163MS-454-460/14.EL/MSV-163MS-454-460-ACA-EXE-MC-K2-001-R03.pdf</v>
      </c>
    </row>
    <row r="207" spans="1:13" ht="43.2" hidden="1" x14ac:dyDescent="0.3">
      <c r="A207" s="6" t="s">
        <v>2961</v>
      </c>
      <c r="B207" s="6" t="str">
        <f>VLOOKUP(LD_01[[#This Row],[DOCUMENTO]],_xlfn.SORTBY(ARQUIVOS_RECEBIDOS!$E$2:$F$5010,ARQUIVOS_RECEBIDOS!$F$2:$F$5010,-1),2,)</f>
        <v>R02</v>
      </c>
      <c r="C207" s="15" t="s">
        <v>5987</v>
      </c>
      <c r="D207" s="6" t="s">
        <v>4310</v>
      </c>
      <c r="E207" s="8" t="s">
        <v>4189</v>
      </c>
      <c r="F207" s="8" t="s">
        <v>4337</v>
      </c>
      <c r="G207" s="6" t="str">
        <f>_xlfn.XLOOKUP(LD_01[[#This Row],[DISCIPLINA]],'CLASSES DE PROJETOS'!$F$3:$F$37,'CLASSES DE PROJETOS'!$C$3:$C$37)</f>
        <v>EL</v>
      </c>
      <c r="H207" t="str">
        <f>_xlfn.TEXTJOIN("/",TRUE,"MSV-163MS-"&amp;LD_01[[#This Row],[TRECHO]],_xlfn.XLOOKUP(LD_01[[#This Row],[SIGLA]],'CLASSES DE PROJETOS'!$C$3:$C$37,'CLASSES DE PROJETOS'!$E$3:$E$37))</f>
        <v>MSV-163MS-454-460/14.EL</v>
      </c>
      <c r="I207" s="6" t="str" cm="1">
        <f t="array" ref="I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J207" s="6" t="str" cm="1">
        <f t="array" ref="J207">_xlfn.TEXTJOIN(", ",TRUE,_xlfn.UNIQUE(_xlfn._xlws.FILTER(ARQUIVOS_RECEBIDOS!$F$2:$F$5010,ARQUIVOS_RECEBIDOS!$E$2:$E$5010=LD_01[[#This Row],[DOCUMENTO]])))</f>
        <v>R02</v>
      </c>
      <c r="K207" s="12" cm="1">
        <f t="array" ref="K207">_xlfn.UNIQUE(_xlfn._xlws.FILTER(ARQUIVOS[DATA RECEBIMENTO],(ARQUIVOS[DOCUMENTO]=LD_01[[#This Row],[DOCUMENTO]])*(ARQUIVOS[REVISÃO]=LD_01[[#This Row],[REVISÃO]])))</f>
        <v>45838</v>
      </c>
      <c r="L2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M207" s="6" t="str">
        <f>LD_01[[#This Row],[PASTA]]&amp;"/"&amp;LD_01[[#This Row],[ARQUIVO]]</f>
        <v>MSV-163MS-454-460/14.EL/MSV-163MS-454-460-ACA-EXE-MC-K2-002-R02.pdf</v>
      </c>
    </row>
    <row r="208" spans="1:13" ht="43.2" hidden="1" x14ac:dyDescent="0.3">
      <c r="A208" s="6" t="s">
        <v>2954</v>
      </c>
      <c r="B208" s="6" t="str">
        <f>VLOOKUP(LD_01[[#This Row],[DOCUMENTO]],_xlfn.SORTBY(ARQUIVOS_RECEBIDOS!$E$2:$F$5010,ARQUIVOS_RECEBIDOS!$F$2:$F$5010,-1),2,)</f>
        <v>R02</v>
      </c>
      <c r="C208" s="15" t="s">
        <v>5987</v>
      </c>
      <c r="D208" s="6" t="s">
        <v>4310</v>
      </c>
      <c r="E208" s="8" t="s">
        <v>4183</v>
      </c>
      <c r="F208" s="8" t="s">
        <v>5989</v>
      </c>
      <c r="G208" s="6" t="str">
        <f>_xlfn.XLOOKUP(LD_01[[#This Row],[DISCIPLINA]],'CLASSES DE PROJETOS'!$F$3:$F$37,'CLASSES DE PROJETOS'!$C$3:$C$37)</f>
        <v>ES</v>
      </c>
      <c r="H208" t="str">
        <f>_xlfn.TEXTJOIN("/",TRUE,"MSV-163MS-"&amp;LD_01[[#This Row],[TRECHO]],_xlfn.XLOOKUP(LD_01[[#This Row],[SIGLA]],'CLASSES DE PROJETOS'!$C$3:$C$37,'CLASSES DE PROJETOS'!$E$3:$E$37))</f>
        <v>MSV-163MS-454-460/16.ES</v>
      </c>
      <c r="I208" s="6" t="str" cm="1">
        <f t="array" ref="I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J208" s="6" t="str" cm="1">
        <f t="array" ref="J208">_xlfn.TEXTJOIN(", ",TRUE,_xlfn.UNIQUE(_xlfn._xlws.FILTER(ARQUIVOS_RECEBIDOS!$F$2:$F$5010,ARQUIVOS_RECEBIDOS!$E$2:$E$5010=LD_01[[#This Row],[DOCUMENTO]])))</f>
        <v>R00, R01, R02</v>
      </c>
      <c r="K208" s="12" cm="1">
        <f t="array" ref="K208">_xlfn.UNIQUE(_xlfn._xlws.FILTER(ARQUIVOS[DATA RECEBIMENTO],(ARQUIVOS[DOCUMENTO]=LD_01[[#This Row],[DOCUMENTO]])*(ARQUIVOS[REVISÃO]=LD_01[[#This Row],[REVISÃO]])))</f>
        <v>45931</v>
      </c>
      <c r="L2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M208" s="6" t="str">
        <f>LD_01[[#This Row],[PASTA]]&amp;"/"&amp;LD_01[[#This Row],[ARQUIVO]]</f>
        <v>MSV-163MS-454-460/16.ES/MSV-163MS-454-460-ACA-EXE-MC-L2-001-R02.pdf</v>
      </c>
    </row>
    <row r="209" spans="1:13" ht="28.8" hidden="1" x14ac:dyDescent="0.3">
      <c r="A209" s="6" t="s">
        <v>2915</v>
      </c>
      <c r="B209" s="6" t="str">
        <f>VLOOKUP(LD_01[[#This Row],[DOCUMENTO]],_xlfn.SORTBY(ARQUIVOS_RECEBIDOS!$E$2:$F$5010,ARQUIVOS_RECEBIDOS!$F$2:$F$5010,-1),2,)</f>
        <v>R02</v>
      </c>
      <c r="C209" s="15" t="s">
        <v>5987</v>
      </c>
      <c r="D209" s="6" t="s">
        <v>4310</v>
      </c>
      <c r="E209" s="8" t="s">
        <v>4082</v>
      </c>
      <c r="F209" s="8" t="s">
        <v>4142</v>
      </c>
      <c r="G209" s="6" t="str">
        <f>_xlfn.XLOOKUP(LD_01[[#This Row],[DISCIPLINA]],'CLASSES DE PROJETOS'!$F$3:$F$37,'CLASSES DE PROJETOS'!$C$3:$C$37)</f>
        <v>DR</v>
      </c>
      <c r="H209" t="str">
        <f>_xlfn.TEXTJOIN("/",TRUE,"MSV-163MS-"&amp;LD_01[[#This Row],[TRECHO]],_xlfn.XLOOKUP(LD_01[[#This Row],[SIGLA]],'CLASSES DE PROJETOS'!$C$3:$C$37,'CLASSES DE PROJETOS'!$E$3:$E$37))</f>
        <v>MSV-163MS-454-460/10.DR</v>
      </c>
      <c r="I209" s="6" t="str" cm="1">
        <f t="array" ref="I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J209" s="6" t="str" cm="1">
        <f t="array" ref="J209">_xlfn.TEXTJOIN(", ",TRUE,_xlfn.UNIQUE(_xlfn._xlws.FILTER(ARQUIVOS_RECEBIDOS!$F$2:$F$5010,ARQUIVOS_RECEBIDOS!$E$2:$E$5010=LD_01[[#This Row],[DOCUMENTO]])))</f>
        <v>R02</v>
      </c>
      <c r="K209" s="12" cm="1">
        <f t="array" ref="K209">_xlfn.UNIQUE(_xlfn._xlws.FILTER(ARQUIVOS[DATA RECEBIMENTO],(ARQUIVOS[DOCUMENTO]=LD_01[[#This Row],[DOCUMENTO]])*(ARQUIVOS[REVISÃO]=LD_01[[#This Row],[REVISÃO]])))</f>
        <v>45838</v>
      </c>
      <c r="L2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M209" s="6" t="str">
        <f>LD_01[[#This Row],[PASTA]]&amp;"/"&amp;LD_01[[#This Row],[ARQUIVO]]</f>
        <v>MSV-163MS-454-460/10.DR/MSV-163MS-454-460-ACA-EXE-MD-H1-001-R02.pdf</v>
      </c>
    </row>
    <row r="210" spans="1:13" hidden="1" x14ac:dyDescent="0.3">
      <c r="A210" s="6" t="s">
        <v>2943</v>
      </c>
      <c r="B210" s="6" t="str">
        <f>VLOOKUP(LD_01[[#This Row],[DOCUMENTO]],_xlfn.SORTBY(ARQUIVOS_RECEBIDOS!$E$2:$F$5010,ARQUIVOS_RECEBIDOS!$F$2:$F$5010,-1),2,)</f>
        <v>R05</v>
      </c>
      <c r="C210" s="15" t="s">
        <v>5987</v>
      </c>
      <c r="D210" s="6" t="s">
        <v>4310</v>
      </c>
      <c r="E210" s="8" t="s">
        <v>4090</v>
      </c>
      <c r="F210" s="8" t="s">
        <v>4143</v>
      </c>
      <c r="G210" s="6" t="str">
        <f>_xlfn.XLOOKUP(LD_01[[#This Row],[DISCIPLINA]],'CLASSES DE PROJETOS'!$F$3:$F$37,'CLASSES DE PROJETOS'!$C$3:$C$37)</f>
        <v>PV</v>
      </c>
      <c r="H210" t="str">
        <f>_xlfn.TEXTJOIN("/",TRUE,"MSV-163MS-"&amp;LD_01[[#This Row],[TRECHO]],_xlfn.XLOOKUP(LD_01[[#This Row],[SIGLA]],'CLASSES DE PROJETOS'!$C$3:$C$37,'CLASSES DE PROJETOS'!$E$3:$E$37))</f>
        <v>MSV-163MS-454-460/28.PV</v>
      </c>
      <c r="I210" s="6" t="str" cm="1">
        <f t="array" ref="I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J210" s="6" t="str" cm="1">
        <f t="array" ref="J210">_xlfn.TEXTJOIN(", ",TRUE,_xlfn.UNIQUE(_xlfn._xlws.FILTER(ARQUIVOS_RECEBIDOS!$F$2:$F$5010,ARQUIVOS_RECEBIDOS!$E$2:$E$5010=LD_01[[#This Row],[DOCUMENTO]])))</f>
        <v>R04, R05</v>
      </c>
      <c r="K210" s="12" cm="1">
        <f t="array" ref="K210">_xlfn.UNIQUE(_xlfn._xlws.FILTER(ARQUIVOS[DATA RECEBIMENTO],(ARQUIVOS[DOCUMENTO]=LD_01[[#This Row],[DOCUMENTO]])*(ARQUIVOS[REVISÃO]=LD_01[[#This Row],[REVISÃO]])))</f>
        <v>45895</v>
      </c>
      <c r="L2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M210" s="6" t="str">
        <f>LD_01[[#This Row],[PASTA]]&amp;"/"&amp;LD_01[[#This Row],[ARQUIVO]]</f>
        <v>MSV-163MS-454-460/28.PV/MSV-163MS-454-460-ACA-EXE-MD-I2-001-R05.pdf</v>
      </c>
    </row>
    <row r="211" spans="1:13" ht="43.2" hidden="1" x14ac:dyDescent="0.3">
      <c r="A211" s="6" t="s">
        <v>2944</v>
      </c>
      <c r="B211" s="6" t="str">
        <f>VLOOKUP(LD_01[[#This Row],[DOCUMENTO]],_xlfn.SORTBY(ARQUIVOS_RECEBIDOS!$E$2:$F$5010,ARQUIVOS_RECEBIDOS!$F$2:$F$5010,-1),2,)</f>
        <v>R00</v>
      </c>
      <c r="C211" s="15" t="s">
        <v>5987</v>
      </c>
      <c r="D211" s="6" t="s">
        <v>4310</v>
      </c>
      <c r="E211" s="8" t="s">
        <v>4176</v>
      </c>
      <c r="F211" s="8" t="s">
        <v>4143</v>
      </c>
      <c r="G211" s="6" t="str">
        <f>_xlfn.XLOOKUP(LD_01[[#This Row],[DISCIPLINA]],'CLASSES DE PROJETOS'!$F$3:$F$37,'CLASSES DE PROJETOS'!$C$3:$C$37)</f>
        <v>PV</v>
      </c>
      <c r="H211" t="str">
        <f>_xlfn.TEXTJOIN("/",TRUE,"MSV-163MS-"&amp;LD_01[[#This Row],[TRECHO]],_xlfn.XLOOKUP(LD_01[[#This Row],[SIGLA]],'CLASSES DE PROJETOS'!$C$3:$C$37,'CLASSES DE PROJETOS'!$E$3:$E$37))</f>
        <v>MSV-163MS-454-460/28.PV</v>
      </c>
      <c r="I211" s="6" t="str" cm="1">
        <f t="array" ref="I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J211" s="6" t="str" cm="1">
        <f t="array" ref="J211">_xlfn.TEXTJOIN(", ",TRUE,_xlfn.UNIQUE(_xlfn._xlws.FILTER(ARQUIVOS_RECEBIDOS!$F$2:$F$5010,ARQUIVOS_RECEBIDOS!$E$2:$E$5010=LD_01[[#This Row],[DOCUMENTO]])))</f>
        <v>R00</v>
      </c>
      <c r="K211" s="12" cm="1">
        <f t="array" ref="K211">_xlfn.UNIQUE(_xlfn._xlws.FILTER(ARQUIVOS[DATA RECEBIMENTO],(ARQUIVOS[DOCUMENTO]=LD_01[[#This Row],[DOCUMENTO]])*(ARQUIVOS[REVISÃO]=LD_01[[#This Row],[REVISÃO]])))</f>
        <v>45838</v>
      </c>
      <c r="L2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M211" s="6" t="str">
        <f>LD_01[[#This Row],[PASTA]]&amp;"/"&amp;LD_01[[#This Row],[ARQUIVO]]</f>
        <v>MSV-163MS-454-460/28.PV/MSV-163MS-454-460-ACA-EXE-MD-I2-101-R00.pdf</v>
      </c>
    </row>
    <row r="212" spans="1:13" ht="28.8" hidden="1" x14ac:dyDescent="0.3">
      <c r="A212" s="6" t="s">
        <v>4059</v>
      </c>
      <c r="B212" s="6" t="str">
        <f>VLOOKUP(LD_01[[#This Row],[DOCUMENTO]],_xlfn.SORTBY(ARQUIVOS_RECEBIDOS!$E$2:$F$5010,ARQUIVOS_RECEBIDOS!$F$2:$F$5010,-1),2,)</f>
        <v>R00</v>
      </c>
      <c r="C212" s="15" t="s">
        <v>5987</v>
      </c>
      <c r="D212" s="6" t="s">
        <v>4310</v>
      </c>
      <c r="E212" s="8" t="s">
        <v>4245</v>
      </c>
      <c r="F212" s="8" t="s">
        <v>4331</v>
      </c>
      <c r="G212" s="6" t="str">
        <f>_xlfn.XLOOKUP(LD_01[[#This Row],[DISCIPLINA]],'CLASSES DE PROJETOS'!$F$3:$F$37,'CLASSES DE PROJETOS'!$C$3:$C$37)</f>
        <v>SI</v>
      </c>
      <c r="H212" t="str">
        <f>_xlfn.TEXTJOIN("/",TRUE,"MSV-163MS-"&amp;LD_01[[#This Row],[TRECHO]],_xlfn.XLOOKUP(LD_01[[#This Row],[SIGLA]],'CLASSES DE PROJETOS'!$C$3:$C$37,'CLASSES DE PROJETOS'!$E$3:$E$37))</f>
        <v>MSV-163MS-454-460/31.SI</v>
      </c>
      <c r="I212" s="6" t="str" cm="1">
        <f t="array" ref="I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J212" s="6" t="str" cm="1">
        <f t="array" ref="J212">_xlfn.TEXTJOIN(", ",TRUE,_xlfn.UNIQUE(_xlfn._xlws.FILTER(ARQUIVOS_RECEBIDOS!$F$2:$F$5010,ARQUIVOS_RECEBIDOS!$E$2:$E$5010=LD_01[[#This Row],[DOCUMENTO]])))</f>
        <v>R00</v>
      </c>
      <c r="K212" s="12" cm="1">
        <f t="array" ref="K212">_xlfn.UNIQUE(_xlfn._xlws.FILTER(ARQUIVOS[DATA RECEBIMENTO],(ARQUIVOS[DOCUMENTO]=LD_01[[#This Row],[DOCUMENTO]])*(ARQUIVOS[REVISÃO]=LD_01[[#This Row],[REVISÃO]])))</f>
        <v>45895</v>
      </c>
      <c r="L2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M212" s="6" t="str">
        <f>LD_01[[#This Row],[PASTA]]&amp;"/"&amp;LD_01[[#This Row],[ARQUIVO]]</f>
        <v>MSV-163MS-454-460/31.SI/MSV-163MS-454-460-ACA-EXE-MD-J1-001-R00.pdf</v>
      </c>
    </row>
    <row r="213" spans="1:13" ht="43.2" hidden="1" x14ac:dyDescent="0.3">
      <c r="A213" s="6" t="s">
        <v>4060</v>
      </c>
      <c r="B213" s="6" t="str">
        <f>VLOOKUP(LD_01[[#This Row],[DOCUMENTO]],_xlfn.SORTBY(ARQUIVOS_RECEBIDOS!$E$2:$F$5010,ARQUIVOS_RECEBIDOS!$F$2:$F$5010,-1),2,)</f>
        <v>R00</v>
      </c>
      <c r="C213" s="15" t="s">
        <v>5987</v>
      </c>
      <c r="D213" s="6" t="s">
        <v>4310</v>
      </c>
      <c r="E213" s="8" t="s">
        <v>4246</v>
      </c>
      <c r="F213" s="8" t="s">
        <v>4336</v>
      </c>
      <c r="G213" s="6" t="str">
        <f>_xlfn.XLOOKUP(LD_01[[#This Row],[DISCIPLINA]],'CLASSES DE PROJETOS'!$F$3:$F$37,'CLASSES DE PROJETOS'!$C$3:$C$37)</f>
        <v>OC</v>
      </c>
      <c r="H213" t="str">
        <f>_xlfn.TEXTJOIN("/",TRUE,"MSV-163MS-"&amp;LD_01[[#This Row],[TRECHO]],_xlfn.XLOOKUP(LD_01[[#This Row],[SIGLA]],'CLASSES DE PROJETOS'!$C$3:$C$37,'CLASSES DE PROJETOS'!$E$3:$E$37))</f>
        <v>MSV-163MS-454-460/35.OC</v>
      </c>
      <c r="I213" s="6" t="str" cm="1">
        <f t="array" ref="I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J213" s="6" t="str" cm="1">
        <f t="array" ref="J213">_xlfn.TEXTJOIN(", ",TRUE,_xlfn.UNIQUE(_xlfn._xlws.FILTER(ARQUIVOS_RECEBIDOS!$F$2:$F$5010,ARQUIVOS_RECEBIDOS!$E$2:$E$5010=LD_01[[#This Row],[DOCUMENTO]])))</f>
        <v>R00</v>
      </c>
      <c r="K213" s="12" cm="1">
        <f t="array" ref="K213">_xlfn.UNIQUE(_xlfn._xlws.FILTER(ARQUIVOS[DATA RECEBIMENTO],(ARQUIVOS[DOCUMENTO]=LD_01[[#This Row],[DOCUMENTO]])*(ARQUIVOS[REVISÃO]=LD_01[[#This Row],[REVISÃO]])))</f>
        <v>45895</v>
      </c>
      <c r="L2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M213" s="6" t="str">
        <f>LD_01[[#This Row],[PASTA]]&amp;"/"&amp;LD_01[[#This Row],[ARQUIVO]]</f>
        <v>MSV-163MS-454-460/35.OC/MSV-163MS-454-460-ACA-EXE-MD-J2-001-R00.pdf</v>
      </c>
    </row>
    <row r="214" spans="1:13" ht="43.2" hidden="1" x14ac:dyDescent="0.3">
      <c r="A214" s="6" t="s">
        <v>2962</v>
      </c>
      <c r="B214" s="6" t="str">
        <f>VLOOKUP(LD_01[[#This Row],[DOCUMENTO]],_xlfn.SORTBY(ARQUIVOS_RECEBIDOS!$E$2:$F$5010,ARQUIVOS_RECEBIDOS!$F$2:$F$5010,-1),2,)</f>
        <v>R04</v>
      </c>
      <c r="C214" s="15" t="s">
        <v>5987</v>
      </c>
      <c r="D214" s="6" t="s">
        <v>4310</v>
      </c>
      <c r="E214" s="8" t="s">
        <v>4190</v>
      </c>
      <c r="F214" s="8" t="s">
        <v>4337</v>
      </c>
      <c r="G214" s="6" t="str">
        <f>_xlfn.XLOOKUP(LD_01[[#This Row],[DISCIPLINA]],'CLASSES DE PROJETOS'!$F$3:$F$37,'CLASSES DE PROJETOS'!$C$3:$C$37)</f>
        <v>EL</v>
      </c>
      <c r="H214" t="str">
        <f>_xlfn.TEXTJOIN("/",TRUE,"MSV-163MS-"&amp;LD_01[[#This Row],[TRECHO]],_xlfn.XLOOKUP(LD_01[[#This Row],[SIGLA]],'CLASSES DE PROJETOS'!$C$3:$C$37,'CLASSES DE PROJETOS'!$E$3:$E$37))</f>
        <v>MSV-163MS-454-460/14.EL</v>
      </c>
      <c r="I214" s="6" t="str" cm="1">
        <f t="array" ref="I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J214" s="6" t="str" cm="1">
        <f t="array" ref="J214">_xlfn.TEXTJOIN(", ",TRUE,_xlfn.UNIQUE(_xlfn._xlws.FILTER(ARQUIVOS_RECEBIDOS!$F$2:$F$5010,ARQUIVOS_RECEBIDOS!$E$2:$E$5010=LD_01[[#This Row],[DOCUMENTO]])))</f>
        <v>R02, R04</v>
      </c>
      <c r="K214" s="12" cm="1">
        <f t="array" ref="K214">_xlfn.UNIQUE(_xlfn._xlws.FILTER(ARQUIVOS[DATA RECEBIMENTO],(ARQUIVOS[DOCUMENTO]=LD_01[[#This Row],[DOCUMENTO]])*(ARQUIVOS[REVISÃO]=LD_01[[#This Row],[REVISÃO]])))</f>
        <v>45946</v>
      </c>
      <c r="L2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M214" s="6" t="str">
        <f>LD_01[[#This Row],[PASTA]]&amp;"/"&amp;LD_01[[#This Row],[ARQUIVO]]</f>
        <v>MSV-163MS-454-460/14.EL/MSV-163MS-454-460-ACA-EXE-MD-K2-001-R04.pdf</v>
      </c>
    </row>
    <row r="215" spans="1:13" ht="28.8" hidden="1" x14ac:dyDescent="0.3">
      <c r="A215" s="6" t="s">
        <v>3020</v>
      </c>
      <c r="B215" s="6" t="str">
        <f>VLOOKUP(LD_01[[#This Row],[DOCUMENTO]],_xlfn.SORTBY(ARQUIVOS_RECEBIDOS!$E$2:$F$5010,ARQUIVOS_RECEBIDOS!$F$2:$F$5010,-1),2,)</f>
        <v>R00</v>
      </c>
      <c r="C215" s="15" t="s">
        <v>5987</v>
      </c>
      <c r="D215" s="6" t="s">
        <v>4310</v>
      </c>
      <c r="E215" s="8" t="s">
        <v>4169</v>
      </c>
      <c r="F215" s="8" t="s">
        <v>4334</v>
      </c>
      <c r="G215" s="6" t="str">
        <f>_xlfn.XLOOKUP(LD_01[[#This Row],[DISCIPLINA]],'CLASSES DE PROJETOS'!$F$3:$F$37,'CLASSES DE PROJETOS'!$C$3:$C$37)</f>
        <v>PA</v>
      </c>
      <c r="H215" t="str">
        <f>_xlfn.TEXTJOIN("/",TRUE,"MSV-163MS-"&amp;LD_01[[#This Row],[TRECHO]],_xlfn.XLOOKUP(LD_01[[#This Row],[SIGLA]],'CLASSES DE PROJETOS'!$C$3:$C$37,'CLASSES DE PROJETOS'!$E$3:$E$37))</f>
        <v>MSV-163MS-454-460/27.PA</v>
      </c>
      <c r="I215" s="6" t="str" cm="1">
        <f t="array" ref="I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J215" s="6" t="str" cm="1">
        <f t="array" ref="J215">_xlfn.TEXTJOIN(", ",TRUE,_xlfn.UNIQUE(_xlfn._xlws.FILTER(ARQUIVOS_RECEBIDOS!$F$2:$F$5010,ARQUIVOS_RECEBIDOS!$E$2:$E$5010=LD_01[[#This Row],[DOCUMENTO]])))</f>
        <v>R00</v>
      </c>
      <c r="K215" s="12" cm="1">
        <f t="array" ref="K215">_xlfn.UNIQUE(_xlfn._xlws.FILTER(ARQUIVOS[DATA RECEBIMENTO],(ARQUIVOS[DOCUMENTO]=LD_01[[#This Row],[DOCUMENTO]])*(ARQUIVOS[REVISÃO]=LD_01[[#This Row],[REVISÃO]])))</f>
        <v>45838</v>
      </c>
      <c r="L2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M215" s="6" t="str">
        <f>LD_01[[#This Row],[PASTA]]&amp;"/"&amp;LD_01[[#This Row],[ARQUIVO]]</f>
        <v>MSV-163MS-454-460/27.PA/MSV-163MS-454-460-ACA-EXE-MD-N2-001-R00.pdf</v>
      </c>
    </row>
    <row r="216" spans="1:13" ht="28.8" hidden="1" x14ac:dyDescent="0.3">
      <c r="A216" s="6" t="s">
        <v>3013</v>
      </c>
      <c r="B216" s="6" t="str">
        <f>VLOOKUP(LD_01[[#This Row],[DOCUMENTO]],_xlfn.SORTBY(ARQUIVOS_RECEBIDOS!$E$2:$F$5010,ARQUIVOS_RECEBIDOS!$F$2:$F$5010,-1),2,)</f>
        <v>R00</v>
      </c>
      <c r="C216" s="15" t="s">
        <v>5987</v>
      </c>
      <c r="D216" s="6" t="s">
        <v>4310</v>
      </c>
      <c r="E216" s="8" t="s">
        <v>4167</v>
      </c>
      <c r="F216" s="8" t="s">
        <v>4144</v>
      </c>
      <c r="G216" s="6" t="str">
        <f>_xlfn.XLOOKUP(LD_01[[#This Row],[DISCIPLINA]],'CLASSES DE PROJETOS'!$F$3:$F$37,'CLASSES DE PROJETOS'!$C$3:$C$37)</f>
        <v>DV</v>
      </c>
      <c r="H216" t="str">
        <f>_xlfn.TEXTJOIN("/",TRUE,"MSV-163MS-"&amp;LD_01[[#This Row],[TRECHO]],_xlfn.XLOOKUP(LD_01[[#This Row],[SIGLA]],'CLASSES DE PROJETOS'!$C$3:$C$37,'CLASSES DE PROJETOS'!$E$3:$E$37))</f>
        <v>MSV-163MS-454-460/12.DV</v>
      </c>
      <c r="I216" s="6" t="str" cm="1">
        <f t="array" ref="I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J216" s="6" t="str" cm="1">
        <f t="array" ref="J216">_xlfn.TEXTJOIN(", ",TRUE,_xlfn.UNIQUE(_xlfn._xlws.FILTER(ARQUIVOS_RECEBIDOS!$F$2:$F$5010,ARQUIVOS_RECEBIDOS!$E$2:$E$5010=LD_01[[#This Row],[DOCUMENTO]])))</f>
        <v>R00</v>
      </c>
      <c r="K216" s="12" cm="1">
        <f t="array" ref="K216">_xlfn.UNIQUE(_xlfn._xlws.FILTER(ARQUIVOS[DATA RECEBIMENTO],(ARQUIVOS[DOCUMENTO]=LD_01[[#This Row],[DOCUMENTO]])*(ARQUIVOS[REVISÃO]=LD_01[[#This Row],[REVISÃO]])))</f>
        <v>45838</v>
      </c>
      <c r="L2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M216" s="6" t="str">
        <f>LD_01[[#This Row],[PASTA]]&amp;"/"&amp;LD_01[[#This Row],[ARQUIVO]]</f>
        <v>MSV-163MS-454-460/12.DV/MSV-163MS-454-460-ACA-EXE-MD-O2-001-R00.pdf</v>
      </c>
    </row>
    <row r="217" spans="1:13" ht="28.8" hidden="1" x14ac:dyDescent="0.3">
      <c r="A217" s="6" t="s">
        <v>2999</v>
      </c>
      <c r="B217" s="6" t="str">
        <f>VLOOKUP(LD_01[[#This Row],[DOCUMENTO]],_xlfn.SORTBY(ARQUIVOS_RECEBIDOS!$E$2:$F$5010,ARQUIVOS_RECEBIDOS!$F$2:$F$5010,-1),2,)</f>
        <v>R01</v>
      </c>
      <c r="C217" s="15" t="s">
        <v>5987</v>
      </c>
      <c r="D217" s="6" t="s">
        <v>4310</v>
      </c>
      <c r="E217" s="8" t="s">
        <v>4193</v>
      </c>
      <c r="F217" s="8" t="s">
        <v>4338</v>
      </c>
      <c r="G217" s="6" t="str">
        <f>_xlfn.XLOOKUP(LD_01[[#This Row],[DISCIPLINA]],'CLASSES DE PROJETOS'!$F$3:$F$37,'CLASSES DE PROJETOS'!$C$3:$C$37)</f>
        <v>DS</v>
      </c>
      <c r="H217" t="str">
        <f>_xlfn.TEXTJOIN("/",TRUE,"MSV-163MS-"&amp;LD_01[[#This Row],[TRECHO]],_xlfn.XLOOKUP(LD_01[[#This Row],[SIGLA]],'CLASSES DE PROJETOS'!$C$3:$C$37,'CLASSES DE PROJETOS'!$E$3:$E$37))</f>
        <v>MSV-163MS-454-460/11.DS</v>
      </c>
      <c r="I217" s="6" t="str" cm="1">
        <f t="array" ref="I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J217" s="6" t="str" cm="1">
        <f t="array" ref="J217">_xlfn.TEXTJOIN(", ",TRUE,_xlfn.UNIQUE(_xlfn._xlws.FILTER(ARQUIVOS_RECEBIDOS!$F$2:$F$5010,ARQUIVOS_RECEBIDOS!$E$2:$E$5010=LD_01[[#This Row],[DOCUMENTO]])))</f>
        <v>R00, R01</v>
      </c>
      <c r="K217" s="12" cm="1">
        <f t="array" ref="K217">_xlfn.UNIQUE(_xlfn._xlws.FILTER(ARQUIVOS[DATA RECEBIMENTO],(ARQUIVOS[DOCUMENTO]=LD_01[[#This Row],[DOCUMENTO]])*(ARQUIVOS[REVISÃO]=LD_01[[#This Row],[REVISÃO]])))</f>
        <v>45946</v>
      </c>
      <c r="L2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M217" s="6" t="str">
        <f>LD_01[[#This Row],[PASTA]]&amp;"/"&amp;LD_01[[#This Row],[ARQUIVO]]</f>
        <v>MSV-163MS-454-460/11.DS/MSV-163MS-454-460-ACA-EXE-MD-Q1-001-R01.pdf</v>
      </c>
    </row>
    <row r="218" spans="1:13" hidden="1" x14ac:dyDescent="0.3">
      <c r="A218" s="6" t="s">
        <v>2945</v>
      </c>
      <c r="B218" s="6" t="str">
        <f>VLOOKUP(LD_01[[#This Row],[DOCUMENTO]],_xlfn.SORTBY(ARQUIVOS_RECEBIDOS!$E$2:$F$5010,ARQUIVOS_RECEBIDOS!$F$2:$F$5010,-1),2,)</f>
        <v>R05</v>
      </c>
      <c r="C218" s="15" t="s">
        <v>5987</v>
      </c>
      <c r="D218" s="6" t="s">
        <v>4310</v>
      </c>
      <c r="E218" s="8" t="s">
        <v>4091</v>
      </c>
      <c r="F218" s="8" t="s">
        <v>4143</v>
      </c>
      <c r="G218" s="6" t="str">
        <f>_xlfn.XLOOKUP(LD_01[[#This Row],[DISCIPLINA]],'CLASSES DE PROJETOS'!$F$3:$F$37,'CLASSES DE PROJETOS'!$C$3:$C$37)</f>
        <v>PV</v>
      </c>
      <c r="H218" t="str">
        <f>_xlfn.TEXTJOIN("/",TRUE,"MSV-163MS-"&amp;LD_01[[#This Row],[TRECHO]],_xlfn.XLOOKUP(LD_01[[#This Row],[SIGLA]],'CLASSES DE PROJETOS'!$C$3:$C$37,'CLASSES DE PROJETOS'!$E$3:$E$37))</f>
        <v>MSV-163MS-454-460/28.PV</v>
      </c>
      <c r="I218" s="6" t="str" cm="1">
        <f t="array" ref="I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J218" s="6" t="str" cm="1">
        <f t="array" ref="J218">_xlfn.TEXTJOIN(", ",TRUE,_xlfn.UNIQUE(_xlfn._xlws.FILTER(ARQUIVOS_RECEBIDOS!$F$2:$F$5010,ARQUIVOS_RECEBIDOS!$E$2:$E$5010=LD_01[[#This Row],[DOCUMENTO]])))</f>
        <v>R04, R05</v>
      </c>
      <c r="K218" s="12" cm="1">
        <f t="array" ref="K218">_xlfn.UNIQUE(_xlfn._xlws.FILTER(ARQUIVOS[DATA RECEBIMENTO],(ARQUIVOS[DOCUMENTO]=LD_01[[#This Row],[DOCUMENTO]])*(ARQUIVOS[REVISÃO]=LD_01[[#This Row],[REVISÃO]])))</f>
        <v>45946</v>
      </c>
      <c r="L2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M218" s="6" t="str">
        <f>LD_01[[#This Row],[PASTA]]&amp;"/"&amp;LD_01[[#This Row],[ARQUIVO]]</f>
        <v>MSV-163MS-454-460/28.PV/MSV-163MS-454-460-ACA-EXE-NS-C3-001-R05.pdf</v>
      </c>
    </row>
    <row r="219" spans="1:13" hidden="1" x14ac:dyDescent="0.3">
      <c r="A219" s="6" t="s">
        <v>2946</v>
      </c>
      <c r="B219" s="6" t="str">
        <f>VLOOKUP(LD_01[[#This Row],[DOCUMENTO]],_xlfn.SORTBY(ARQUIVOS_RECEBIDOS!$E$2:$F$5010,ARQUIVOS_RECEBIDOS!$F$2:$F$5010,-1),2,)</f>
        <v>R01</v>
      </c>
      <c r="C219" s="15" t="s">
        <v>5987</v>
      </c>
      <c r="D219" s="6" t="s">
        <v>4310</v>
      </c>
      <c r="E219" s="8" t="s">
        <v>4091</v>
      </c>
      <c r="F219" s="8" t="s">
        <v>4143</v>
      </c>
      <c r="G219" s="6" t="str">
        <f>_xlfn.XLOOKUP(LD_01[[#This Row],[DISCIPLINA]],'CLASSES DE PROJETOS'!$F$3:$F$37,'CLASSES DE PROJETOS'!$C$3:$C$37)</f>
        <v>PV</v>
      </c>
      <c r="H219" t="str">
        <f>_xlfn.TEXTJOIN("/",TRUE,"MSV-163MS-"&amp;LD_01[[#This Row],[TRECHO]],_xlfn.XLOOKUP(LD_01[[#This Row],[SIGLA]],'CLASSES DE PROJETOS'!$C$3:$C$37,'CLASSES DE PROJETOS'!$E$3:$E$37))</f>
        <v>MSV-163MS-454-460/28.PV</v>
      </c>
      <c r="I219" s="6" t="str" cm="1">
        <f t="array" ref="I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J219" s="6" t="str" cm="1">
        <f t="array" ref="J219">_xlfn.TEXTJOIN(", ",TRUE,_xlfn.UNIQUE(_xlfn._xlws.FILTER(ARQUIVOS_RECEBIDOS!$F$2:$F$5010,ARQUIVOS_RECEBIDOS!$E$2:$E$5010=LD_01[[#This Row],[DOCUMENTO]])))</f>
        <v>R01</v>
      </c>
      <c r="K219" s="12" cm="1">
        <f t="array" ref="K219">_xlfn.UNIQUE(_xlfn._xlws.FILTER(ARQUIVOS[DATA RECEBIMENTO],(ARQUIVOS[DOCUMENTO]=LD_01[[#This Row],[DOCUMENTO]])*(ARQUIVOS[REVISÃO]=LD_01[[#This Row],[REVISÃO]])))</f>
        <v>45838</v>
      </c>
      <c r="L2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M219" s="6" t="str">
        <f>LD_01[[#This Row],[PASTA]]&amp;"/"&amp;LD_01[[#This Row],[ARQUIVO]]</f>
        <v>MSV-163MS-454-460/28.PV/MSV-163MS-454-460-ACA-EXE-NS-C3-002-R01.pdf</v>
      </c>
    </row>
    <row r="220" spans="1:13" hidden="1" x14ac:dyDescent="0.3">
      <c r="A220" s="6" t="s">
        <v>2853</v>
      </c>
      <c r="B220" s="6" t="str">
        <f>VLOOKUP(LD_01[[#This Row],[DOCUMENTO]],_xlfn.SORTBY(ARQUIVOS_RECEBIDOS!$E$2:$F$5010,ARQUIVOS_RECEBIDOS!$F$2:$F$5010,-1),2,)</f>
        <v>R01</v>
      </c>
      <c r="C220" s="15" t="s">
        <v>5987</v>
      </c>
      <c r="D220" s="6" t="s">
        <v>4310</v>
      </c>
      <c r="E220" s="8" t="s">
        <v>4165</v>
      </c>
      <c r="F220" s="8" t="s">
        <v>4163</v>
      </c>
      <c r="G220" s="6" t="str">
        <f>_xlfn.XLOOKUP(LD_01[[#This Row],[DISCIPLINA]],'CLASSES DE PROJETOS'!$F$3:$F$37,'CLASSES DE PROJETOS'!$C$3:$C$37)</f>
        <v>TO</v>
      </c>
      <c r="H220" t="str">
        <f>_xlfn.TEXTJOIN("/",TRUE,"MSV-163MS-"&amp;LD_01[[#This Row],[TRECHO]],_xlfn.XLOOKUP(LD_01[[#This Row],[SIGLA]],'CLASSES DE PROJETOS'!$C$3:$C$37,'CLASSES DE PROJETOS'!$E$3:$E$37))</f>
        <v>MSV-163MS-454-460/33.TO</v>
      </c>
      <c r="I220" s="6" t="str" cm="1">
        <f t="array" ref="I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J220" s="6" t="str" cm="1">
        <f t="array" ref="J220">_xlfn.TEXTJOIN(", ",TRUE,_xlfn.UNIQUE(_xlfn._xlws.FILTER(ARQUIVOS_RECEBIDOS!$F$2:$F$5010,ARQUIVOS_RECEBIDOS!$E$2:$E$5010=LD_01[[#This Row],[DOCUMENTO]])))</f>
        <v>R01</v>
      </c>
      <c r="K220" s="12" cm="1">
        <f t="array" ref="K220">_xlfn.UNIQUE(_xlfn._xlws.FILTER(ARQUIVOS[DATA RECEBIMENTO],(ARQUIVOS[DOCUMENTO]=LD_01[[#This Row],[DOCUMENTO]])*(ARQUIVOS[REVISÃO]=LD_01[[#This Row],[REVISÃO]])))</f>
        <v>45838</v>
      </c>
      <c r="L2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M220" s="6" t="str">
        <f>LD_01[[#This Row],[PASTA]]&amp;"/"&amp;LD_01[[#This Row],[ARQUIVO]]</f>
        <v>MSV-163MS-454-460/33.TO/MSV-163MS-454-460-ACA-EXE-RT-C1-001-R01.pdf</v>
      </c>
    </row>
    <row r="221" spans="1:13" ht="28.8" hidden="1" x14ac:dyDescent="0.3">
      <c r="A221" s="6" t="s">
        <v>2979</v>
      </c>
      <c r="B221" s="6" t="str">
        <f>VLOOKUP(LD_01[[#This Row],[DOCUMENTO]],_xlfn.SORTBY(ARQUIVOS_RECEBIDOS!$E$2:$F$5010,ARQUIVOS_RECEBIDOS!$F$2:$F$5010,-1),2,)</f>
        <v>R02</v>
      </c>
      <c r="C221" s="15" t="s">
        <v>5987</v>
      </c>
      <c r="D221" s="6" t="s">
        <v>4310</v>
      </c>
      <c r="E221" s="8" t="s">
        <v>4092</v>
      </c>
      <c r="F221" s="8" t="s">
        <v>4332</v>
      </c>
      <c r="G221" s="6" t="str">
        <f>_xlfn.XLOOKUP(LD_01[[#This Row],[DISCIPLINA]],'CLASSES DE PROJETOS'!$F$3:$F$37,'CLASSES DE PROJETOS'!$C$3:$C$37)</f>
        <v>GG</v>
      </c>
      <c r="H221" t="str">
        <f>_xlfn.TEXTJOIN("/",TRUE,"MSV-163MS-"&amp;LD_01[[#This Row],[TRECHO]],_xlfn.XLOOKUP(LD_01[[#This Row],[SIGLA]],'CLASSES DE PROJETOS'!$C$3:$C$37,'CLASSES DE PROJETOS'!$E$3:$E$37))</f>
        <v>MSV-163MS-454-460/19.GG</v>
      </c>
      <c r="I221" s="6" t="str" cm="1">
        <f t="array" ref="I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J221" s="6" t="str" cm="1">
        <f t="array" ref="J221">_xlfn.TEXTJOIN(", ",TRUE,_xlfn.UNIQUE(_xlfn._xlws.FILTER(ARQUIVOS_RECEBIDOS!$F$2:$F$5010,ARQUIVOS_RECEBIDOS!$E$2:$E$5010=LD_01[[#This Row],[DOCUMENTO]])))</f>
        <v>R02</v>
      </c>
      <c r="K221" s="12" cm="1">
        <f t="array" ref="K221">_xlfn.UNIQUE(_xlfn._xlws.FILTER(ARQUIVOS[DATA RECEBIMENTO],(ARQUIVOS[DOCUMENTO]=LD_01[[#This Row],[DOCUMENTO]])*(ARQUIVOS[REVISÃO]=LD_01[[#This Row],[REVISÃO]])))</f>
        <v>45838</v>
      </c>
      <c r="L2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M221" s="6" t="str">
        <f>LD_01[[#This Row],[PASTA]]&amp;"/"&amp;LD_01[[#This Row],[ARQUIVO]]</f>
        <v>MSV-163MS-454-460/19.GG/MSV-163MS-454-460-ACA-EXE-RT-D3-001-R02.pdf</v>
      </c>
    </row>
    <row r="222" spans="1:13" ht="28.8" hidden="1" x14ac:dyDescent="0.3">
      <c r="A222" s="6" t="s">
        <v>2980</v>
      </c>
      <c r="B222" s="6" t="str">
        <f>VLOOKUP(LD_01[[#This Row],[DOCUMENTO]],_xlfn.SORTBY(ARQUIVOS_RECEBIDOS!$E$2:$F$5010,ARQUIVOS_RECEBIDOS!$F$2:$F$5010,-1),2,)</f>
        <v>R00</v>
      </c>
      <c r="C222" s="15" t="s">
        <v>5987</v>
      </c>
      <c r="D222" s="6" t="s">
        <v>4310</v>
      </c>
      <c r="E222" s="8" t="s">
        <v>4092</v>
      </c>
      <c r="F222" s="8" t="s">
        <v>4332</v>
      </c>
      <c r="G222" s="6" t="str">
        <f>_xlfn.XLOOKUP(LD_01[[#This Row],[DISCIPLINA]],'CLASSES DE PROJETOS'!$F$3:$F$37,'CLASSES DE PROJETOS'!$C$3:$C$37)</f>
        <v>GG</v>
      </c>
      <c r="H222" t="str">
        <f>_xlfn.TEXTJOIN("/",TRUE,"MSV-163MS-"&amp;LD_01[[#This Row],[TRECHO]],_xlfn.XLOOKUP(LD_01[[#This Row],[SIGLA]],'CLASSES DE PROJETOS'!$C$3:$C$37,'CLASSES DE PROJETOS'!$E$3:$E$37))</f>
        <v>MSV-163MS-454-460/19.GG</v>
      </c>
      <c r="I222" s="6" t="str" cm="1">
        <f t="array" ref="I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J222" s="6" t="str" cm="1">
        <f t="array" ref="J222">_xlfn.TEXTJOIN(", ",TRUE,_xlfn.UNIQUE(_xlfn._xlws.FILTER(ARQUIVOS_RECEBIDOS!$F$2:$F$5010,ARQUIVOS_RECEBIDOS!$E$2:$E$5010=LD_01[[#This Row],[DOCUMENTO]])))</f>
        <v>R00</v>
      </c>
      <c r="K222" s="12" cm="1">
        <f t="array" ref="K222">_xlfn.UNIQUE(_xlfn._xlws.FILTER(ARQUIVOS[DATA RECEBIMENTO],(ARQUIVOS[DOCUMENTO]=LD_01[[#This Row],[DOCUMENTO]])*(ARQUIVOS[REVISÃO]=LD_01[[#This Row],[REVISÃO]])))</f>
        <v>45838</v>
      </c>
      <c r="L2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M222" s="6" t="str">
        <f>LD_01[[#This Row],[PASTA]]&amp;"/"&amp;LD_01[[#This Row],[ARQUIVO]]</f>
        <v>MSV-163MS-454-460/19.GG/MSV-163MS-454-460-ACA-EXE-RT-D3-002-R00.pdf</v>
      </c>
    </row>
    <row r="223" spans="1:13" ht="28.8" hidden="1" x14ac:dyDescent="0.3">
      <c r="A223" s="6" t="s">
        <v>2981</v>
      </c>
      <c r="B223" s="6" t="str">
        <f>VLOOKUP(LD_01[[#This Row],[DOCUMENTO]],_xlfn.SORTBY(ARQUIVOS_RECEBIDOS!$E$2:$F$5010,ARQUIVOS_RECEBIDOS!$F$2:$F$5010,-1),2,)</f>
        <v>R01</v>
      </c>
      <c r="C223" s="15" t="s">
        <v>5987</v>
      </c>
      <c r="D223" s="6" t="s">
        <v>4310</v>
      </c>
      <c r="E223" s="8" t="s">
        <v>4092</v>
      </c>
      <c r="F223" s="8" t="s">
        <v>4332</v>
      </c>
      <c r="G223" s="6" t="str">
        <f>_xlfn.XLOOKUP(LD_01[[#This Row],[DISCIPLINA]],'CLASSES DE PROJETOS'!$F$3:$F$37,'CLASSES DE PROJETOS'!$C$3:$C$37)</f>
        <v>GG</v>
      </c>
      <c r="H223" t="str">
        <f>_xlfn.TEXTJOIN("/",TRUE,"MSV-163MS-"&amp;LD_01[[#This Row],[TRECHO]],_xlfn.XLOOKUP(LD_01[[#This Row],[SIGLA]],'CLASSES DE PROJETOS'!$C$3:$C$37,'CLASSES DE PROJETOS'!$E$3:$E$37))</f>
        <v>MSV-163MS-454-460/19.GG</v>
      </c>
      <c r="I223" s="6" t="str" cm="1">
        <f t="array" ref="I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J223" s="6" t="str" cm="1">
        <f t="array" ref="J223">_xlfn.TEXTJOIN(", ",TRUE,_xlfn.UNIQUE(_xlfn._xlws.FILTER(ARQUIVOS_RECEBIDOS!$F$2:$F$5010,ARQUIVOS_RECEBIDOS!$E$2:$E$5010=LD_01[[#This Row],[DOCUMENTO]])))</f>
        <v>R01</v>
      </c>
      <c r="K223" s="12" cm="1">
        <f t="array" ref="K223">_xlfn.UNIQUE(_xlfn._xlws.FILTER(ARQUIVOS[DATA RECEBIMENTO],(ARQUIVOS[DOCUMENTO]=LD_01[[#This Row],[DOCUMENTO]])*(ARQUIVOS[REVISÃO]=LD_01[[#This Row],[REVISÃO]])))</f>
        <v>45838</v>
      </c>
      <c r="L2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M223" s="6" t="str">
        <f>LD_01[[#This Row],[PASTA]]&amp;"/"&amp;LD_01[[#This Row],[ARQUIVO]]</f>
        <v>MSV-163MS-454-460/19.GG/MSV-163MS-454-460-ACA-EXE-RT-D3-003-R01.pdf</v>
      </c>
    </row>
    <row r="224" spans="1:13" ht="28.8" hidden="1" x14ac:dyDescent="0.3">
      <c r="A224" s="6" t="s">
        <v>2982</v>
      </c>
      <c r="B224" s="6" t="str">
        <f>VLOOKUP(LD_01[[#This Row],[DOCUMENTO]],_xlfn.SORTBY(ARQUIVOS_RECEBIDOS!$E$2:$F$5010,ARQUIVOS_RECEBIDOS!$F$2:$F$5010,-1),2,)</f>
        <v>R00</v>
      </c>
      <c r="C224" s="15" t="s">
        <v>5987</v>
      </c>
      <c r="D224" s="6" t="s">
        <v>4310</v>
      </c>
      <c r="E224" s="8" t="s">
        <v>4092</v>
      </c>
      <c r="F224" s="8" t="s">
        <v>4332</v>
      </c>
      <c r="G224" s="6" t="str">
        <f>_xlfn.XLOOKUP(LD_01[[#This Row],[DISCIPLINA]],'CLASSES DE PROJETOS'!$F$3:$F$37,'CLASSES DE PROJETOS'!$C$3:$C$37)</f>
        <v>GG</v>
      </c>
      <c r="H224" t="str">
        <f>_xlfn.TEXTJOIN("/",TRUE,"MSV-163MS-"&amp;LD_01[[#This Row],[TRECHO]],_xlfn.XLOOKUP(LD_01[[#This Row],[SIGLA]],'CLASSES DE PROJETOS'!$C$3:$C$37,'CLASSES DE PROJETOS'!$E$3:$E$37))</f>
        <v>MSV-163MS-454-460/19.GG</v>
      </c>
      <c r="I224" s="6" t="str" cm="1">
        <f t="array" ref="I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J224" s="6" t="str" cm="1">
        <f t="array" ref="J224">_xlfn.TEXTJOIN(", ",TRUE,_xlfn.UNIQUE(_xlfn._xlws.FILTER(ARQUIVOS_RECEBIDOS!$F$2:$F$5010,ARQUIVOS_RECEBIDOS!$E$2:$E$5010=LD_01[[#This Row],[DOCUMENTO]])))</f>
        <v>R00</v>
      </c>
      <c r="K224" s="12" cm="1">
        <f t="array" ref="K224">_xlfn.UNIQUE(_xlfn._xlws.FILTER(ARQUIVOS[DATA RECEBIMENTO],(ARQUIVOS[DOCUMENTO]=LD_01[[#This Row],[DOCUMENTO]])*(ARQUIVOS[REVISÃO]=LD_01[[#This Row],[REVISÃO]])))</f>
        <v>45838</v>
      </c>
      <c r="L2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M224" s="6" t="str">
        <f>LD_01[[#This Row],[PASTA]]&amp;"/"&amp;LD_01[[#This Row],[ARQUIVO]]</f>
        <v>MSV-163MS-454-460/19.GG/MSV-163MS-454-460-ACA-EXE-RT-D3-004-R00.pdf</v>
      </c>
    </row>
    <row r="225" spans="1:13" ht="28.8" hidden="1" x14ac:dyDescent="0.3">
      <c r="A225" s="6" t="s">
        <v>2983</v>
      </c>
      <c r="B225" s="6" t="str">
        <f>VLOOKUP(LD_01[[#This Row],[DOCUMENTO]],_xlfn.SORTBY(ARQUIVOS_RECEBIDOS!$E$2:$F$5010,ARQUIVOS_RECEBIDOS!$F$2:$F$5010,-1),2,)</f>
        <v>R03</v>
      </c>
      <c r="C225" s="15" t="s">
        <v>5987</v>
      </c>
      <c r="D225" s="6" t="s">
        <v>4310</v>
      </c>
      <c r="E225" s="8" t="s">
        <v>4103</v>
      </c>
      <c r="F225" s="8" t="s">
        <v>4332</v>
      </c>
      <c r="G225" s="6" t="str">
        <f>_xlfn.XLOOKUP(LD_01[[#This Row],[DISCIPLINA]],'CLASSES DE PROJETOS'!$F$3:$F$37,'CLASSES DE PROJETOS'!$C$3:$C$37)</f>
        <v>GG</v>
      </c>
      <c r="H225" t="str">
        <f>_xlfn.TEXTJOIN("/",TRUE,"MSV-163MS-"&amp;LD_01[[#This Row],[TRECHO]],_xlfn.XLOOKUP(LD_01[[#This Row],[SIGLA]],'CLASSES DE PROJETOS'!$C$3:$C$37,'CLASSES DE PROJETOS'!$E$3:$E$37))</f>
        <v>MSV-163MS-454-460/19.GG</v>
      </c>
      <c r="I225" s="6" t="str" cm="1">
        <f t="array" ref="I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J225" s="6" t="str" cm="1">
        <f t="array" ref="J225">_xlfn.TEXTJOIN(", ",TRUE,_xlfn.UNIQUE(_xlfn._xlws.FILTER(ARQUIVOS_RECEBIDOS!$F$2:$F$5010,ARQUIVOS_RECEBIDOS!$E$2:$E$5010=LD_01[[#This Row],[DOCUMENTO]])))</f>
        <v>R03</v>
      </c>
      <c r="K225" s="12" cm="1">
        <f t="array" ref="K225">_xlfn.UNIQUE(_xlfn._xlws.FILTER(ARQUIVOS[DATA RECEBIMENTO],(ARQUIVOS[DOCUMENTO]=LD_01[[#This Row],[DOCUMENTO]])*(ARQUIVOS[REVISÃO]=LD_01[[#This Row],[REVISÃO]])))</f>
        <v>45838</v>
      </c>
      <c r="L2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M225" s="6" t="str">
        <f>LD_01[[#This Row],[PASTA]]&amp;"/"&amp;LD_01[[#This Row],[ARQUIVO]]</f>
        <v>MSV-163MS-454-460/19.GG/MSV-163MS-454-460-ACA-EXE-RT-D3-101-R03.pdf</v>
      </c>
    </row>
    <row r="226" spans="1:13" ht="28.8" hidden="1" x14ac:dyDescent="0.3">
      <c r="A226" s="6" t="s">
        <v>2984</v>
      </c>
      <c r="B226" s="6" t="str">
        <f>VLOOKUP(LD_01[[#This Row],[DOCUMENTO]],_xlfn.SORTBY(ARQUIVOS_RECEBIDOS!$E$2:$F$5010,ARQUIVOS_RECEBIDOS!$F$2:$F$5010,-1),2,)</f>
        <v>R00</v>
      </c>
      <c r="C226" s="15" t="s">
        <v>5987</v>
      </c>
      <c r="D226" s="6" t="s">
        <v>4310</v>
      </c>
      <c r="E226" s="8" t="s">
        <v>4191</v>
      </c>
      <c r="F226" s="8" t="s">
        <v>4332</v>
      </c>
      <c r="G226" s="6" t="str">
        <f>_xlfn.XLOOKUP(LD_01[[#This Row],[DISCIPLINA]],'CLASSES DE PROJETOS'!$F$3:$F$37,'CLASSES DE PROJETOS'!$C$3:$C$37)</f>
        <v>GG</v>
      </c>
      <c r="H226" t="str">
        <f>_xlfn.TEXTJOIN("/",TRUE,"MSV-163MS-"&amp;LD_01[[#This Row],[TRECHO]],_xlfn.XLOOKUP(LD_01[[#This Row],[SIGLA]],'CLASSES DE PROJETOS'!$C$3:$C$37,'CLASSES DE PROJETOS'!$E$3:$E$37))</f>
        <v>MSV-163MS-454-460/19.GG</v>
      </c>
      <c r="I226" s="6" t="str" cm="1">
        <f t="array" ref="I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J226" s="6" t="str" cm="1">
        <f t="array" ref="J226">_xlfn.TEXTJOIN(", ",TRUE,_xlfn.UNIQUE(_xlfn._xlws.FILTER(ARQUIVOS_RECEBIDOS!$F$2:$F$5010,ARQUIVOS_RECEBIDOS!$E$2:$E$5010=LD_01[[#This Row],[DOCUMENTO]])))</f>
        <v>R00</v>
      </c>
      <c r="K226" s="12" cm="1">
        <f t="array" ref="K226">_xlfn.UNIQUE(_xlfn._xlws.FILTER(ARQUIVOS[DATA RECEBIMENTO],(ARQUIVOS[DOCUMENTO]=LD_01[[#This Row],[DOCUMENTO]])*(ARQUIVOS[REVISÃO]=LD_01[[#This Row],[REVISÃO]])))</f>
        <v>45838</v>
      </c>
      <c r="L2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M226" s="6" t="str">
        <f>LD_01[[#This Row],[PASTA]]&amp;"/"&amp;LD_01[[#This Row],[ARQUIVO]]</f>
        <v>MSV-163MS-454-460/19.GG/MSV-163MS-454-460-ACA-EXE-RT-D3-201-R00.pdf</v>
      </c>
    </row>
    <row r="227" spans="1:13" ht="28.8" hidden="1" x14ac:dyDescent="0.3">
      <c r="A227" s="6" t="s">
        <v>2985</v>
      </c>
      <c r="B227" s="6" t="str">
        <f>VLOOKUP(LD_01[[#This Row],[DOCUMENTO]],_xlfn.SORTBY(ARQUIVOS_RECEBIDOS!$E$2:$F$5010,ARQUIVOS_RECEBIDOS!$F$2:$F$5010,-1),2,)</f>
        <v>R00</v>
      </c>
      <c r="C227" s="15" t="s">
        <v>5987</v>
      </c>
      <c r="D227" s="6" t="s">
        <v>4310</v>
      </c>
      <c r="E227" s="8" t="s">
        <v>4191</v>
      </c>
      <c r="F227" s="8" t="s">
        <v>4332</v>
      </c>
      <c r="G227" s="6" t="str">
        <f>_xlfn.XLOOKUP(LD_01[[#This Row],[DISCIPLINA]],'CLASSES DE PROJETOS'!$F$3:$F$37,'CLASSES DE PROJETOS'!$C$3:$C$37)</f>
        <v>GG</v>
      </c>
      <c r="H227" t="str">
        <f>_xlfn.TEXTJOIN("/",TRUE,"MSV-163MS-"&amp;LD_01[[#This Row],[TRECHO]],_xlfn.XLOOKUP(LD_01[[#This Row],[SIGLA]],'CLASSES DE PROJETOS'!$C$3:$C$37,'CLASSES DE PROJETOS'!$E$3:$E$37))</f>
        <v>MSV-163MS-454-460/19.GG</v>
      </c>
      <c r="I227" s="6" t="str" cm="1">
        <f t="array" ref="I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J227" s="6" t="str" cm="1">
        <f t="array" ref="J227">_xlfn.TEXTJOIN(", ",TRUE,_xlfn.UNIQUE(_xlfn._xlws.FILTER(ARQUIVOS_RECEBIDOS!$F$2:$F$5010,ARQUIVOS_RECEBIDOS!$E$2:$E$5010=LD_01[[#This Row],[DOCUMENTO]])))</f>
        <v>R00</v>
      </c>
      <c r="K227" s="12" cm="1">
        <f t="array" ref="K227">_xlfn.UNIQUE(_xlfn._xlws.FILTER(ARQUIVOS[DATA RECEBIMENTO],(ARQUIVOS[DOCUMENTO]=LD_01[[#This Row],[DOCUMENTO]])*(ARQUIVOS[REVISÃO]=LD_01[[#This Row],[REVISÃO]])))</f>
        <v>45838</v>
      </c>
      <c r="L2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M227" s="6" t="str">
        <f>LD_01[[#This Row],[PASTA]]&amp;"/"&amp;LD_01[[#This Row],[ARQUIVO]]</f>
        <v>MSV-163MS-454-460/19.GG/MSV-163MS-454-460-ACA-EXE-RT-D3-202-R00.pdf</v>
      </c>
    </row>
    <row r="228" spans="1:13" ht="28.8" hidden="1" x14ac:dyDescent="0.3">
      <c r="A228" s="6" t="s">
        <v>3021</v>
      </c>
      <c r="B228" s="6" t="str">
        <f>VLOOKUP(LD_01[[#This Row],[DOCUMENTO]],_xlfn.SORTBY(ARQUIVOS_RECEBIDOS!$E$2:$F$5010,ARQUIVOS_RECEBIDOS!$F$2:$F$5010,-1),2,)</f>
        <v>R01</v>
      </c>
      <c r="C228" s="15" t="s">
        <v>5987</v>
      </c>
      <c r="D228" s="6" t="s">
        <v>4310</v>
      </c>
      <c r="E228" s="8" t="s">
        <v>4173</v>
      </c>
      <c r="F228" s="8" t="s">
        <v>4335</v>
      </c>
      <c r="G228" s="6" t="str">
        <f>_xlfn.XLOOKUP(LD_01[[#This Row],[DISCIPLINA]],'CLASSES DE PROJETOS'!$F$3:$F$37,'CLASSES DE PROJETOS'!$C$3:$C$37)</f>
        <v>TR</v>
      </c>
      <c r="H228" t="str">
        <f>_xlfn.TEXTJOIN("/",TRUE,"MSV-163MS-"&amp;LD_01[[#This Row],[TRECHO]],_xlfn.XLOOKUP(LD_01[[#This Row],[SIGLA]],'CLASSES DE PROJETOS'!$C$3:$C$37,'CLASSES DE PROJETOS'!$E$3:$E$37))</f>
        <v>MSV-163MS-454-460/34.TR</v>
      </c>
      <c r="I228" s="6" t="str" cm="1">
        <f t="array" ref="I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J228" s="6" t="str" cm="1">
        <f t="array" ref="J228">_xlfn.TEXTJOIN(", ",TRUE,_xlfn.UNIQUE(_xlfn._xlws.FILTER(ARQUIVOS_RECEBIDOS!$F$2:$F$5010,ARQUIVOS_RECEBIDOS!$E$2:$E$5010=LD_01[[#This Row],[DOCUMENTO]])))</f>
        <v>R01</v>
      </c>
      <c r="K228" s="12" cm="1">
        <f t="array" ref="K228">_xlfn.UNIQUE(_xlfn._xlws.FILTER(ARQUIVOS[DATA RECEBIMENTO],(ARQUIVOS[DOCUMENTO]=LD_01[[#This Row],[DOCUMENTO]])*(ARQUIVOS[REVISÃO]=LD_01[[#This Row],[REVISÃO]])))</f>
        <v>45838</v>
      </c>
      <c r="L2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M228" s="6" t="str">
        <f>LD_01[[#This Row],[PASTA]]&amp;"/"&amp;LD_01[[#This Row],[ARQUIVO]]</f>
        <v>MSV-163MS-454-460/34.TR/MSV-163MS-454-460-ACA-EXE-RT-E1-001-R01.pdf</v>
      </c>
    </row>
    <row r="229" spans="1:13" ht="28.8" hidden="1" x14ac:dyDescent="0.3">
      <c r="A229" s="6" t="s">
        <v>2870</v>
      </c>
      <c r="B229" s="6" t="str">
        <f>VLOOKUP(LD_01[[#This Row],[DOCUMENTO]],_xlfn.SORTBY(ARQUIVOS_RECEBIDOS!$E$2:$F$5010,ARQUIVOS_RECEBIDOS!$F$2:$F$5010,-1),2,)</f>
        <v>R03</v>
      </c>
      <c r="C229" s="15" t="s">
        <v>5987</v>
      </c>
      <c r="D229" s="6" t="s">
        <v>4310</v>
      </c>
      <c r="E229" s="8" t="s">
        <v>4259</v>
      </c>
      <c r="F229" s="8" t="s">
        <v>4141</v>
      </c>
      <c r="G229" s="6" t="str">
        <f>_xlfn.XLOOKUP(LD_01[[#This Row],[DISCIPLINA]],'CLASSES DE PROJETOS'!$F$3:$F$37,'CLASSES DE PROJETOS'!$C$3:$C$37)</f>
        <v>GE</v>
      </c>
      <c r="H229" t="str">
        <f>_xlfn.TEXTJOIN("/",TRUE,"MSV-163MS-"&amp;LD_01[[#This Row],[TRECHO]],_xlfn.XLOOKUP(LD_01[[#This Row],[SIGLA]],'CLASSES DE PROJETOS'!$C$3:$C$37,'CLASSES DE PROJETOS'!$E$3:$E$37))</f>
        <v>MSV-163MS-454-460/18.GE</v>
      </c>
      <c r="I229" s="6" t="str" cm="1">
        <f t="array" ref="I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J229" s="6" t="str" cm="1">
        <f t="array" ref="J229">_xlfn.TEXTJOIN(", ",TRUE,_xlfn.UNIQUE(_xlfn._xlws.FILTER(ARQUIVOS_RECEBIDOS!$F$2:$F$5010,ARQUIVOS_RECEBIDOS!$E$2:$E$5010=LD_01[[#This Row],[DOCUMENTO]])))</f>
        <v>R03</v>
      </c>
      <c r="K229" s="12" cm="1">
        <f t="array" ref="K229">_xlfn.UNIQUE(_xlfn._xlws.FILTER(ARQUIVOS[DATA RECEBIMENTO],(ARQUIVOS[DOCUMENTO]=LD_01[[#This Row],[DOCUMENTO]])*(ARQUIVOS[REVISÃO]=LD_01[[#This Row],[REVISÃO]])))</f>
        <v>45838</v>
      </c>
      <c r="L2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M229" s="6" t="str">
        <f>LD_01[[#This Row],[PASTA]]&amp;"/"&amp;LD_01[[#This Row],[ARQUIVO]]</f>
        <v>MSV-163MS-454-460/18.GE/MSV-163MS-454-460-ACA-EXE-RT-F1-001-R03.pdf</v>
      </c>
    </row>
    <row r="230" spans="1:13" ht="43.2" hidden="1" x14ac:dyDescent="0.3">
      <c r="A230" s="6" t="s">
        <v>2992</v>
      </c>
      <c r="B230" s="6" t="str">
        <f>VLOOKUP(LD_01[[#This Row],[DOCUMENTO]],_xlfn.SORTBY(ARQUIVOS_RECEBIDOS!$E$2:$F$5010,ARQUIVOS_RECEBIDOS!$F$2:$F$5010,-1),2,)</f>
        <v>R00</v>
      </c>
      <c r="C230" s="15" t="s">
        <v>5987</v>
      </c>
      <c r="D230" s="6" t="s">
        <v>4310</v>
      </c>
      <c r="E230" s="8" t="s">
        <v>4166</v>
      </c>
      <c r="F230" s="8" t="s">
        <v>4333</v>
      </c>
      <c r="G230" s="6" t="str">
        <f>_xlfn.XLOOKUP(LD_01[[#This Row],[DISCIPLINA]],'CLASSES DE PROJETOS'!$F$3:$F$37,'CLASSES DE PROJETOS'!$C$3:$C$37)</f>
        <v>IN</v>
      </c>
      <c r="H230" t="str">
        <f>_xlfn.TEXTJOIN("/",TRUE,"MSV-163MS-"&amp;LD_01[[#This Row],[TRECHO]],_xlfn.XLOOKUP(LD_01[[#This Row],[SIGLA]],'CLASSES DE PROJETOS'!$C$3:$C$37,'CLASSES DE PROJETOS'!$E$3:$E$37))</f>
        <v>MSV-163MS-454-460/23.IN</v>
      </c>
      <c r="I230" s="6" t="str" cm="1">
        <f t="array" ref="I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J230" s="6" t="str" cm="1">
        <f t="array" ref="J230">_xlfn.TEXTJOIN(", ",TRUE,_xlfn.UNIQUE(_xlfn._xlws.FILTER(ARQUIVOS_RECEBIDOS!$F$2:$F$5010,ARQUIVOS_RECEBIDOS!$E$2:$E$5010=LD_01[[#This Row],[DOCUMENTO]])))</f>
        <v>R00</v>
      </c>
      <c r="K230" s="12" cm="1">
        <f t="array" ref="K230">_xlfn.UNIQUE(_xlfn._xlws.FILTER(ARQUIVOS[DATA RECEBIMENTO],(ARQUIVOS[DOCUMENTO]=LD_01[[#This Row],[DOCUMENTO]])*(ARQUIVOS[REVISÃO]=LD_01[[#This Row],[REVISÃO]])))</f>
        <v>45838</v>
      </c>
      <c r="L2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M230" s="6" t="str">
        <f>LD_01[[#This Row],[PASTA]]&amp;"/"&amp;LD_01[[#This Row],[ARQUIVO]]</f>
        <v>MSV-163MS-454-460/23.IN/MSV-163MS-454-460-ACA-EXE-RT-M1-001-R00.pdf</v>
      </c>
    </row>
    <row r="231" spans="1:13" hidden="1" x14ac:dyDescent="0.3">
      <c r="A231" s="6" t="s">
        <v>3022</v>
      </c>
      <c r="B231" s="6" t="str">
        <f>VLOOKUP(LD_01[[#This Row],[DOCUMENTO]],_xlfn.SORTBY(ARQUIVOS_RECEBIDOS!$E$2:$F$5010,ARQUIVOS_RECEBIDOS!$F$2:$F$5010,-1),2,)</f>
        <v>R01</v>
      </c>
      <c r="C231" s="15" t="s">
        <v>5987</v>
      </c>
      <c r="D231" s="6" t="s">
        <v>4311</v>
      </c>
      <c r="E231" s="8" t="s">
        <v>4164</v>
      </c>
      <c r="F231" s="8" t="s">
        <v>4163</v>
      </c>
      <c r="G231" s="6" t="str">
        <f>_xlfn.XLOOKUP(LD_01[[#This Row],[DISCIPLINA]],'CLASSES DE PROJETOS'!$F$3:$F$37,'CLASSES DE PROJETOS'!$C$3:$C$37)</f>
        <v>TO</v>
      </c>
      <c r="H231" t="str">
        <f>_xlfn.TEXTJOIN("/",TRUE,"MSV-163MS-"&amp;LD_01[[#This Row],[TRECHO]],_xlfn.XLOOKUP(LD_01[[#This Row],[SIGLA]],'CLASSES DE PROJETOS'!$C$3:$C$37,'CLASSES DE PROJETOS'!$E$3:$E$37))</f>
        <v>MSV-163MS-510-511/33.TO</v>
      </c>
      <c r="I231" s="6" t="str" cm="1">
        <f t="array" ref="I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J231" s="6" t="str" cm="1">
        <f t="array" ref="J231">_xlfn.TEXTJOIN(", ",TRUE,_xlfn.UNIQUE(_xlfn._xlws.FILTER(ARQUIVOS_RECEBIDOS!$F$2:$F$5010,ARQUIVOS_RECEBIDOS!$E$2:$E$5010=LD_01[[#This Row],[DOCUMENTO]])))</f>
        <v>R01</v>
      </c>
      <c r="K231" s="12" cm="1">
        <f t="array" ref="K231">_xlfn.UNIQUE(_xlfn._xlws.FILTER(ARQUIVOS[DATA RECEBIMENTO],(ARQUIVOS[DOCUMENTO]=LD_01[[#This Row],[DOCUMENTO]])*(ARQUIVOS[REVISÃO]=LD_01[[#This Row],[REVISÃO]])))</f>
        <v>45838</v>
      </c>
      <c r="L2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M231" s="6" t="str">
        <f>LD_01[[#This Row],[PASTA]]&amp;"/"&amp;LD_01[[#This Row],[ARQUIVO]]</f>
        <v>MSV-163MS-510-511/33.TO/MSV-163MS-510-511-ACA-EXE-DE-C1-001-R01.pdf</v>
      </c>
    </row>
    <row r="232" spans="1:13" hidden="1" x14ac:dyDescent="0.3">
      <c r="A232" s="6" t="s">
        <v>3023</v>
      </c>
      <c r="B232" s="6" t="str">
        <f>VLOOKUP(LD_01[[#This Row],[DOCUMENTO]],_xlfn.SORTBY(ARQUIVOS_RECEBIDOS!$E$2:$F$5010,ARQUIVOS_RECEBIDOS!$F$2:$F$5010,-1),2,)</f>
        <v>R01</v>
      </c>
      <c r="C232" s="15" t="s">
        <v>5987</v>
      </c>
      <c r="D232" s="6" t="s">
        <v>4311</v>
      </c>
      <c r="E232" s="8" t="s">
        <v>4164</v>
      </c>
      <c r="F232" s="8" t="s">
        <v>4163</v>
      </c>
      <c r="G232" s="6" t="str">
        <f>_xlfn.XLOOKUP(LD_01[[#This Row],[DISCIPLINA]],'CLASSES DE PROJETOS'!$F$3:$F$37,'CLASSES DE PROJETOS'!$C$3:$C$37)</f>
        <v>TO</v>
      </c>
      <c r="H232" t="str">
        <f>_xlfn.TEXTJOIN("/",TRUE,"MSV-163MS-"&amp;LD_01[[#This Row],[TRECHO]],_xlfn.XLOOKUP(LD_01[[#This Row],[SIGLA]],'CLASSES DE PROJETOS'!$C$3:$C$37,'CLASSES DE PROJETOS'!$E$3:$E$37))</f>
        <v>MSV-163MS-510-511/33.TO</v>
      </c>
      <c r="I232" s="6" t="str" cm="1">
        <f t="array" ref="I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J232" s="6" t="str" cm="1">
        <f t="array" ref="J232">_xlfn.TEXTJOIN(", ",TRUE,_xlfn.UNIQUE(_xlfn._xlws.FILTER(ARQUIVOS_RECEBIDOS!$F$2:$F$5010,ARQUIVOS_RECEBIDOS!$E$2:$E$5010=LD_01[[#This Row],[DOCUMENTO]])))</f>
        <v>R01</v>
      </c>
      <c r="K232" s="12" cm="1">
        <f t="array" ref="K232">_xlfn.UNIQUE(_xlfn._xlws.FILTER(ARQUIVOS[DATA RECEBIMENTO],(ARQUIVOS[DOCUMENTO]=LD_01[[#This Row],[DOCUMENTO]])*(ARQUIVOS[REVISÃO]=LD_01[[#This Row],[REVISÃO]])))</f>
        <v>45838</v>
      </c>
      <c r="L2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M232" s="6" t="str">
        <f>LD_01[[#This Row],[PASTA]]&amp;"/"&amp;LD_01[[#This Row],[ARQUIVO]]</f>
        <v>MSV-163MS-510-511/33.TO/MSV-163MS-510-511-ACA-EXE-DE-C1-002-R01.pdf</v>
      </c>
    </row>
    <row r="233" spans="1:13" ht="28.8" hidden="1" x14ac:dyDescent="0.3">
      <c r="A233" s="6" t="s">
        <v>3074</v>
      </c>
      <c r="B233" s="6" t="str">
        <f>VLOOKUP(LD_01[[#This Row],[DOCUMENTO]],_xlfn.SORTBY(ARQUIVOS_RECEBIDOS!$E$2:$F$5010,ARQUIVOS_RECEBIDOS!$F$2:$F$5010,-1),2,)</f>
        <v>R03</v>
      </c>
      <c r="C233" s="15" t="s">
        <v>5987</v>
      </c>
      <c r="D233" s="6" t="s">
        <v>4311</v>
      </c>
      <c r="E233" s="8" t="s">
        <v>4076</v>
      </c>
      <c r="F233" s="8" t="s">
        <v>4332</v>
      </c>
      <c r="G233" s="6" t="str">
        <f>_xlfn.XLOOKUP(LD_01[[#This Row],[DISCIPLINA]],'CLASSES DE PROJETOS'!$F$3:$F$37,'CLASSES DE PROJETOS'!$C$3:$C$37)</f>
        <v>GG</v>
      </c>
      <c r="H233" t="str">
        <f>_xlfn.TEXTJOIN("/",TRUE,"MSV-163MS-"&amp;LD_01[[#This Row],[TRECHO]],_xlfn.XLOOKUP(LD_01[[#This Row],[SIGLA]],'CLASSES DE PROJETOS'!$C$3:$C$37,'CLASSES DE PROJETOS'!$E$3:$E$37))</f>
        <v>MSV-163MS-510-511/19.GG</v>
      </c>
      <c r="I233" s="6" t="str" cm="1">
        <f t="array" ref="I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J233" s="6" t="str" cm="1">
        <f t="array" ref="J233">_xlfn.TEXTJOIN(", ",TRUE,_xlfn.UNIQUE(_xlfn._xlws.FILTER(ARQUIVOS_RECEBIDOS!$F$2:$F$5010,ARQUIVOS_RECEBIDOS!$E$2:$E$5010=LD_01[[#This Row],[DOCUMENTO]])))</f>
        <v>R03</v>
      </c>
      <c r="K233" s="12" cm="1">
        <f t="array" ref="K233">_xlfn.UNIQUE(_xlfn._xlws.FILTER(ARQUIVOS[DATA RECEBIMENTO],(ARQUIVOS[DOCUMENTO]=LD_01[[#This Row],[DOCUMENTO]])*(ARQUIVOS[REVISÃO]=LD_01[[#This Row],[REVISÃO]])))</f>
        <v>45838</v>
      </c>
      <c r="L2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M233" s="6" t="str">
        <f>LD_01[[#This Row],[PASTA]]&amp;"/"&amp;LD_01[[#This Row],[ARQUIVO]]</f>
        <v>MSV-163MS-510-511/19.GG/MSV-163MS-510-511-ACA-EXE-DE-D3-001-R03.pdf</v>
      </c>
    </row>
    <row r="234" spans="1:13" ht="28.8" hidden="1" x14ac:dyDescent="0.3">
      <c r="A234" s="6" t="s">
        <v>3075</v>
      </c>
      <c r="B234" s="6" t="str">
        <f>VLOOKUP(LD_01[[#This Row],[DOCUMENTO]],_xlfn.SORTBY(ARQUIVOS_RECEBIDOS!$E$2:$F$5010,ARQUIVOS_RECEBIDOS!$F$2:$F$5010,-1),2,)</f>
        <v>R04</v>
      </c>
      <c r="C234" s="15" t="s">
        <v>5987</v>
      </c>
      <c r="D234" s="6" t="s">
        <v>4311</v>
      </c>
      <c r="E234" s="8" t="s">
        <v>4076</v>
      </c>
      <c r="F234" s="8" t="s">
        <v>4332</v>
      </c>
      <c r="G234" s="6" t="str">
        <f>_xlfn.XLOOKUP(LD_01[[#This Row],[DISCIPLINA]],'CLASSES DE PROJETOS'!$F$3:$F$37,'CLASSES DE PROJETOS'!$C$3:$C$37)</f>
        <v>GG</v>
      </c>
      <c r="H234" t="str">
        <f>_xlfn.TEXTJOIN("/",TRUE,"MSV-163MS-"&amp;LD_01[[#This Row],[TRECHO]],_xlfn.XLOOKUP(LD_01[[#This Row],[SIGLA]],'CLASSES DE PROJETOS'!$C$3:$C$37,'CLASSES DE PROJETOS'!$E$3:$E$37))</f>
        <v>MSV-163MS-510-511/19.GG</v>
      </c>
      <c r="I234" s="6" t="str" cm="1">
        <f t="array" ref="I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J234" s="6" t="str" cm="1">
        <f t="array" ref="J234">_xlfn.TEXTJOIN(", ",TRUE,_xlfn.UNIQUE(_xlfn._xlws.FILTER(ARQUIVOS_RECEBIDOS!$F$2:$F$5010,ARQUIVOS_RECEBIDOS!$E$2:$E$5010=LD_01[[#This Row],[DOCUMENTO]])))</f>
        <v>R04</v>
      </c>
      <c r="K234" s="12" cm="1">
        <f t="array" ref="K234">_xlfn.UNIQUE(_xlfn._xlws.FILTER(ARQUIVOS[DATA RECEBIMENTO],(ARQUIVOS[DOCUMENTO]=LD_01[[#This Row],[DOCUMENTO]])*(ARQUIVOS[REVISÃO]=LD_01[[#This Row],[REVISÃO]])))</f>
        <v>45838</v>
      </c>
      <c r="L2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M234" s="6" t="str">
        <f>LD_01[[#This Row],[PASTA]]&amp;"/"&amp;LD_01[[#This Row],[ARQUIVO]]</f>
        <v>MSV-163MS-510-511/19.GG/MSV-163MS-510-511-ACA-EXE-DE-D3-002-R04.pdf</v>
      </c>
    </row>
    <row r="235" spans="1:13" ht="28.8" hidden="1" x14ac:dyDescent="0.3">
      <c r="A235" s="6" t="s">
        <v>3076</v>
      </c>
      <c r="B235" s="6" t="str">
        <f>VLOOKUP(LD_01[[#This Row],[DOCUMENTO]],_xlfn.SORTBY(ARQUIVOS_RECEBIDOS!$E$2:$F$5010,ARQUIVOS_RECEBIDOS!$F$2:$F$5010,-1),2,)</f>
        <v>R04</v>
      </c>
      <c r="C235" s="15" t="s">
        <v>5987</v>
      </c>
      <c r="D235" s="6" t="s">
        <v>4311</v>
      </c>
      <c r="E235" s="8" t="s">
        <v>4076</v>
      </c>
      <c r="F235" s="8" t="s">
        <v>4332</v>
      </c>
      <c r="G235" s="6" t="str">
        <f>_xlfn.XLOOKUP(LD_01[[#This Row],[DISCIPLINA]],'CLASSES DE PROJETOS'!$F$3:$F$37,'CLASSES DE PROJETOS'!$C$3:$C$37)</f>
        <v>GG</v>
      </c>
      <c r="H235" t="str">
        <f>_xlfn.TEXTJOIN("/",TRUE,"MSV-163MS-"&amp;LD_01[[#This Row],[TRECHO]],_xlfn.XLOOKUP(LD_01[[#This Row],[SIGLA]],'CLASSES DE PROJETOS'!$C$3:$C$37,'CLASSES DE PROJETOS'!$E$3:$E$37))</f>
        <v>MSV-163MS-510-511/19.GG</v>
      </c>
      <c r="I235" s="6" t="str" cm="1">
        <f t="array" ref="I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J235" s="6" t="str" cm="1">
        <f t="array" ref="J235">_xlfn.TEXTJOIN(", ",TRUE,_xlfn.UNIQUE(_xlfn._xlws.FILTER(ARQUIVOS_RECEBIDOS!$F$2:$F$5010,ARQUIVOS_RECEBIDOS!$E$2:$E$5010=LD_01[[#This Row],[DOCUMENTO]])))</f>
        <v>R04</v>
      </c>
      <c r="K235" s="12" cm="1">
        <f t="array" ref="K235">_xlfn.UNIQUE(_xlfn._xlws.FILTER(ARQUIVOS[DATA RECEBIMENTO],(ARQUIVOS[DOCUMENTO]=LD_01[[#This Row],[DOCUMENTO]])*(ARQUIVOS[REVISÃO]=LD_01[[#This Row],[REVISÃO]])))</f>
        <v>45838</v>
      </c>
      <c r="L2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M235" s="6" t="str">
        <f>LD_01[[#This Row],[PASTA]]&amp;"/"&amp;LD_01[[#This Row],[ARQUIVO]]</f>
        <v>MSV-163MS-510-511/19.GG/MSV-163MS-510-511-ACA-EXE-DE-D3-003-R04.pdf</v>
      </c>
    </row>
    <row r="236" spans="1:13" ht="28.8" hidden="1" x14ac:dyDescent="0.3">
      <c r="A236" s="6" t="s">
        <v>3025</v>
      </c>
      <c r="B236" s="6" t="str">
        <f>VLOOKUP(LD_01[[#This Row],[DOCUMENTO]],_xlfn.SORTBY(ARQUIVOS_RECEBIDOS!$E$2:$F$5010,ARQUIVOS_RECEBIDOS!$F$2:$F$5010,-1),2,)</f>
        <v>R05</v>
      </c>
      <c r="C236" s="15" t="s">
        <v>5987</v>
      </c>
      <c r="D236" s="6" t="s">
        <v>4311</v>
      </c>
      <c r="E236" s="8" t="s">
        <v>4305</v>
      </c>
      <c r="F236" s="8" t="s">
        <v>4141</v>
      </c>
      <c r="G236" s="6" t="str">
        <f>_xlfn.XLOOKUP(LD_01[[#This Row],[DISCIPLINA]],'CLASSES DE PROJETOS'!$F$3:$F$37,'CLASSES DE PROJETOS'!$C$3:$C$37)</f>
        <v>GE</v>
      </c>
      <c r="H236" t="str">
        <f>_xlfn.TEXTJOIN("/",TRUE,"MSV-163MS-"&amp;LD_01[[#This Row],[TRECHO]],_xlfn.XLOOKUP(LD_01[[#This Row],[SIGLA]],'CLASSES DE PROJETOS'!$C$3:$C$37,'CLASSES DE PROJETOS'!$E$3:$E$37))</f>
        <v>MSV-163MS-510-511/18.GE</v>
      </c>
      <c r="I236" s="6" t="str" cm="1">
        <f t="array" ref="I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J236" s="6" t="str" cm="1">
        <f t="array" ref="J236">_xlfn.TEXTJOIN(", ",TRUE,_xlfn.UNIQUE(_xlfn._xlws.FILTER(ARQUIVOS_RECEBIDOS!$F$2:$F$5010,ARQUIVOS_RECEBIDOS!$E$2:$E$5010=LD_01[[#This Row],[DOCUMENTO]])))</f>
        <v>R05</v>
      </c>
      <c r="K236" s="12" cm="1">
        <f t="array" ref="K236">_xlfn.UNIQUE(_xlfn._xlws.FILTER(ARQUIVOS[DATA RECEBIMENTO],(ARQUIVOS[DOCUMENTO]=LD_01[[#This Row],[DOCUMENTO]])*(ARQUIVOS[REVISÃO]=LD_01[[#This Row],[REVISÃO]])))</f>
        <v>45838</v>
      </c>
      <c r="L2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M236" s="6" t="str">
        <f>LD_01[[#This Row],[PASTA]]&amp;"/"&amp;LD_01[[#This Row],[ARQUIVO]]</f>
        <v>MSV-163MS-510-511/18.GE/MSV-163MS-510-511-ACA-EXE-DE-F1-001-R05.pdf</v>
      </c>
    </row>
    <row r="237" spans="1:13" ht="28.8" hidden="1" x14ac:dyDescent="0.3">
      <c r="A237" s="6" t="s">
        <v>3026</v>
      </c>
      <c r="B237" s="6" t="str">
        <f>VLOOKUP(LD_01[[#This Row],[DOCUMENTO]],_xlfn.SORTBY(ARQUIVOS_RECEBIDOS!$E$2:$F$5010,ARQUIVOS_RECEBIDOS!$F$2:$F$5010,-1),2,)</f>
        <v>R05</v>
      </c>
      <c r="C237" s="15" t="s">
        <v>5987</v>
      </c>
      <c r="D237" s="6" t="s">
        <v>4311</v>
      </c>
      <c r="E237" s="8" t="s">
        <v>4305</v>
      </c>
      <c r="F237" s="8" t="s">
        <v>4141</v>
      </c>
      <c r="G237" s="6" t="str">
        <f>_xlfn.XLOOKUP(LD_01[[#This Row],[DISCIPLINA]],'CLASSES DE PROJETOS'!$F$3:$F$37,'CLASSES DE PROJETOS'!$C$3:$C$37)</f>
        <v>GE</v>
      </c>
      <c r="H237" t="str">
        <f>_xlfn.TEXTJOIN("/",TRUE,"MSV-163MS-"&amp;LD_01[[#This Row],[TRECHO]],_xlfn.XLOOKUP(LD_01[[#This Row],[SIGLA]],'CLASSES DE PROJETOS'!$C$3:$C$37,'CLASSES DE PROJETOS'!$E$3:$E$37))</f>
        <v>MSV-163MS-510-511/18.GE</v>
      </c>
      <c r="I237" s="6" t="str" cm="1">
        <f t="array" ref="I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J237" s="6" t="str" cm="1">
        <f t="array" ref="J237">_xlfn.TEXTJOIN(", ",TRUE,_xlfn.UNIQUE(_xlfn._xlws.FILTER(ARQUIVOS_RECEBIDOS!$F$2:$F$5010,ARQUIVOS_RECEBIDOS!$E$2:$E$5010=LD_01[[#This Row],[DOCUMENTO]])))</f>
        <v>R05</v>
      </c>
      <c r="K237" s="12" cm="1">
        <f t="array" ref="K237">_xlfn.UNIQUE(_xlfn._xlws.FILTER(ARQUIVOS[DATA RECEBIMENTO],(ARQUIVOS[DOCUMENTO]=LD_01[[#This Row],[DOCUMENTO]])*(ARQUIVOS[REVISÃO]=LD_01[[#This Row],[REVISÃO]])))</f>
        <v>45838</v>
      </c>
      <c r="L2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M237" s="6" t="str">
        <f>LD_01[[#This Row],[PASTA]]&amp;"/"&amp;LD_01[[#This Row],[ARQUIVO]]</f>
        <v>MSV-163MS-510-511/18.GE/MSV-163MS-510-511-ACA-EXE-DE-F1-002-R05.pdf</v>
      </c>
    </row>
    <row r="238" spans="1:13" ht="28.8" hidden="1" x14ac:dyDescent="0.3">
      <c r="A238" s="6" t="s">
        <v>3027</v>
      </c>
      <c r="B238" s="6" t="str">
        <f>VLOOKUP(LD_01[[#This Row],[DOCUMENTO]],_xlfn.SORTBY(ARQUIVOS_RECEBIDOS!$E$2:$F$5010,ARQUIVOS_RECEBIDOS!$F$2:$F$5010,-1),2,)</f>
        <v>R07</v>
      </c>
      <c r="C238" s="15" t="s">
        <v>5987</v>
      </c>
      <c r="D238" s="6" t="s">
        <v>4311</v>
      </c>
      <c r="E238" s="8" t="s">
        <v>4305</v>
      </c>
      <c r="F238" s="8" t="s">
        <v>4141</v>
      </c>
      <c r="G238" s="6" t="str">
        <f>_xlfn.XLOOKUP(LD_01[[#This Row],[DISCIPLINA]],'CLASSES DE PROJETOS'!$F$3:$F$37,'CLASSES DE PROJETOS'!$C$3:$C$37)</f>
        <v>GE</v>
      </c>
      <c r="H238" t="str">
        <f>_xlfn.TEXTJOIN("/",TRUE,"MSV-163MS-"&amp;LD_01[[#This Row],[TRECHO]],_xlfn.XLOOKUP(LD_01[[#This Row],[SIGLA]],'CLASSES DE PROJETOS'!$C$3:$C$37,'CLASSES DE PROJETOS'!$E$3:$E$37))</f>
        <v>MSV-163MS-510-511/18.GE</v>
      </c>
      <c r="I238" s="6" t="str" cm="1">
        <f t="array" ref="I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J238" s="6" t="str" cm="1">
        <f t="array" ref="J238">_xlfn.TEXTJOIN(", ",TRUE,_xlfn.UNIQUE(_xlfn._xlws.FILTER(ARQUIVOS_RECEBIDOS!$F$2:$F$5010,ARQUIVOS_RECEBIDOS!$E$2:$E$5010=LD_01[[#This Row],[DOCUMENTO]])))</f>
        <v>R07</v>
      </c>
      <c r="K238" s="12" cm="1">
        <f t="array" ref="K238">_xlfn.UNIQUE(_xlfn._xlws.FILTER(ARQUIVOS[DATA RECEBIMENTO],(ARQUIVOS[DOCUMENTO]=LD_01[[#This Row],[DOCUMENTO]])*(ARQUIVOS[REVISÃO]=LD_01[[#This Row],[REVISÃO]])))</f>
        <v>45838</v>
      </c>
      <c r="L2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M238" s="6" t="str">
        <f>LD_01[[#This Row],[PASTA]]&amp;"/"&amp;LD_01[[#This Row],[ARQUIVO]]</f>
        <v>MSV-163MS-510-511/18.GE/MSV-163MS-510-511-ACA-EXE-DE-F1-003-R07.pdf</v>
      </c>
    </row>
    <row r="239" spans="1:13" ht="28.8" hidden="1" x14ac:dyDescent="0.3">
      <c r="A239" s="6" t="s">
        <v>3028</v>
      </c>
      <c r="B239" s="6" t="str">
        <f>VLOOKUP(LD_01[[#This Row],[DOCUMENTO]],_xlfn.SORTBY(ARQUIVOS_RECEBIDOS!$E$2:$F$5010,ARQUIVOS_RECEBIDOS!$F$2:$F$5010,-1),2,)</f>
        <v>R03</v>
      </c>
      <c r="C239" s="15" t="s">
        <v>5987</v>
      </c>
      <c r="D239" s="6" t="s">
        <v>4311</v>
      </c>
      <c r="E239" s="8" t="s">
        <v>4194</v>
      </c>
      <c r="F239" s="8" t="s">
        <v>4141</v>
      </c>
      <c r="G239" s="6" t="str">
        <f>_xlfn.XLOOKUP(LD_01[[#This Row],[DISCIPLINA]],'CLASSES DE PROJETOS'!$F$3:$F$37,'CLASSES DE PROJETOS'!$C$3:$C$37)</f>
        <v>GE</v>
      </c>
      <c r="H239" t="str">
        <f>_xlfn.TEXTJOIN("/",TRUE,"MSV-163MS-"&amp;LD_01[[#This Row],[TRECHO]],_xlfn.XLOOKUP(LD_01[[#This Row],[SIGLA]],'CLASSES DE PROJETOS'!$C$3:$C$37,'CLASSES DE PROJETOS'!$E$3:$E$37))</f>
        <v>MSV-163MS-510-511/18.GE</v>
      </c>
      <c r="I239" s="6" t="str" cm="1">
        <f t="array" ref="I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J239" s="6" t="str" cm="1">
        <f t="array" ref="J239">_xlfn.TEXTJOIN(", ",TRUE,_xlfn.UNIQUE(_xlfn._xlws.FILTER(ARQUIVOS_RECEBIDOS!$F$2:$F$5010,ARQUIVOS_RECEBIDOS!$E$2:$E$5010=LD_01[[#This Row],[DOCUMENTO]])))</f>
        <v>R03</v>
      </c>
      <c r="K239" s="12" cm="1">
        <f t="array" ref="K239">_xlfn.UNIQUE(_xlfn._xlws.FILTER(ARQUIVOS[DATA RECEBIMENTO],(ARQUIVOS[DOCUMENTO]=LD_01[[#This Row],[DOCUMENTO]])*(ARQUIVOS[REVISÃO]=LD_01[[#This Row],[REVISÃO]])))</f>
        <v>45838</v>
      </c>
      <c r="L2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M239" s="6" t="str">
        <f>LD_01[[#This Row],[PASTA]]&amp;"/"&amp;LD_01[[#This Row],[ARQUIVO]]</f>
        <v>MSV-163MS-510-511/18.GE/MSV-163MS-510-511-ACA-EXE-DE-F1-004-R03.pdf</v>
      </c>
    </row>
    <row r="240" spans="1:13" ht="28.8" hidden="1" x14ac:dyDescent="0.3">
      <c r="A240" s="6" t="s">
        <v>3029</v>
      </c>
      <c r="B240" s="6" t="str">
        <f>VLOOKUP(LD_01[[#This Row],[DOCUMENTO]],_xlfn.SORTBY(ARQUIVOS_RECEBIDOS!$E$2:$F$5010,ARQUIVOS_RECEBIDOS!$F$2:$F$5010,-1),2,)</f>
        <v>R00</v>
      </c>
      <c r="C240" s="15" t="s">
        <v>5987</v>
      </c>
      <c r="D240" s="6" t="s">
        <v>4311</v>
      </c>
      <c r="E240" s="8" t="s">
        <v>4194</v>
      </c>
      <c r="F240" s="8" t="s">
        <v>4141</v>
      </c>
      <c r="G240" s="6" t="str">
        <f>_xlfn.XLOOKUP(LD_01[[#This Row],[DISCIPLINA]],'CLASSES DE PROJETOS'!$F$3:$F$37,'CLASSES DE PROJETOS'!$C$3:$C$37)</f>
        <v>GE</v>
      </c>
      <c r="H240" t="str">
        <f>_xlfn.TEXTJOIN("/",TRUE,"MSV-163MS-"&amp;LD_01[[#This Row],[TRECHO]],_xlfn.XLOOKUP(LD_01[[#This Row],[SIGLA]],'CLASSES DE PROJETOS'!$C$3:$C$37,'CLASSES DE PROJETOS'!$E$3:$E$37))</f>
        <v>MSV-163MS-510-511/18.GE</v>
      </c>
      <c r="I240" s="6" t="str" cm="1">
        <f t="array" ref="I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J240" s="6" t="str" cm="1">
        <f t="array" ref="J240">_xlfn.TEXTJOIN(", ",TRUE,_xlfn.UNIQUE(_xlfn._xlws.FILTER(ARQUIVOS_RECEBIDOS!$F$2:$F$5010,ARQUIVOS_RECEBIDOS!$E$2:$E$5010=LD_01[[#This Row],[DOCUMENTO]])))</f>
        <v>R00</v>
      </c>
      <c r="K240" s="12" cm="1">
        <f t="array" ref="K240">_xlfn.UNIQUE(_xlfn._xlws.FILTER(ARQUIVOS[DATA RECEBIMENTO],(ARQUIVOS[DOCUMENTO]=LD_01[[#This Row],[DOCUMENTO]])*(ARQUIVOS[REVISÃO]=LD_01[[#This Row],[REVISÃO]])))</f>
        <v>45838</v>
      </c>
      <c r="L2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M240" s="6" t="str">
        <f>LD_01[[#This Row],[PASTA]]&amp;"/"&amp;LD_01[[#This Row],[ARQUIVO]]</f>
        <v>MSV-163MS-510-511/18.GE/MSV-163MS-510-511-ACA-EXE-DE-F1-005-R00.pdf</v>
      </c>
    </row>
    <row r="241" spans="1:13" ht="28.8" hidden="1" x14ac:dyDescent="0.3">
      <c r="A241" s="6" t="s">
        <v>3031</v>
      </c>
      <c r="B241" s="6" t="str">
        <f>VLOOKUP(LD_01[[#This Row],[DOCUMENTO]],_xlfn.SORTBY(ARQUIVOS_RECEBIDOS!$E$2:$F$5010,ARQUIVOS_RECEBIDOS!$F$2:$F$5010,-1),2,)</f>
        <v>R04</v>
      </c>
      <c r="C241" s="15" t="s">
        <v>5987</v>
      </c>
      <c r="D241" s="6" t="s">
        <v>4311</v>
      </c>
      <c r="E241" s="8" t="s">
        <v>4077</v>
      </c>
      <c r="F241" s="8" t="s">
        <v>4330</v>
      </c>
      <c r="G241" s="6" t="str">
        <f>_xlfn.XLOOKUP(LD_01[[#This Row],[DISCIPLINA]],'CLASSES DE PROJETOS'!$F$3:$F$37,'CLASSES DE PROJETOS'!$C$3:$C$37)</f>
        <v>TE</v>
      </c>
      <c r="H241" t="str">
        <f>_xlfn.TEXTJOIN("/",TRUE,"MSV-163MS-"&amp;LD_01[[#This Row],[TRECHO]],_xlfn.XLOOKUP(LD_01[[#This Row],[SIGLA]],'CLASSES DE PROJETOS'!$C$3:$C$37,'CLASSES DE PROJETOS'!$E$3:$E$37))</f>
        <v>MSV-163MS-510-511/32.TE</v>
      </c>
      <c r="I241" s="6" t="str" cm="1">
        <f t="array" ref="I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J241" s="6" t="str" cm="1">
        <f t="array" ref="J241">_xlfn.TEXTJOIN(", ",TRUE,_xlfn.UNIQUE(_xlfn._xlws.FILTER(ARQUIVOS_RECEBIDOS!$F$2:$F$5010,ARQUIVOS_RECEBIDOS!$E$2:$E$5010=LD_01[[#This Row],[DOCUMENTO]])))</f>
        <v>R04</v>
      </c>
      <c r="K241" s="12" cm="1">
        <f t="array" ref="K241">_xlfn.UNIQUE(_xlfn._xlws.FILTER(ARQUIVOS[DATA RECEBIMENTO],(ARQUIVOS[DOCUMENTO]=LD_01[[#This Row],[DOCUMENTO]])*(ARQUIVOS[REVISÃO]=LD_01[[#This Row],[REVISÃO]])))</f>
        <v>45838</v>
      </c>
      <c r="L2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M241" s="6" t="str">
        <f>LD_01[[#This Row],[PASTA]]&amp;"/"&amp;LD_01[[#This Row],[ARQUIVO]]</f>
        <v>MSV-163MS-510-511/32.TE/MSV-163MS-510-511-ACA-EXE-DE-G1-001-R04.pdf</v>
      </c>
    </row>
    <row r="242" spans="1:13" ht="28.8" hidden="1" x14ac:dyDescent="0.3">
      <c r="A242" s="6" t="s">
        <v>3032</v>
      </c>
      <c r="B242" s="6" t="str">
        <f>VLOOKUP(LD_01[[#This Row],[DOCUMENTO]],_xlfn.SORTBY(ARQUIVOS_RECEBIDOS!$E$2:$F$5010,ARQUIVOS_RECEBIDOS!$F$2:$F$5010,-1),2,)</f>
        <v>R04</v>
      </c>
      <c r="C242" s="15" t="s">
        <v>5987</v>
      </c>
      <c r="D242" s="6" t="s">
        <v>4311</v>
      </c>
      <c r="E242" s="8" t="s">
        <v>4077</v>
      </c>
      <c r="F242" s="8" t="s">
        <v>4330</v>
      </c>
      <c r="G242" s="6" t="str">
        <f>_xlfn.XLOOKUP(LD_01[[#This Row],[DISCIPLINA]],'CLASSES DE PROJETOS'!$F$3:$F$37,'CLASSES DE PROJETOS'!$C$3:$C$37)</f>
        <v>TE</v>
      </c>
      <c r="H242" t="str">
        <f>_xlfn.TEXTJOIN("/",TRUE,"MSV-163MS-"&amp;LD_01[[#This Row],[TRECHO]],_xlfn.XLOOKUP(LD_01[[#This Row],[SIGLA]],'CLASSES DE PROJETOS'!$C$3:$C$37,'CLASSES DE PROJETOS'!$E$3:$E$37))</f>
        <v>MSV-163MS-510-511/32.TE</v>
      </c>
      <c r="I242" s="6" t="str" cm="1">
        <f t="array" ref="I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J242" s="6" t="str" cm="1">
        <f t="array" ref="J242">_xlfn.TEXTJOIN(", ",TRUE,_xlfn.UNIQUE(_xlfn._xlws.FILTER(ARQUIVOS_RECEBIDOS!$F$2:$F$5010,ARQUIVOS_RECEBIDOS!$E$2:$E$5010=LD_01[[#This Row],[DOCUMENTO]])))</f>
        <v>R04</v>
      </c>
      <c r="K242" s="12" cm="1">
        <f t="array" ref="K242">_xlfn.UNIQUE(_xlfn._xlws.FILTER(ARQUIVOS[DATA RECEBIMENTO],(ARQUIVOS[DOCUMENTO]=LD_01[[#This Row],[DOCUMENTO]])*(ARQUIVOS[REVISÃO]=LD_01[[#This Row],[REVISÃO]])))</f>
        <v>45838</v>
      </c>
      <c r="L2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M242" s="6" t="str">
        <f>LD_01[[#This Row],[PASTA]]&amp;"/"&amp;LD_01[[#This Row],[ARQUIVO]]</f>
        <v>MSV-163MS-510-511/32.TE/MSV-163MS-510-511-ACA-EXE-DE-G1-002-R04.pdf</v>
      </c>
    </row>
    <row r="243" spans="1:13" ht="28.8" hidden="1" x14ac:dyDescent="0.3">
      <c r="A243" s="6" t="s">
        <v>3033</v>
      </c>
      <c r="B243" s="6" t="str">
        <f>VLOOKUP(LD_01[[#This Row],[DOCUMENTO]],_xlfn.SORTBY(ARQUIVOS_RECEBIDOS!$E$2:$F$5010,ARQUIVOS_RECEBIDOS!$F$2:$F$5010,-1),2,)</f>
        <v>R04</v>
      </c>
      <c r="C243" s="15" t="s">
        <v>5987</v>
      </c>
      <c r="D243" s="6" t="s">
        <v>4311</v>
      </c>
      <c r="E243" s="8" t="s">
        <v>4077</v>
      </c>
      <c r="F243" s="8" t="s">
        <v>4330</v>
      </c>
      <c r="G243" s="6" t="str">
        <f>_xlfn.XLOOKUP(LD_01[[#This Row],[DISCIPLINA]],'CLASSES DE PROJETOS'!$F$3:$F$37,'CLASSES DE PROJETOS'!$C$3:$C$37)</f>
        <v>TE</v>
      </c>
      <c r="H243" t="str">
        <f>_xlfn.TEXTJOIN("/",TRUE,"MSV-163MS-"&amp;LD_01[[#This Row],[TRECHO]],_xlfn.XLOOKUP(LD_01[[#This Row],[SIGLA]],'CLASSES DE PROJETOS'!$C$3:$C$37,'CLASSES DE PROJETOS'!$E$3:$E$37))</f>
        <v>MSV-163MS-510-511/32.TE</v>
      </c>
      <c r="I243" s="6" t="str" cm="1">
        <f t="array" ref="I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J243" s="6" t="str" cm="1">
        <f t="array" ref="J243">_xlfn.TEXTJOIN(", ",TRUE,_xlfn.UNIQUE(_xlfn._xlws.FILTER(ARQUIVOS_RECEBIDOS!$F$2:$F$5010,ARQUIVOS_RECEBIDOS!$E$2:$E$5010=LD_01[[#This Row],[DOCUMENTO]])))</f>
        <v>R04</v>
      </c>
      <c r="K243" s="12" cm="1">
        <f t="array" ref="K243">_xlfn.UNIQUE(_xlfn._xlws.FILTER(ARQUIVOS[DATA RECEBIMENTO],(ARQUIVOS[DOCUMENTO]=LD_01[[#This Row],[DOCUMENTO]])*(ARQUIVOS[REVISÃO]=LD_01[[#This Row],[REVISÃO]])))</f>
        <v>45838</v>
      </c>
      <c r="L2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M243" s="6" t="str">
        <f>LD_01[[#This Row],[PASTA]]&amp;"/"&amp;LD_01[[#This Row],[ARQUIVO]]</f>
        <v>MSV-163MS-510-511/32.TE/MSV-163MS-510-511-ACA-EXE-DE-G1-003-R04.pdf</v>
      </c>
    </row>
    <row r="244" spans="1:13" ht="28.8" hidden="1" x14ac:dyDescent="0.3">
      <c r="A244" s="6" t="s">
        <v>3034</v>
      </c>
      <c r="B244" s="6" t="str">
        <f>VLOOKUP(LD_01[[#This Row],[DOCUMENTO]],_xlfn.SORTBY(ARQUIVOS_RECEBIDOS!$E$2:$F$5010,ARQUIVOS_RECEBIDOS!$F$2:$F$5010,-1),2,)</f>
        <v>R04</v>
      </c>
      <c r="C244" s="15" t="s">
        <v>5987</v>
      </c>
      <c r="D244" s="6" t="s">
        <v>4311</v>
      </c>
      <c r="E244" s="8" t="s">
        <v>4077</v>
      </c>
      <c r="F244" s="8" t="s">
        <v>4330</v>
      </c>
      <c r="G244" s="6" t="str">
        <f>_xlfn.XLOOKUP(LD_01[[#This Row],[DISCIPLINA]],'CLASSES DE PROJETOS'!$F$3:$F$37,'CLASSES DE PROJETOS'!$C$3:$C$37)</f>
        <v>TE</v>
      </c>
      <c r="H244" t="str">
        <f>_xlfn.TEXTJOIN("/",TRUE,"MSV-163MS-"&amp;LD_01[[#This Row],[TRECHO]],_xlfn.XLOOKUP(LD_01[[#This Row],[SIGLA]],'CLASSES DE PROJETOS'!$C$3:$C$37,'CLASSES DE PROJETOS'!$E$3:$E$37))</f>
        <v>MSV-163MS-510-511/32.TE</v>
      </c>
      <c r="I244" s="6" t="str" cm="1">
        <f t="array" ref="I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J244" s="6" t="str" cm="1">
        <f t="array" ref="J244">_xlfn.TEXTJOIN(", ",TRUE,_xlfn.UNIQUE(_xlfn._xlws.FILTER(ARQUIVOS_RECEBIDOS!$F$2:$F$5010,ARQUIVOS_RECEBIDOS!$E$2:$E$5010=LD_01[[#This Row],[DOCUMENTO]])))</f>
        <v>R04</v>
      </c>
      <c r="K244" s="12" cm="1">
        <f t="array" ref="K244">_xlfn.UNIQUE(_xlfn._xlws.FILTER(ARQUIVOS[DATA RECEBIMENTO],(ARQUIVOS[DOCUMENTO]=LD_01[[#This Row],[DOCUMENTO]])*(ARQUIVOS[REVISÃO]=LD_01[[#This Row],[REVISÃO]])))</f>
        <v>45838</v>
      </c>
      <c r="L2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M244" s="6" t="str">
        <f>LD_01[[#This Row],[PASTA]]&amp;"/"&amp;LD_01[[#This Row],[ARQUIVO]]</f>
        <v>MSV-163MS-510-511/32.TE/MSV-163MS-510-511-ACA-EXE-DE-G1-004-R04.pdf</v>
      </c>
    </row>
    <row r="245" spans="1:13" ht="28.8" hidden="1" x14ac:dyDescent="0.3">
      <c r="A245" s="6" t="s">
        <v>3035</v>
      </c>
      <c r="B245" s="6" t="str">
        <f>VLOOKUP(LD_01[[#This Row],[DOCUMENTO]],_xlfn.SORTBY(ARQUIVOS_RECEBIDOS!$E$2:$F$5010,ARQUIVOS_RECEBIDOS!$F$2:$F$5010,-1),2,)</f>
        <v>R04</v>
      </c>
      <c r="C245" s="15" t="s">
        <v>5987</v>
      </c>
      <c r="D245" s="6" t="s">
        <v>4311</v>
      </c>
      <c r="E245" s="8" t="s">
        <v>4077</v>
      </c>
      <c r="F245" s="8" t="s">
        <v>4330</v>
      </c>
      <c r="G245" s="6" t="str">
        <f>_xlfn.XLOOKUP(LD_01[[#This Row],[DISCIPLINA]],'CLASSES DE PROJETOS'!$F$3:$F$37,'CLASSES DE PROJETOS'!$C$3:$C$37)</f>
        <v>TE</v>
      </c>
      <c r="H245" t="str">
        <f>_xlfn.TEXTJOIN("/",TRUE,"MSV-163MS-"&amp;LD_01[[#This Row],[TRECHO]],_xlfn.XLOOKUP(LD_01[[#This Row],[SIGLA]],'CLASSES DE PROJETOS'!$C$3:$C$37,'CLASSES DE PROJETOS'!$E$3:$E$37))</f>
        <v>MSV-163MS-510-511/32.TE</v>
      </c>
      <c r="I245" s="6" t="str" cm="1">
        <f t="array" ref="I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J245" s="6" t="str" cm="1">
        <f t="array" ref="J245">_xlfn.TEXTJOIN(", ",TRUE,_xlfn.UNIQUE(_xlfn._xlws.FILTER(ARQUIVOS_RECEBIDOS!$F$2:$F$5010,ARQUIVOS_RECEBIDOS!$E$2:$E$5010=LD_01[[#This Row],[DOCUMENTO]])))</f>
        <v>R04</v>
      </c>
      <c r="K245" s="12" cm="1">
        <f t="array" ref="K245">_xlfn.UNIQUE(_xlfn._xlws.FILTER(ARQUIVOS[DATA RECEBIMENTO],(ARQUIVOS[DOCUMENTO]=LD_01[[#This Row],[DOCUMENTO]])*(ARQUIVOS[REVISÃO]=LD_01[[#This Row],[REVISÃO]])))</f>
        <v>45838</v>
      </c>
      <c r="L2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M245" s="6" t="str">
        <f>LD_01[[#This Row],[PASTA]]&amp;"/"&amp;LD_01[[#This Row],[ARQUIVO]]</f>
        <v>MSV-163MS-510-511/32.TE/MSV-163MS-510-511-ACA-EXE-DE-G1-005-R04.pdf</v>
      </c>
    </row>
    <row r="246" spans="1:13" ht="28.8" hidden="1" x14ac:dyDescent="0.3">
      <c r="A246" s="6" t="s">
        <v>3036</v>
      </c>
      <c r="B246" s="6" t="str">
        <f>VLOOKUP(LD_01[[#This Row],[DOCUMENTO]],_xlfn.SORTBY(ARQUIVOS_RECEBIDOS!$E$2:$F$5010,ARQUIVOS_RECEBIDOS!$F$2:$F$5010,-1),2,)</f>
        <v>R01</v>
      </c>
      <c r="C246" s="15" t="s">
        <v>5987</v>
      </c>
      <c r="D246" s="6" t="s">
        <v>4311</v>
      </c>
      <c r="E246" s="8" t="s">
        <v>4195</v>
      </c>
      <c r="F246" s="8" t="s">
        <v>4330</v>
      </c>
      <c r="G246" s="6" t="str">
        <f>_xlfn.XLOOKUP(LD_01[[#This Row],[DISCIPLINA]],'CLASSES DE PROJETOS'!$F$3:$F$37,'CLASSES DE PROJETOS'!$C$3:$C$37)</f>
        <v>TE</v>
      </c>
      <c r="H246" t="str">
        <f>_xlfn.TEXTJOIN("/",TRUE,"MSV-163MS-"&amp;LD_01[[#This Row],[TRECHO]],_xlfn.XLOOKUP(LD_01[[#This Row],[SIGLA]],'CLASSES DE PROJETOS'!$C$3:$C$37,'CLASSES DE PROJETOS'!$E$3:$E$37))</f>
        <v>MSV-163MS-510-511/32.TE</v>
      </c>
      <c r="I246" s="6" t="str" cm="1">
        <f t="array" ref="I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J246" s="6" t="str" cm="1">
        <f t="array" ref="J246">_xlfn.TEXTJOIN(", ",TRUE,_xlfn.UNIQUE(_xlfn._xlws.FILTER(ARQUIVOS_RECEBIDOS!$F$2:$F$5010,ARQUIVOS_RECEBIDOS!$E$2:$E$5010=LD_01[[#This Row],[DOCUMENTO]])))</f>
        <v>R01</v>
      </c>
      <c r="K246" s="12" cm="1">
        <f t="array" ref="K246">_xlfn.UNIQUE(_xlfn._xlws.FILTER(ARQUIVOS[DATA RECEBIMENTO],(ARQUIVOS[DOCUMENTO]=LD_01[[#This Row],[DOCUMENTO]])*(ARQUIVOS[REVISÃO]=LD_01[[#This Row],[REVISÃO]])))</f>
        <v>45838</v>
      </c>
      <c r="L2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M246" s="6" t="str">
        <f>LD_01[[#This Row],[PASTA]]&amp;"/"&amp;LD_01[[#This Row],[ARQUIVO]]</f>
        <v>MSV-163MS-510-511/32.TE/MSV-163MS-510-511-ACA-EXE-DE-G1-006-R01.pdf</v>
      </c>
    </row>
    <row r="247" spans="1:13" ht="28.8" hidden="1" x14ac:dyDescent="0.3">
      <c r="A247" s="6" t="s">
        <v>3037</v>
      </c>
      <c r="B247" s="6" t="str">
        <f>VLOOKUP(LD_01[[#This Row],[DOCUMENTO]],_xlfn.SORTBY(ARQUIVOS_RECEBIDOS!$E$2:$F$5010,ARQUIVOS_RECEBIDOS!$F$2:$F$5010,-1),2,)</f>
        <v>R01</v>
      </c>
      <c r="C247" s="15" t="s">
        <v>5987</v>
      </c>
      <c r="D247" s="6" t="s">
        <v>4311</v>
      </c>
      <c r="E247" s="8" t="s">
        <v>4195</v>
      </c>
      <c r="F247" s="8" t="s">
        <v>4330</v>
      </c>
      <c r="G247" s="6" t="str">
        <f>_xlfn.XLOOKUP(LD_01[[#This Row],[DISCIPLINA]],'CLASSES DE PROJETOS'!$F$3:$F$37,'CLASSES DE PROJETOS'!$C$3:$C$37)</f>
        <v>TE</v>
      </c>
      <c r="H247" t="str">
        <f>_xlfn.TEXTJOIN("/",TRUE,"MSV-163MS-"&amp;LD_01[[#This Row],[TRECHO]],_xlfn.XLOOKUP(LD_01[[#This Row],[SIGLA]],'CLASSES DE PROJETOS'!$C$3:$C$37,'CLASSES DE PROJETOS'!$E$3:$E$37))</f>
        <v>MSV-163MS-510-511/32.TE</v>
      </c>
      <c r="I247" s="6" t="str" cm="1">
        <f t="array" ref="I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J247" s="6" t="str" cm="1">
        <f t="array" ref="J247">_xlfn.TEXTJOIN(", ",TRUE,_xlfn.UNIQUE(_xlfn._xlws.FILTER(ARQUIVOS_RECEBIDOS!$F$2:$F$5010,ARQUIVOS_RECEBIDOS!$E$2:$E$5010=LD_01[[#This Row],[DOCUMENTO]])))</f>
        <v>R01</v>
      </c>
      <c r="K247" s="12" cm="1">
        <f t="array" ref="K247">_xlfn.UNIQUE(_xlfn._xlws.FILTER(ARQUIVOS[DATA RECEBIMENTO],(ARQUIVOS[DOCUMENTO]=LD_01[[#This Row],[DOCUMENTO]])*(ARQUIVOS[REVISÃO]=LD_01[[#This Row],[REVISÃO]])))</f>
        <v>45838</v>
      </c>
      <c r="L2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M247" s="6" t="str">
        <f>LD_01[[#This Row],[PASTA]]&amp;"/"&amp;LD_01[[#This Row],[ARQUIVO]]</f>
        <v>MSV-163MS-510-511/32.TE/MSV-163MS-510-511-ACA-EXE-DE-G1-007-R01.pdf</v>
      </c>
    </row>
    <row r="248" spans="1:13" ht="28.8" hidden="1" x14ac:dyDescent="0.3">
      <c r="A248" s="6" t="s">
        <v>3038</v>
      </c>
      <c r="B248" s="6" t="str">
        <f>VLOOKUP(LD_01[[#This Row],[DOCUMENTO]],_xlfn.SORTBY(ARQUIVOS_RECEBIDOS!$E$2:$F$5010,ARQUIVOS_RECEBIDOS!$F$2:$F$5010,-1),2,)</f>
        <v>R03</v>
      </c>
      <c r="C248" s="15" t="s">
        <v>5987</v>
      </c>
      <c r="D248" s="6" t="s">
        <v>4311</v>
      </c>
      <c r="E248" s="8" t="s">
        <v>4196</v>
      </c>
      <c r="F248" s="8" t="s">
        <v>4330</v>
      </c>
      <c r="G248" s="6" t="str">
        <f>_xlfn.XLOOKUP(LD_01[[#This Row],[DISCIPLINA]],'CLASSES DE PROJETOS'!$F$3:$F$37,'CLASSES DE PROJETOS'!$C$3:$C$37)</f>
        <v>TE</v>
      </c>
      <c r="H248" t="str">
        <f>_xlfn.TEXTJOIN("/",TRUE,"MSV-163MS-"&amp;LD_01[[#This Row],[TRECHO]],_xlfn.XLOOKUP(LD_01[[#This Row],[SIGLA]],'CLASSES DE PROJETOS'!$C$3:$C$37,'CLASSES DE PROJETOS'!$E$3:$E$37))</f>
        <v>MSV-163MS-510-511/32.TE</v>
      </c>
      <c r="I248" s="6" t="str" cm="1">
        <f t="array" ref="I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J248" s="6" t="str" cm="1">
        <f t="array" ref="J248">_xlfn.TEXTJOIN(", ",TRUE,_xlfn.UNIQUE(_xlfn._xlws.FILTER(ARQUIVOS_RECEBIDOS!$F$2:$F$5010,ARQUIVOS_RECEBIDOS!$E$2:$E$5010=LD_01[[#This Row],[DOCUMENTO]])))</f>
        <v>R03</v>
      </c>
      <c r="K248" s="12" cm="1">
        <f t="array" ref="K248">_xlfn.UNIQUE(_xlfn._xlws.FILTER(ARQUIVOS[DATA RECEBIMENTO],(ARQUIVOS[DOCUMENTO]=LD_01[[#This Row],[DOCUMENTO]])*(ARQUIVOS[REVISÃO]=LD_01[[#This Row],[REVISÃO]])))</f>
        <v>45838</v>
      </c>
      <c r="L2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M248" s="6" t="str">
        <f>LD_01[[#This Row],[PASTA]]&amp;"/"&amp;LD_01[[#This Row],[ARQUIVO]]</f>
        <v>MSV-163MS-510-511/32.TE/MSV-163MS-510-511-ACA-EXE-DE-G1-008-R03.pdf</v>
      </c>
    </row>
    <row r="249" spans="1:13" ht="28.8" hidden="1" x14ac:dyDescent="0.3">
      <c r="A249" s="6" t="s">
        <v>3039</v>
      </c>
      <c r="B249" s="6" t="str">
        <f>VLOOKUP(LD_01[[#This Row],[DOCUMENTO]],_xlfn.SORTBY(ARQUIVOS_RECEBIDOS!$E$2:$F$5010,ARQUIVOS_RECEBIDOS!$F$2:$F$5010,-1),2,)</f>
        <v>R02</v>
      </c>
      <c r="C249" s="15" t="s">
        <v>5987</v>
      </c>
      <c r="D249" s="6" t="s">
        <v>4311</v>
      </c>
      <c r="E249" s="8" t="s">
        <v>4174</v>
      </c>
      <c r="F249" s="8" t="s">
        <v>4330</v>
      </c>
      <c r="G249" s="6" t="str">
        <f>_xlfn.XLOOKUP(LD_01[[#This Row],[DISCIPLINA]],'CLASSES DE PROJETOS'!$F$3:$F$37,'CLASSES DE PROJETOS'!$C$3:$C$37)</f>
        <v>TE</v>
      </c>
      <c r="H249" t="str">
        <f>_xlfn.TEXTJOIN("/",TRUE,"MSV-163MS-"&amp;LD_01[[#This Row],[TRECHO]],_xlfn.XLOOKUP(LD_01[[#This Row],[SIGLA]],'CLASSES DE PROJETOS'!$C$3:$C$37,'CLASSES DE PROJETOS'!$E$3:$E$37))</f>
        <v>MSV-163MS-510-511/32.TE</v>
      </c>
      <c r="I249" s="6" t="str" cm="1">
        <f t="array" ref="I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J249" s="6" t="str" cm="1">
        <f t="array" ref="J249">_xlfn.TEXTJOIN(", ",TRUE,_xlfn.UNIQUE(_xlfn._xlws.FILTER(ARQUIVOS_RECEBIDOS!$F$2:$F$5010,ARQUIVOS_RECEBIDOS!$E$2:$E$5010=LD_01[[#This Row],[DOCUMENTO]])))</f>
        <v>R02</v>
      </c>
      <c r="K249" s="12" cm="1">
        <f t="array" ref="K249">_xlfn.UNIQUE(_xlfn._xlws.FILTER(ARQUIVOS[DATA RECEBIMENTO],(ARQUIVOS[DOCUMENTO]=LD_01[[#This Row],[DOCUMENTO]])*(ARQUIVOS[REVISÃO]=LD_01[[#This Row],[REVISÃO]])))</f>
        <v>45838</v>
      </c>
      <c r="L2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M249" s="6" t="str">
        <f>LD_01[[#This Row],[PASTA]]&amp;"/"&amp;LD_01[[#This Row],[ARQUIVO]]</f>
        <v>MSV-163MS-510-511/32.TE/MSV-163MS-510-511-ACA-EXE-DE-G1-101-R02.pdf</v>
      </c>
    </row>
    <row r="250" spans="1:13" ht="28.8" hidden="1" x14ac:dyDescent="0.3">
      <c r="A250" s="6" t="s">
        <v>3040</v>
      </c>
      <c r="B250" s="6" t="str">
        <f>VLOOKUP(LD_01[[#This Row],[DOCUMENTO]],_xlfn.SORTBY(ARQUIVOS_RECEBIDOS!$E$2:$F$5010,ARQUIVOS_RECEBIDOS!$F$2:$F$5010,-1),2,)</f>
        <v>R02</v>
      </c>
      <c r="C250" s="15" t="s">
        <v>5987</v>
      </c>
      <c r="D250" s="6" t="s">
        <v>4311</v>
      </c>
      <c r="E250" s="8" t="s">
        <v>4174</v>
      </c>
      <c r="F250" s="8" t="s">
        <v>4330</v>
      </c>
      <c r="G250" s="6" t="str">
        <f>_xlfn.XLOOKUP(LD_01[[#This Row],[DISCIPLINA]],'CLASSES DE PROJETOS'!$F$3:$F$37,'CLASSES DE PROJETOS'!$C$3:$C$37)</f>
        <v>TE</v>
      </c>
      <c r="H250" t="str">
        <f>_xlfn.TEXTJOIN("/",TRUE,"MSV-163MS-"&amp;LD_01[[#This Row],[TRECHO]],_xlfn.XLOOKUP(LD_01[[#This Row],[SIGLA]],'CLASSES DE PROJETOS'!$C$3:$C$37,'CLASSES DE PROJETOS'!$E$3:$E$37))</f>
        <v>MSV-163MS-510-511/32.TE</v>
      </c>
      <c r="I250" s="6" t="str" cm="1">
        <f t="array" ref="I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J250" s="6" t="str" cm="1">
        <f t="array" ref="J250">_xlfn.TEXTJOIN(", ",TRUE,_xlfn.UNIQUE(_xlfn._xlws.FILTER(ARQUIVOS_RECEBIDOS!$F$2:$F$5010,ARQUIVOS_RECEBIDOS!$E$2:$E$5010=LD_01[[#This Row],[DOCUMENTO]])))</f>
        <v>R02</v>
      </c>
      <c r="K250" s="12" cm="1">
        <f t="array" ref="K250">_xlfn.UNIQUE(_xlfn._xlws.FILTER(ARQUIVOS[DATA RECEBIMENTO],(ARQUIVOS[DOCUMENTO]=LD_01[[#This Row],[DOCUMENTO]])*(ARQUIVOS[REVISÃO]=LD_01[[#This Row],[REVISÃO]])))</f>
        <v>45838</v>
      </c>
      <c r="L2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M250" s="6" t="str">
        <f>LD_01[[#This Row],[PASTA]]&amp;"/"&amp;LD_01[[#This Row],[ARQUIVO]]</f>
        <v>MSV-163MS-510-511/32.TE/MSV-163MS-510-511-ACA-EXE-DE-G1-102-R02.pdf</v>
      </c>
    </row>
    <row r="251" spans="1:13" hidden="1" x14ac:dyDescent="0.3">
      <c r="A251" s="6" t="s">
        <v>3043</v>
      </c>
      <c r="B251" s="6" t="str">
        <f>VLOOKUP(LD_01[[#This Row],[DOCUMENTO]],_xlfn.SORTBY(ARQUIVOS_RECEBIDOS!$E$2:$F$5010,ARQUIVOS_RECEBIDOS!$F$2:$F$5010,-1),2,)</f>
        <v>R06</v>
      </c>
      <c r="C251" s="15" t="s">
        <v>5987</v>
      </c>
      <c r="D251" s="6" t="s">
        <v>4311</v>
      </c>
      <c r="E251" s="8" t="s">
        <v>4076</v>
      </c>
      <c r="F251" s="8" t="s">
        <v>4142</v>
      </c>
      <c r="G251" s="6" t="str">
        <f>_xlfn.XLOOKUP(LD_01[[#This Row],[DISCIPLINA]],'CLASSES DE PROJETOS'!$F$3:$F$37,'CLASSES DE PROJETOS'!$C$3:$C$37)</f>
        <v>DR</v>
      </c>
      <c r="H251" t="str">
        <f>_xlfn.TEXTJOIN("/",TRUE,"MSV-163MS-"&amp;LD_01[[#This Row],[TRECHO]],_xlfn.XLOOKUP(LD_01[[#This Row],[SIGLA]],'CLASSES DE PROJETOS'!$C$3:$C$37,'CLASSES DE PROJETOS'!$E$3:$E$37))</f>
        <v>MSV-163MS-510-511/10.DR</v>
      </c>
      <c r="I251" s="6" t="str" cm="1">
        <f t="array" ref="I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J251" s="6" t="str" cm="1">
        <f t="array" ref="J251">_xlfn.TEXTJOIN(", ",TRUE,_xlfn.UNIQUE(_xlfn._xlws.FILTER(ARQUIVOS_RECEBIDOS!$F$2:$F$5010,ARQUIVOS_RECEBIDOS!$E$2:$E$5010=LD_01[[#This Row],[DOCUMENTO]])))</f>
        <v>R06</v>
      </c>
      <c r="K251" s="12" cm="1">
        <f t="array" ref="K251">_xlfn.UNIQUE(_xlfn._xlws.FILTER(ARQUIVOS[DATA RECEBIMENTO],(ARQUIVOS[DOCUMENTO]=LD_01[[#This Row],[DOCUMENTO]])*(ARQUIVOS[REVISÃO]=LD_01[[#This Row],[REVISÃO]])))</f>
        <v>45838</v>
      </c>
      <c r="L2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M251" s="6" t="str">
        <f>LD_01[[#This Row],[PASTA]]&amp;"/"&amp;LD_01[[#This Row],[ARQUIVO]]</f>
        <v>MSV-163MS-510-511/10.DR/MSV-163MS-510-511-ACA-EXE-DE-H2-001-R06.pdf</v>
      </c>
    </row>
    <row r="252" spans="1:13" hidden="1" x14ac:dyDescent="0.3">
      <c r="A252" s="6" t="s">
        <v>3044</v>
      </c>
      <c r="B252" s="6" t="str">
        <f>VLOOKUP(LD_01[[#This Row],[DOCUMENTO]],_xlfn.SORTBY(ARQUIVOS_RECEBIDOS!$E$2:$F$5010,ARQUIVOS_RECEBIDOS!$F$2:$F$5010,-1),2,)</f>
        <v>R05</v>
      </c>
      <c r="C252" s="15" t="s">
        <v>5987</v>
      </c>
      <c r="D252" s="6" t="s">
        <v>4311</v>
      </c>
      <c r="E252" s="8" t="s">
        <v>4076</v>
      </c>
      <c r="F252" s="8" t="s">
        <v>4142</v>
      </c>
      <c r="G252" s="6" t="str">
        <f>_xlfn.XLOOKUP(LD_01[[#This Row],[DISCIPLINA]],'CLASSES DE PROJETOS'!$F$3:$F$37,'CLASSES DE PROJETOS'!$C$3:$C$37)</f>
        <v>DR</v>
      </c>
      <c r="H252" t="str">
        <f>_xlfn.TEXTJOIN("/",TRUE,"MSV-163MS-"&amp;LD_01[[#This Row],[TRECHO]],_xlfn.XLOOKUP(LD_01[[#This Row],[SIGLA]],'CLASSES DE PROJETOS'!$C$3:$C$37,'CLASSES DE PROJETOS'!$E$3:$E$37))</f>
        <v>MSV-163MS-510-511/10.DR</v>
      </c>
      <c r="I252" s="6" t="str" cm="1">
        <f t="array" ref="I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J252" s="6" t="str" cm="1">
        <f t="array" ref="J252">_xlfn.TEXTJOIN(", ",TRUE,_xlfn.UNIQUE(_xlfn._xlws.FILTER(ARQUIVOS_RECEBIDOS!$F$2:$F$5010,ARQUIVOS_RECEBIDOS!$E$2:$E$5010=LD_01[[#This Row],[DOCUMENTO]])))</f>
        <v>R05</v>
      </c>
      <c r="K252" s="12" cm="1">
        <f t="array" ref="K252">_xlfn.UNIQUE(_xlfn._xlws.FILTER(ARQUIVOS[DATA RECEBIMENTO],(ARQUIVOS[DOCUMENTO]=LD_01[[#This Row],[DOCUMENTO]])*(ARQUIVOS[REVISÃO]=LD_01[[#This Row],[REVISÃO]])))</f>
        <v>45838</v>
      </c>
      <c r="L2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M252" s="6" t="str">
        <f>LD_01[[#This Row],[PASTA]]&amp;"/"&amp;LD_01[[#This Row],[ARQUIVO]]</f>
        <v>MSV-163MS-510-511/10.DR/MSV-163MS-510-511-ACA-EXE-DE-H2-002-R05.pdf</v>
      </c>
    </row>
    <row r="253" spans="1:13" hidden="1" x14ac:dyDescent="0.3">
      <c r="A253" s="6" t="s">
        <v>3045</v>
      </c>
      <c r="B253" s="6" t="str">
        <f>VLOOKUP(LD_01[[#This Row],[DOCUMENTO]],_xlfn.SORTBY(ARQUIVOS_RECEBIDOS!$E$2:$F$5010,ARQUIVOS_RECEBIDOS!$F$2:$F$5010,-1),2,)</f>
        <v>R05</v>
      </c>
      <c r="C253" s="15" t="s">
        <v>5987</v>
      </c>
      <c r="D253" s="6" t="s">
        <v>4311</v>
      </c>
      <c r="E253" s="8" t="s">
        <v>4076</v>
      </c>
      <c r="F253" s="8" t="s">
        <v>4142</v>
      </c>
      <c r="G253" s="6" t="str">
        <f>_xlfn.XLOOKUP(LD_01[[#This Row],[DISCIPLINA]],'CLASSES DE PROJETOS'!$F$3:$F$37,'CLASSES DE PROJETOS'!$C$3:$C$37)</f>
        <v>DR</v>
      </c>
      <c r="H253" t="str">
        <f>_xlfn.TEXTJOIN("/",TRUE,"MSV-163MS-"&amp;LD_01[[#This Row],[TRECHO]],_xlfn.XLOOKUP(LD_01[[#This Row],[SIGLA]],'CLASSES DE PROJETOS'!$C$3:$C$37,'CLASSES DE PROJETOS'!$E$3:$E$37))</f>
        <v>MSV-163MS-510-511/10.DR</v>
      </c>
      <c r="I253" s="6" t="str" cm="1">
        <f t="array" ref="I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J253" s="6" t="str" cm="1">
        <f t="array" ref="J253">_xlfn.TEXTJOIN(", ",TRUE,_xlfn.UNIQUE(_xlfn._xlws.FILTER(ARQUIVOS_RECEBIDOS!$F$2:$F$5010,ARQUIVOS_RECEBIDOS!$E$2:$E$5010=LD_01[[#This Row],[DOCUMENTO]])))</f>
        <v>R05</v>
      </c>
      <c r="K253" s="12" cm="1">
        <f t="array" ref="K253">_xlfn.UNIQUE(_xlfn._xlws.FILTER(ARQUIVOS[DATA RECEBIMENTO],(ARQUIVOS[DOCUMENTO]=LD_01[[#This Row],[DOCUMENTO]])*(ARQUIVOS[REVISÃO]=LD_01[[#This Row],[REVISÃO]])))</f>
        <v>45838</v>
      </c>
      <c r="L2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M253" s="6" t="str">
        <f>LD_01[[#This Row],[PASTA]]&amp;"/"&amp;LD_01[[#This Row],[ARQUIVO]]</f>
        <v>MSV-163MS-510-511/10.DR/MSV-163MS-510-511-ACA-EXE-DE-H2-003-R05.pdf</v>
      </c>
    </row>
    <row r="254" spans="1:13" hidden="1" x14ac:dyDescent="0.3">
      <c r="A254" s="6" t="s">
        <v>3046</v>
      </c>
      <c r="B254" s="6" t="str">
        <f>VLOOKUP(LD_01[[#This Row],[DOCUMENTO]],_xlfn.SORTBY(ARQUIVOS_RECEBIDOS!$E$2:$F$5010,ARQUIVOS_RECEBIDOS!$F$2:$F$5010,-1),2,)</f>
        <v>R04</v>
      </c>
      <c r="C254" s="15" t="s">
        <v>5987</v>
      </c>
      <c r="D254" s="6" t="s">
        <v>4311</v>
      </c>
      <c r="E254" s="8" t="s">
        <v>4078</v>
      </c>
      <c r="F254" s="8" t="s">
        <v>4142</v>
      </c>
      <c r="G254" s="6" t="str">
        <f>_xlfn.XLOOKUP(LD_01[[#This Row],[DISCIPLINA]],'CLASSES DE PROJETOS'!$F$3:$F$37,'CLASSES DE PROJETOS'!$C$3:$C$37)</f>
        <v>DR</v>
      </c>
      <c r="H254" t="str">
        <f>_xlfn.TEXTJOIN("/",TRUE,"MSV-163MS-"&amp;LD_01[[#This Row],[TRECHO]],_xlfn.XLOOKUP(LD_01[[#This Row],[SIGLA]],'CLASSES DE PROJETOS'!$C$3:$C$37,'CLASSES DE PROJETOS'!$E$3:$E$37))</f>
        <v>MSV-163MS-510-511/10.DR</v>
      </c>
      <c r="I254" s="6" t="str" cm="1">
        <f t="array" ref="I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J254" s="6" t="str" cm="1">
        <f t="array" ref="J254">_xlfn.TEXTJOIN(", ",TRUE,_xlfn.UNIQUE(_xlfn._xlws.FILTER(ARQUIVOS_RECEBIDOS!$F$2:$F$5010,ARQUIVOS_RECEBIDOS!$E$2:$E$5010=LD_01[[#This Row],[DOCUMENTO]])))</f>
        <v>R04</v>
      </c>
      <c r="K254" s="12" cm="1">
        <f t="array" ref="K254">_xlfn.UNIQUE(_xlfn._xlws.FILTER(ARQUIVOS[DATA RECEBIMENTO],(ARQUIVOS[DOCUMENTO]=LD_01[[#This Row],[DOCUMENTO]])*(ARQUIVOS[REVISÃO]=LD_01[[#This Row],[REVISÃO]])))</f>
        <v>45838</v>
      </c>
      <c r="L2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M254" s="6" t="str">
        <f>LD_01[[#This Row],[PASTA]]&amp;"/"&amp;LD_01[[#This Row],[ARQUIVO]]</f>
        <v>MSV-163MS-510-511/10.DR/MSV-163MS-510-511-ACA-EXE-DE-H2-004-R04.pdf</v>
      </c>
    </row>
    <row r="255" spans="1:13" ht="43.2" hidden="1" x14ac:dyDescent="0.3">
      <c r="A255" s="6" t="s">
        <v>3047</v>
      </c>
      <c r="B255" s="6" t="str">
        <f>VLOOKUP(LD_01[[#This Row],[DOCUMENTO]],_xlfn.SORTBY(ARQUIVOS_RECEBIDOS!$E$2:$F$5010,ARQUIVOS_RECEBIDOS!$F$2:$F$5010,-1),2,)</f>
        <v>R00</v>
      </c>
      <c r="C255" s="15" t="s">
        <v>5987</v>
      </c>
      <c r="D255" s="6" t="s">
        <v>4311</v>
      </c>
      <c r="E255" s="8" t="s">
        <v>4104</v>
      </c>
      <c r="F255" s="8" t="s">
        <v>4142</v>
      </c>
      <c r="G255" s="6" t="str">
        <f>_xlfn.XLOOKUP(LD_01[[#This Row],[DISCIPLINA]],'CLASSES DE PROJETOS'!$F$3:$F$37,'CLASSES DE PROJETOS'!$C$3:$C$37)</f>
        <v>DR</v>
      </c>
      <c r="H255" t="str">
        <f>_xlfn.TEXTJOIN("/",TRUE,"MSV-163MS-"&amp;LD_01[[#This Row],[TRECHO]],_xlfn.XLOOKUP(LD_01[[#This Row],[SIGLA]],'CLASSES DE PROJETOS'!$C$3:$C$37,'CLASSES DE PROJETOS'!$E$3:$E$37))</f>
        <v>MSV-163MS-510-511/10.DR</v>
      </c>
      <c r="I255" s="6" t="str" cm="1">
        <f t="array" ref="I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J255" s="6" t="str" cm="1">
        <f t="array" ref="J255">_xlfn.TEXTJOIN(", ",TRUE,_xlfn.UNIQUE(_xlfn._xlws.FILTER(ARQUIVOS_RECEBIDOS!$F$2:$F$5010,ARQUIVOS_RECEBIDOS!$E$2:$E$5010=LD_01[[#This Row],[DOCUMENTO]])))</f>
        <v>R00</v>
      </c>
      <c r="K255" s="12" cm="1">
        <f t="array" ref="K255">_xlfn.UNIQUE(_xlfn._xlws.FILTER(ARQUIVOS[DATA RECEBIMENTO],(ARQUIVOS[DOCUMENTO]=LD_01[[#This Row],[DOCUMENTO]])*(ARQUIVOS[REVISÃO]=LD_01[[#This Row],[REVISÃO]])))</f>
        <v>45838</v>
      </c>
      <c r="L2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M255" s="6" t="str">
        <f>LD_01[[#This Row],[PASTA]]&amp;"/"&amp;LD_01[[#This Row],[ARQUIVO]]</f>
        <v>MSV-163MS-510-511/10.DR/MSV-163MS-510-511-ACA-EXE-DE-H2-101.R00.pdf</v>
      </c>
    </row>
    <row r="256" spans="1:13" ht="28.8" hidden="1" x14ac:dyDescent="0.3">
      <c r="A256" s="6" t="s">
        <v>3048</v>
      </c>
      <c r="B256" s="6" t="str">
        <f>VLOOKUP(LD_01[[#This Row],[DOCUMENTO]],_xlfn.SORTBY(ARQUIVOS_RECEBIDOS!$E$2:$F$5010,ARQUIVOS_RECEBIDOS!$F$2:$F$5010,-1),2,)</f>
        <v>R01</v>
      </c>
      <c r="C256" s="15" t="s">
        <v>5987</v>
      </c>
      <c r="D256" s="6" t="s">
        <v>4311</v>
      </c>
      <c r="E256" s="8" t="s">
        <v>4105</v>
      </c>
      <c r="F256" s="8" t="s">
        <v>4142</v>
      </c>
      <c r="G256" s="6" t="str">
        <f>_xlfn.XLOOKUP(LD_01[[#This Row],[DISCIPLINA]],'CLASSES DE PROJETOS'!$F$3:$F$37,'CLASSES DE PROJETOS'!$C$3:$C$37)</f>
        <v>DR</v>
      </c>
      <c r="H256" t="str">
        <f>_xlfn.TEXTJOIN("/",TRUE,"MSV-163MS-"&amp;LD_01[[#This Row],[TRECHO]],_xlfn.XLOOKUP(LD_01[[#This Row],[SIGLA]],'CLASSES DE PROJETOS'!$C$3:$C$37,'CLASSES DE PROJETOS'!$E$3:$E$37))</f>
        <v>MSV-163MS-510-511/10.DR</v>
      </c>
      <c r="I256" s="6" t="str" cm="1">
        <f t="array" ref="I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J256" s="6" t="str" cm="1">
        <f t="array" ref="J256">_xlfn.TEXTJOIN(", ",TRUE,_xlfn.UNIQUE(_xlfn._xlws.FILTER(ARQUIVOS_RECEBIDOS!$F$2:$F$5010,ARQUIVOS_RECEBIDOS!$E$2:$E$5010=LD_01[[#This Row],[DOCUMENTO]])))</f>
        <v>R01</v>
      </c>
      <c r="K256" s="12" cm="1">
        <f t="array" ref="K256">_xlfn.UNIQUE(_xlfn._xlws.FILTER(ARQUIVOS[DATA RECEBIMENTO],(ARQUIVOS[DOCUMENTO]=LD_01[[#This Row],[DOCUMENTO]])*(ARQUIVOS[REVISÃO]=LD_01[[#This Row],[REVISÃO]])))</f>
        <v>45838</v>
      </c>
      <c r="L2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M256" s="6" t="str">
        <f>LD_01[[#This Row],[PASTA]]&amp;"/"&amp;LD_01[[#This Row],[ARQUIVO]]</f>
        <v>MSV-163MS-510-511/10.DR/MSV-163MS-510-511-ACA-EXE-DE-H2-102-R01.pdf</v>
      </c>
    </row>
    <row r="257" spans="1:13" ht="28.8" hidden="1" x14ac:dyDescent="0.3">
      <c r="A257" s="6" t="s">
        <v>3049</v>
      </c>
      <c r="B257" s="6" t="str">
        <f>VLOOKUP(LD_01[[#This Row],[DOCUMENTO]],_xlfn.SORTBY(ARQUIVOS_RECEBIDOS!$E$2:$F$5010,ARQUIVOS_RECEBIDOS!$F$2:$F$5010,-1),2,)</f>
        <v>R01</v>
      </c>
      <c r="C257" s="15" t="s">
        <v>5987</v>
      </c>
      <c r="D257" s="6" t="s">
        <v>4311</v>
      </c>
      <c r="E257" s="8" t="s">
        <v>4106</v>
      </c>
      <c r="F257" s="8" t="s">
        <v>4142</v>
      </c>
      <c r="G257" s="6" t="str">
        <f>_xlfn.XLOOKUP(LD_01[[#This Row],[DISCIPLINA]],'CLASSES DE PROJETOS'!$F$3:$F$37,'CLASSES DE PROJETOS'!$C$3:$C$37)</f>
        <v>DR</v>
      </c>
      <c r="H257" t="str">
        <f>_xlfn.TEXTJOIN("/",TRUE,"MSV-163MS-"&amp;LD_01[[#This Row],[TRECHO]],_xlfn.XLOOKUP(LD_01[[#This Row],[SIGLA]],'CLASSES DE PROJETOS'!$C$3:$C$37,'CLASSES DE PROJETOS'!$E$3:$E$37))</f>
        <v>MSV-163MS-510-511/10.DR</v>
      </c>
      <c r="I257" s="6" t="str" cm="1">
        <f t="array" ref="I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J257" s="6" t="str" cm="1">
        <f t="array" ref="J257">_xlfn.TEXTJOIN(", ",TRUE,_xlfn.UNIQUE(_xlfn._xlws.FILTER(ARQUIVOS_RECEBIDOS!$F$2:$F$5010,ARQUIVOS_RECEBIDOS!$E$2:$E$5010=LD_01[[#This Row],[DOCUMENTO]])))</f>
        <v>R01</v>
      </c>
      <c r="K257" s="12" cm="1">
        <f t="array" ref="K257">_xlfn.UNIQUE(_xlfn._xlws.FILTER(ARQUIVOS[DATA RECEBIMENTO],(ARQUIVOS[DOCUMENTO]=LD_01[[#This Row],[DOCUMENTO]])*(ARQUIVOS[REVISÃO]=LD_01[[#This Row],[REVISÃO]])))</f>
        <v>45838</v>
      </c>
      <c r="L2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M257" s="6" t="str">
        <f>LD_01[[#This Row],[PASTA]]&amp;"/"&amp;LD_01[[#This Row],[ARQUIVO]]</f>
        <v>MSV-163MS-510-511/10.DR/MSV-163MS-510-511-ACA-EXE-DE-H2-103-R01.pdf</v>
      </c>
    </row>
    <row r="258" spans="1:13" ht="43.2" hidden="1" x14ac:dyDescent="0.3">
      <c r="A258" s="6" t="s">
        <v>3050</v>
      </c>
      <c r="B258" s="6" t="str">
        <f>VLOOKUP(LD_01[[#This Row],[DOCUMENTO]],_xlfn.SORTBY(ARQUIVOS_RECEBIDOS!$E$2:$F$5010,ARQUIVOS_RECEBIDOS!$F$2:$F$5010,-1),2,)</f>
        <v>R00</v>
      </c>
      <c r="C258" s="15" t="s">
        <v>5987</v>
      </c>
      <c r="D258" s="6" t="s">
        <v>4311</v>
      </c>
      <c r="E258" s="8" t="s">
        <v>4107</v>
      </c>
      <c r="F258" s="8" t="s">
        <v>4142</v>
      </c>
      <c r="G258" s="6" t="str">
        <f>_xlfn.XLOOKUP(LD_01[[#This Row],[DISCIPLINA]],'CLASSES DE PROJETOS'!$F$3:$F$37,'CLASSES DE PROJETOS'!$C$3:$C$37)</f>
        <v>DR</v>
      </c>
      <c r="H258" t="str">
        <f>_xlfn.TEXTJOIN("/",TRUE,"MSV-163MS-"&amp;LD_01[[#This Row],[TRECHO]],_xlfn.XLOOKUP(LD_01[[#This Row],[SIGLA]],'CLASSES DE PROJETOS'!$C$3:$C$37,'CLASSES DE PROJETOS'!$E$3:$E$37))</f>
        <v>MSV-163MS-510-511/10.DR</v>
      </c>
      <c r="I258" s="6" t="str" cm="1">
        <f t="array" ref="I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J258" s="6" t="str" cm="1">
        <f t="array" ref="J258">_xlfn.TEXTJOIN(", ",TRUE,_xlfn.UNIQUE(_xlfn._xlws.FILTER(ARQUIVOS_RECEBIDOS!$F$2:$F$5010,ARQUIVOS_RECEBIDOS!$E$2:$E$5010=LD_01[[#This Row],[DOCUMENTO]])))</f>
        <v>R00</v>
      </c>
      <c r="K258" s="12" cm="1">
        <f t="array" ref="K258">_xlfn.UNIQUE(_xlfn._xlws.FILTER(ARQUIVOS[DATA RECEBIMENTO],(ARQUIVOS[DOCUMENTO]=LD_01[[#This Row],[DOCUMENTO]])*(ARQUIVOS[REVISÃO]=LD_01[[#This Row],[REVISÃO]])))</f>
        <v>45838</v>
      </c>
      <c r="L2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M258" s="6" t="str">
        <f>LD_01[[#This Row],[PASTA]]&amp;"/"&amp;LD_01[[#This Row],[ARQUIVO]]</f>
        <v>MSV-163MS-510-511/10.DR/MSV-163MS-510-511-ACA-EXE-DE-H2-104.R00.pdf</v>
      </c>
    </row>
    <row r="259" spans="1:13" ht="57.6" hidden="1" x14ac:dyDescent="0.3">
      <c r="A259" s="6" t="s">
        <v>3051</v>
      </c>
      <c r="B259" s="6" t="str">
        <f>VLOOKUP(LD_01[[#This Row],[DOCUMENTO]],_xlfn.SORTBY(ARQUIVOS_RECEBIDOS!$E$2:$F$5010,ARQUIVOS_RECEBIDOS!$F$2:$F$5010,-1),2,)</f>
        <v>R00</v>
      </c>
      <c r="C259" s="15" t="s">
        <v>5987</v>
      </c>
      <c r="D259" s="6" t="s">
        <v>4311</v>
      </c>
      <c r="E259" s="8" t="s">
        <v>4108</v>
      </c>
      <c r="F259" s="8" t="s">
        <v>4142</v>
      </c>
      <c r="G259" s="6" t="str">
        <f>_xlfn.XLOOKUP(LD_01[[#This Row],[DISCIPLINA]],'CLASSES DE PROJETOS'!$F$3:$F$37,'CLASSES DE PROJETOS'!$C$3:$C$37)</f>
        <v>DR</v>
      </c>
      <c r="H259" t="str">
        <f>_xlfn.TEXTJOIN("/",TRUE,"MSV-163MS-"&amp;LD_01[[#This Row],[TRECHO]],_xlfn.XLOOKUP(LD_01[[#This Row],[SIGLA]],'CLASSES DE PROJETOS'!$C$3:$C$37,'CLASSES DE PROJETOS'!$E$3:$E$37))</f>
        <v>MSV-163MS-510-511/10.DR</v>
      </c>
      <c r="I259" s="6" t="str" cm="1">
        <f t="array" ref="I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J259" s="6" t="str" cm="1">
        <f t="array" ref="J259">_xlfn.TEXTJOIN(", ",TRUE,_xlfn.UNIQUE(_xlfn._xlws.FILTER(ARQUIVOS_RECEBIDOS!$F$2:$F$5010,ARQUIVOS_RECEBIDOS!$E$2:$E$5010=LD_01[[#This Row],[DOCUMENTO]])))</f>
        <v>R00</v>
      </c>
      <c r="K259" s="12" cm="1">
        <f t="array" ref="K259">_xlfn.UNIQUE(_xlfn._xlws.FILTER(ARQUIVOS[DATA RECEBIMENTO],(ARQUIVOS[DOCUMENTO]=LD_01[[#This Row],[DOCUMENTO]])*(ARQUIVOS[REVISÃO]=LD_01[[#This Row],[REVISÃO]])))</f>
        <v>45838</v>
      </c>
      <c r="L2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M259" s="6" t="str">
        <f>LD_01[[#This Row],[PASTA]]&amp;"/"&amp;LD_01[[#This Row],[ARQUIVO]]</f>
        <v>MSV-163MS-510-511/10.DR/MSV-163MS-510-511-ACA-EXE-DE-H2-105.R00.pdf</v>
      </c>
    </row>
    <row r="260" spans="1:13" hidden="1" x14ac:dyDescent="0.3">
      <c r="A260" s="6" t="s">
        <v>3059</v>
      </c>
      <c r="B260" s="6" t="str">
        <f>VLOOKUP(LD_01[[#This Row],[DOCUMENTO]],_xlfn.SORTBY(ARQUIVOS_RECEBIDOS!$E$2:$F$5010,ARQUIVOS_RECEBIDOS!$F$2:$F$5010,-1),2,)</f>
        <v>R03</v>
      </c>
      <c r="C260" s="15" t="s">
        <v>5987</v>
      </c>
      <c r="D260" s="6" t="s">
        <v>4311</v>
      </c>
      <c r="E260" s="8" t="s">
        <v>4087</v>
      </c>
      <c r="F260" s="8" t="s">
        <v>4143</v>
      </c>
      <c r="G260" s="6" t="str">
        <f>_xlfn.XLOOKUP(LD_01[[#This Row],[DISCIPLINA]],'CLASSES DE PROJETOS'!$F$3:$F$37,'CLASSES DE PROJETOS'!$C$3:$C$37)</f>
        <v>PV</v>
      </c>
      <c r="H260" t="str">
        <f>_xlfn.TEXTJOIN("/",TRUE,"MSV-163MS-"&amp;LD_01[[#This Row],[TRECHO]],_xlfn.XLOOKUP(LD_01[[#This Row],[SIGLA]],'CLASSES DE PROJETOS'!$C$3:$C$37,'CLASSES DE PROJETOS'!$E$3:$E$37))</f>
        <v>MSV-163MS-510-511/28.PV</v>
      </c>
      <c r="I260" s="6" t="str" cm="1">
        <f t="array" ref="I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J260" s="6" t="str" cm="1">
        <f t="array" ref="J260">_xlfn.TEXTJOIN(", ",TRUE,_xlfn.UNIQUE(_xlfn._xlws.FILTER(ARQUIVOS_RECEBIDOS!$F$2:$F$5010,ARQUIVOS_RECEBIDOS!$E$2:$E$5010=LD_01[[#This Row],[DOCUMENTO]])))</f>
        <v>R02, R03</v>
      </c>
      <c r="K260" s="12" cm="1">
        <f t="array" ref="K260">_xlfn.UNIQUE(_xlfn._xlws.FILTER(ARQUIVOS[DATA RECEBIMENTO],(ARQUIVOS[DOCUMENTO]=LD_01[[#This Row],[DOCUMENTO]])*(ARQUIVOS[REVISÃO]=LD_01[[#This Row],[REVISÃO]])))</f>
        <v>45895</v>
      </c>
      <c r="L2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M260" s="6" t="str">
        <f>LD_01[[#This Row],[PASTA]]&amp;"/"&amp;LD_01[[#This Row],[ARQUIVO]]</f>
        <v>MSV-163MS-510-511/28.PV/MSV-163MS-510-511-ACA-EXE-DE-I2-001-R03.pdf</v>
      </c>
    </row>
    <row r="261" spans="1:13" hidden="1" x14ac:dyDescent="0.3">
      <c r="A261" s="6" t="s">
        <v>3060</v>
      </c>
      <c r="B261" s="6" t="str">
        <f>VLOOKUP(LD_01[[#This Row],[DOCUMENTO]],_xlfn.SORTBY(ARQUIVOS_RECEBIDOS!$E$2:$F$5010,ARQUIVOS_RECEBIDOS!$F$2:$F$5010,-1),2,)</f>
        <v>R03</v>
      </c>
      <c r="C261" s="15" t="s">
        <v>5987</v>
      </c>
      <c r="D261" s="6" t="s">
        <v>4311</v>
      </c>
      <c r="E261" s="8" t="s">
        <v>4087</v>
      </c>
      <c r="F261" s="8" t="s">
        <v>4143</v>
      </c>
      <c r="G261" s="6" t="str">
        <f>_xlfn.XLOOKUP(LD_01[[#This Row],[DISCIPLINA]],'CLASSES DE PROJETOS'!$F$3:$F$37,'CLASSES DE PROJETOS'!$C$3:$C$37)</f>
        <v>PV</v>
      </c>
      <c r="H261" t="str">
        <f>_xlfn.TEXTJOIN("/",TRUE,"MSV-163MS-"&amp;LD_01[[#This Row],[TRECHO]],_xlfn.XLOOKUP(LD_01[[#This Row],[SIGLA]],'CLASSES DE PROJETOS'!$C$3:$C$37,'CLASSES DE PROJETOS'!$E$3:$E$37))</f>
        <v>MSV-163MS-510-511/28.PV</v>
      </c>
      <c r="I261" s="6" t="str" cm="1">
        <f t="array" ref="I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J261" s="6" t="str" cm="1">
        <f t="array" ref="J261">_xlfn.TEXTJOIN(", ",TRUE,_xlfn.UNIQUE(_xlfn._xlws.FILTER(ARQUIVOS_RECEBIDOS!$F$2:$F$5010,ARQUIVOS_RECEBIDOS!$E$2:$E$5010=LD_01[[#This Row],[DOCUMENTO]])))</f>
        <v>R02, R03</v>
      </c>
      <c r="K261" s="12" cm="1">
        <f t="array" ref="K261">_xlfn.UNIQUE(_xlfn._xlws.FILTER(ARQUIVOS[DATA RECEBIMENTO],(ARQUIVOS[DOCUMENTO]=LD_01[[#This Row],[DOCUMENTO]])*(ARQUIVOS[REVISÃO]=LD_01[[#This Row],[REVISÃO]])))</f>
        <v>45895</v>
      </c>
      <c r="L2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M261" s="6" t="str">
        <f>LD_01[[#This Row],[PASTA]]&amp;"/"&amp;LD_01[[#This Row],[ARQUIVO]]</f>
        <v>MSV-163MS-510-511/28.PV/MSV-163MS-510-511-ACA-EXE-DE-I2-002-R03.pdf</v>
      </c>
    </row>
    <row r="262" spans="1:13" hidden="1" x14ac:dyDescent="0.3">
      <c r="A262" s="6" t="s">
        <v>3061</v>
      </c>
      <c r="B262" s="6" t="str">
        <f>VLOOKUP(LD_01[[#This Row],[DOCUMENTO]],_xlfn.SORTBY(ARQUIVOS_RECEBIDOS!$E$2:$F$5010,ARQUIVOS_RECEBIDOS!$F$2:$F$5010,-1),2,)</f>
        <v>R03</v>
      </c>
      <c r="C262" s="15" t="s">
        <v>5987</v>
      </c>
      <c r="D262" s="6" t="s">
        <v>4311</v>
      </c>
      <c r="E262" s="8" t="s">
        <v>4087</v>
      </c>
      <c r="F262" s="8" t="s">
        <v>4143</v>
      </c>
      <c r="G262" s="6" t="str">
        <f>_xlfn.XLOOKUP(LD_01[[#This Row],[DISCIPLINA]],'CLASSES DE PROJETOS'!$F$3:$F$37,'CLASSES DE PROJETOS'!$C$3:$C$37)</f>
        <v>PV</v>
      </c>
      <c r="H262" t="str">
        <f>_xlfn.TEXTJOIN("/",TRUE,"MSV-163MS-"&amp;LD_01[[#This Row],[TRECHO]],_xlfn.XLOOKUP(LD_01[[#This Row],[SIGLA]],'CLASSES DE PROJETOS'!$C$3:$C$37,'CLASSES DE PROJETOS'!$E$3:$E$37))</f>
        <v>MSV-163MS-510-511/28.PV</v>
      </c>
      <c r="I262" s="6" t="str" cm="1">
        <f t="array" ref="I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J262" s="6" t="str" cm="1">
        <f t="array" ref="J262">_xlfn.TEXTJOIN(", ",TRUE,_xlfn.UNIQUE(_xlfn._xlws.FILTER(ARQUIVOS_RECEBIDOS!$F$2:$F$5010,ARQUIVOS_RECEBIDOS!$E$2:$E$5010=LD_01[[#This Row],[DOCUMENTO]])))</f>
        <v>R02, R03</v>
      </c>
      <c r="K262" s="12" cm="1">
        <f t="array" ref="K262">_xlfn.UNIQUE(_xlfn._xlws.FILTER(ARQUIVOS[DATA RECEBIMENTO],(ARQUIVOS[DOCUMENTO]=LD_01[[#This Row],[DOCUMENTO]])*(ARQUIVOS[REVISÃO]=LD_01[[#This Row],[REVISÃO]])))</f>
        <v>45895</v>
      </c>
      <c r="L2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M262" s="6" t="str">
        <f>LD_01[[#This Row],[PASTA]]&amp;"/"&amp;LD_01[[#This Row],[ARQUIVO]]</f>
        <v>MSV-163MS-510-511/28.PV/MSV-163MS-510-511-ACA-EXE-DE-I2-003-R03.pdf</v>
      </c>
    </row>
    <row r="263" spans="1:13" hidden="1" x14ac:dyDescent="0.3">
      <c r="A263" s="6" t="s">
        <v>3062</v>
      </c>
      <c r="B263" s="6" t="str">
        <f>VLOOKUP(LD_01[[#This Row],[DOCUMENTO]],_xlfn.SORTBY(ARQUIVOS_RECEBIDOS!$E$2:$F$5010,ARQUIVOS_RECEBIDOS!$F$2:$F$5010,-1),2,)</f>
        <v>R06</v>
      </c>
      <c r="C263" s="15" t="s">
        <v>5987</v>
      </c>
      <c r="D263" s="6" t="s">
        <v>4311</v>
      </c>
      <c r="E263" s="8" t="s">
        <v>4109</v>
      </c>
      <c r="F263" s="8" t="s">
        <v>4143</v>
      </c>
      <c r="G263" s="6" t="str">
        <f>_xlfn.XLOOKUP(LD_01[[#This Row],[DISCIPLINA]],'CLASSES DE PROJETOS'!$F$3:$F$37,'CLASSES DE PROJETOS'!$C$3:$C$37)</f>
        <v>PV</v>
      </c>
      <c r="H263" t="str">
        <f>_xlfn.TEXTJOIN("/",TRUE,"MSV-163MS-"&amp;LD_01[[#This Row],[TRECHO]],_xlfn.XLOOKUP(LD_01[[#This Row],[SIGLA]],'CLASSES DE PROJETOS'!$C$3:$C$37,'CLASSES DE PROJETOS'!$E$3:$E$37))</f>
        <v>MSV-163MS-510-511/28.PV</v>
      </c>
      <c r="I263" s="6" t="str" cm="1">
        <f t="array" ref="I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J263" s="6" t="str" cm="1">
        <f t="array" ref="J263">_xlfn.TEXTJOIN(", ",TRUE,_xlfn.UNIQUE(_xlfn._xlws.FILTER(ARQUIVOS_RECEBIDOS!$F$2:$F$5010,ARQUIVOS_RECEBIDOS!$E$2:$E$5010=LD_01[[#This Row],[DOCUMENTO]])))</f>
        <v>R04, R06</v>
      </c>
      <c r="K263" s="12" cm="1">
        <f t="array" ref="K263">_xlfn.UNIQUE(_xlfn._xlws.FILTER(ARQUIVOS[DATA RECEBIMENTO],(ARQUIVOS[DOCUMENTO]=LD_01[[#This Row],[DOCUMENTO]])*(ARQUIVOS[REVISÃO]=LD_01[[#This Row],[REVISÃO]])))</f>
        <v>45895</v>
      </c>
      <c r="L2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M263" s="6" t="str">
        <f>LD_01[[#This Row],[PASTA]]&amp;"/"&amp;LD_01[[#This Row],[ARQUIVO]]</f>
        <v>MSV-163MS-510-511/28.PV/MSV-163MS-510-511-ACA-EXE-DE-I2-004-R06.pdf</v>
      </c>
    </row>
    <row r="264" spans="1:13" hidden="1" x14ac:dyDescent="0.3">
      <c r="A264" s="6" t="s">
        <v>3063</v>
      </c>
      <c r="B264" s="6" t="str">
        <f>VLOOKUP(LD_01[[#This Row],[DOCUMENTO]],_xlfn.SORTBY(ARQUIVOS_RECEBIDOS!$E$2:$F$5010,ARQUIVOS_RECEBIDOS!$F$2:$F$5010,-1),2,)</f>
        <v>R05</v>
      </c>
      <c r="C264" s="15" t="s">
        <v>5987</v>
      </c>
      <c r="D264" s="6" t="s">
        <v>4311</v>
      </c>
      <c r="E264" s="8" t="s">
        <v>4089</v>
      </c>
      <c r="F264" s="8" t="s">
        <v>4143</v>
      </c>
      <c r="G264" s="6" t="str">
        <f>_xlfn.XLOOKUP(LD_01[[#This Row],[DISCIPLINA]],'CLASSES DE PROJETOS'!$F$3:$F$37,'CLASSES DE PROJETOS'!$C$3:$C$37)</f>
        <v>PV</v>
      </c>
      <c r="H264" t="str">
        <f>_xlfn.TEXTJOIN("/",TRUE,"MSV-163MS-"&amp;LD_01[[#This Row],[TRECHO]],_xlfn.XLOOKUP(LD_01[[#This Row],[SIGLA]],'CLASSES DE PROJETOS'!$C$3:$C$37,'CLASSES DE PROJETOS'!$E$3:$E$37))</f>
        <v>MSV-163MS-510-511/28.PV</v>
      </c>
      <c r="I264" s="6" t="str" cm="1">
        <f t="array" ref="I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J264" s="6" t="str" cm="1">
        <f t="array" ref="J264">_xlfn.TEXTJOIN(", ",TRUE,_xlfn.UNIQUE(_xlfn._xlws.FILTER(ARQUIVOS_RECEBIDOS!$F$2:$F$5010,ARQUIVOS_RECEBIDOS!$E$2:$E$5010=LD_01[[#This Row],[DOCUMENTO]])))</f>
        <v>R04, R05</v>
      </c>
      <c r="K264" s="12" cm="1">
        <f t="array" ref="K264">_xlfn.UNIQUE(_xlfn._xlws.FILTER(ARQUIVOS[DATA RECEBIMENTO],(ARQUIVOS[DOCUMENTO]=LD_01[[#This Row],[DOCUMENTO]])*(ARQUIVOS[REVISÃO]=LD_01[[#This Row],[REVISÃO]])))</f>
        <v>45895</v>
      </c>
      <c r="L2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M264" s="6" t="str">
        <f>LD_01[[#This Row],[PASTA]]&amp;"/"&amp;LD_01[[#This Row],[ARQUIVO]]</f>
        <v>MSV-163MS-510-511/28.PV/MSV-163MS-510-511-ACA-EXE-DE-I2-005-R05.pdf</v>
      </c>
    </row>
    <row r="265" spans="1:13" hidden="1" x14ac:dyDescent="0.3">
      <c r="A265" s="6" t="s">
        <v>3054</v>
      </c>
      <c r="B265" s="6" t="str">
        <f>VLOOKUP(LD_01[[#This Row],[DOCUMENTO]],_xlfn.SORTBY(ARQUIVOS_RECEBIDOS!$E$2:$F$5010,ARQUIVOS_RECEBIDOS!$F$2:$F$5010,-1),2,)</f>
        <v>R05</v>
      </c>
      <c r="C265" s="15" t="s">
        <v>5987</v>
      </c>
      <c r="D265" s="6" t="s">
        <v>4311</v>
      </c>
      <c r="E265" s="8" t="s">
        <v>4083</v>
      </c>
      <c r="F265" s="8" t="s">
        <v>4331</v>
      </c>
      <c r="G265" s="6" t="str">
        <f>_xlfn.XLOOKUP(LD_01[[#This Row],[DISCIPLINA]],'CLASSES DE PROJETOS'!$F$3:$F$37,'CLASSES DE PROJETOS'!$C$3:$C$37)</f>
        <v>SI</v>
      </c>
      <c r="H265" t="str">
        <f>_xlfn.TEXTJOIN("/",TRUE,"MSV-163MS-"&amp;LD_01[[#This Row],[TRECHO]],_xlfn.XLOOKUP(LD_01[[#This Row],[SIGLA]],'CLASSES DE PROJETOS'!$C$3:$C$37,'CLASSES DE PROJETOS'!$E$3:$E$37))</f>
        <v>MSV-163MS-510-511/31.SI</v>
      </c>
      <c r="I265" s="6" t="str" cm="1">
        <f t="array" ref="I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J265" s="6" t="str" cm="1">
        <f t="array" ref="J265">_xlfn.TEXTJOIN(", ",TRUE,_xlfn.UNIQUE(_xlfn._xlws.FILTER(ARQUIVOS_RECEBIDOS!$F$2:$F$5010,ARQUIVOS_RECEBIDOS!$E$2:$E$5010=LD_01[[#This Row],[DOCUMENTO]])))</f>
        <v>R04, R05</v>
      </c>
      <c r="K265" s="12" cm="1">
        <f t="array" ref="K265">_xlfn.UNIQUE(_xlfn._xlws.FILTER(ARQUIVOS[DATA RECEBIMENTO],(ARQUIVOS[DOCUMENTO]=LD_01[[#This Row],[DOCUMENTO]])*(ARQUIVOS[REVISÃO]=LD_01[[#This Row],[REVISÃO]])))</f>
        <v>45895</v>
      </c>
      <c r="L2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M265" s="6" t="str">
        <f>LD_01[[#This Row],[PASTA]]&amp;"/"&amp;LD_01[[#This Row],[ARQUIVO]]</f>
        <v>MSV-163MS-510-511/31.SI/MSV-163MS-510-511-ACA-EXE-DE-J1-001-R05.pdf</v>
      </c>
    </row>
    <row r="266" spans="1:13" hidden="1" x14ac:dyDescent="0.3">
      <c r="A266" s="6" t="s">
        <v>3055</v>
      </c>
      <c r="B266" s="6" t="str">
        <f>VLOOKUP(LD_01[[#This Row],[DOCUMENTO]],_xlfn.SORTBY(ARQUIVOS_RECEBIDOS!$E$2:$F$5010,ARQUIVOS_RECEBIDOS!$F$2:$F$5010,-1),2,)</f>
        <v>R04</v>
      </c>
      <c r="C266" s="15" t="s">
        <v>5987</v>
      </c>
      <c r="D266" s="6" t="s">
        <v>4311</v>
      </c>
      <c r="E266" s="8" t="s">
        <v>4083</v>
      </c>
      <c r="F266" s="8" t="s">
        <v>4331</v>
      </c>
      <c r="G266" s="6" t="str">
        <f>_xlfn.XLOOKUP(LD_01[[#This Row],[DISCIPLINA]],'CLASSES DE PROJETOS'!$F$3:$F$37,'CLASSES DE PROJETOS'!$C$3:$C$37)</f>
        <v>SI</v>
      </c>
      <c r="H266" t="str">
        <f>_xlfn.TEXTJOIN("/",TRUE,"MSV-163MS-"&amp;LD_01[[#This Row],[TRECHO]],_xlfn.XLOOKUP(LD_01[[#This Row],[SIGLA]],'CLASSES DE PROJETOS'!$C$3:$C$37,'CLASSES DE PROJETOS'!$E$3:$E$37))</f>
        <v>MSV-163MS-510-511/31.SI</v>
      </c>
      <c r="I266" s="6" t="str" cm="1">
        <f t="array" ref="I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J266" s="6" t="str" cm="1">
        <f t="array" ref="J266">_xlfn.TEXTJOIN(", ",TRUE,_xlfn.UNIQUE(_xlfn._xlws.FILTER(ARQUIVOS_RECEBIDOS!$F$2:$F$5010,ARQUIVOS_RECEBIDOS!$E$2:$E$5010=LD_01[[#This Row],[DOCUMENTO]])))</f>
        <v>R04</v>
      </c>
      <c r="K266" s="12" cm="1">
        <f t="array" ref="K266">_xlfn.UNIQUE(_xlfn._xlws.FILTER(ARQUIVOS[DATA RECEBIMENTO],(ARQUIVOS[DOCUMENTO]=LD_01[[#This Row],[DOCUMENTO]])*(ARQUIVOS[REVISÃO]=LD_01[[#This Row],[REVISÃO]])))</f>
        <v>45838</v>
      </c>
      <c r="L2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M266" s="6" t="str">
        <f>LD_01[[#This Row],[PASTA]]&amp;"/"&amp;LD_01[[#This Row],[ARQUIVO]]</f>
        <v>MSV-163MS-510-511/31.SI/MSV-163MS-510-511-ACA-EXE-DE-J1-002-R04.pdf</v>
      </c>
    </row>
    <row r="267" spans="1:13" hidden="1" x14ac:dyDescent="0.3">
      <c r="A267" s="6" t="s">
        <v>3056</v>
      </c>
      <c r="B267" s="6" t="str">
        <f>VLOOKUP(LD_01[[#This Row],[DOCUMENTO]],_xlfn.SORTBY(ARQUIVOS_RECEBIDOS!$E$2:$F$5010,ARQUIVOS_RECEBIDOS!$F$2:$F$5010,-1),2,)</f>
        <v>R01</v>
      </c>
      <c r="C267" s="15" t="s">
        <v>5987</v>
      </c>
      <c r="D267" s="6" t="s">
        <v>4311</v>
      </c>
      <c r="E267" s="8" t="s">
        <v>4084</v>
      </c>
      <c r="F267" s="8" t="s">
        <v>4331</v>
      </c>
      <c r="G267" s="6" t="str">
        <f>_xlfn.XLOOKUP(LD_01[[#This Row],[DISCIPLINA]],'CLASSES DE PROJETOS'!$F$3:$F$37,'CLASSES DE PROJETOS'!$C$3:$C$37)</f>
        <v>SI</v>
      </c>
      <c r="H267" t="str">
        <f>_xlfn.TEXTJOIN("/",TRUE,"MSV-163MS-"&amp;LD_01[[#This Row],[TRECHO]],_xlfn.XLOOKUP(LD_01[[#This Row],[SIGLA]],'CLASSES DE PROJETOS'!$C$3:$C$37,'CLASSES DE PROJETOS'!$E$3:$E$37))</f>
        <v>MSV-163MS-510-511/31.SI</v>
      </c>
      <c r="I267" s="6" t="str" cm="1">
        <f t="array" ref="I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J267" s="6" t="str" cm="1">
        <f t="array" ref="J267">_xlfn.TEXTJOIN(", ",TRUE,_xlfn.UNIQUE(_xlfn._xlws.FILTER(ARQUIVOS_RECEBIDOS!$F$2:$F$5010,ARQUIVOS_RECEBIDOS!$E$2:$E$5010=LD_01[[#This Row],[DOCUMENTO]])))</f>
        <v>R01</v>
      </c>
      <c r="K267" s="12" cm="1">
        <f t="array" ref="K267">_xlfn.UNIQUE(_xlfn._xlws.FILTER(ARQUIVOS[DATA RECEBIMENTO],(ARQUIVOS[DOCUMENTO]=LD_01[[#This Row],[DOCUMENTO]])*(ARQUIVOS[REVISÃO]=LD_01[[#This Row],[REVISÃO]])))</f>
        <v>45838</v>
      </c>
      <c r="L2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M267" s="6" t="str">
        <f>LD_01[[#This Row],[PASTA]]&amp;"/"&amp;LD_01[[#This Row],[ARQUIVO]]</f>
        <v>MSV-163MS-510-511/31.SI/MSV-163MS-510-511-ACA-EXE-DE-J1-003-R01.pdf</v>
      </c>
    </row>
    <row r="268" spans="1:13" hidden="1" x14ac:dyDescent="0.3">
      <c r="A268" s="6" t="s">
        <v>3057</v>
      </c>
      <c r="B268" s="6" t="str">
        <f>VLOOKUP(LD_01[[#This Row],[DOCUMENTO]],_xlfn.SORTBY(ARQUIVOS_RECEBIDOS!$E$2:$F$5010,ARQUIVOS_RECEBIDOS!$F$2:$F$5010,-1),2,)</f>
        <v>R02</v>
      </c>
      <c r="C268" s="15" t="s">
        <v>5987</v>
      </c>
      <c r="D268" s="6" t="s">
        <v>4311</v>
      </c>
      <c r="E268" s="8" t="s">
        <v>4085</v>
      </c>
      <c r="F268" s="8" t="s">
        <v>4331</v>
      </c>
      <c r="G268" s="6" t="str">
        <f>_xlfn.XLOOKUP(LD_01[[#This Row],[DISCIPLINA]],'CLASSES DE PROJETOS'!$F$3:$F$37,'CLASSES DE PROJETOS'!$C$3:$C$37)</f>
        <v>SI</v>
      </c>
      <c r="H268" t="str">
        <f>_xlfn.TEXTJOIN("/",TRUE,"MSV-163MS-"&amp;LD_01[[#This Row],[TRECHO]],_xlfn.XLOOKUP(LD_01[[#This Row],[SIGLA]],'CLASSES DE PROJETOS'!$C$3:$C$37,'CLASSES DE PROJETOS'!$E$3:$E$37))</f>
        <v>MSV-163MS-510-511/31.SI</v>
      </c>
      <c r="I268" s="6" t="str" cm="1">
        <f t="array" ref="I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J268" s="6" t="str" cm="1">
        <f t="array" ref="J268">_xlfn.TEXTJOIN(", ",TRUE,_xlfn.UNIQUE(_xlfn._xlws.FILTER(ARQUIVOS_RECEBIDOS!$F$2:$F$5010,ARQUIVOS_RECEBIDOS!$E$2:$E$5010=LD_01[[#This Row],[DOCUMENTO]])))</f>
        <v>R02</v>
      </c>
      <c r="K268" s="12" cm="1">
        <f t="array" ref="K268">_xlfn.UNIQUE(_xlfn._xlws.FILTER(ARQUIVOS[DATA RECEBIMENTO],(ARQUIVOS[DOCUMENTO]=LD_01[[#This Row],[DOCUMENTO]])*(ARQUIVOS[REVISÃO]=LD_01[[#This Row],[REVISÃO]])))</f>
        <v>45838</v>
      </c>
      <c r="L2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M268" s="6" t="str">
        <f>LD_01[[#This Row],[PASTA]]&amp;"/"&amp;LD_01[[#This Row],[ARQUIVO]]</f>
        <v>MSV-163MS-510-511/31.SI/MSV-163MS-510-511-ACA-EXE-DE-J1-004-R02.pdf</v>
      </c>
    </row>
    <row r="269" spans="1:13" hidden="1" x14ac:dyDescent="0.3">
      <c r="A269" s="6" t="s">
        <v>3058</v>
      </c>
      <c r="B269" s="6" t="str">
        <f>VLOOKUP(LD_01[[#This Row],[DOCUMENTO]],_xlfn.SORTBY(ARQUIVOS_RECEBIDOS!$E$2:$F$5010,ARQUIVOS_RECEBIDOS!$F$2:$F$5010,-1),2,)</f>
        <v>R00</v>
      </c>
      <c r="C269" s="15" t="s">
        <v>5987</v>
      </c>
      <c r="D269" s="6" t="s">
        <v>4311</v>
      </c>
      <c r="E269" s="8" t="s">
        <v>4086</v>
      </c>
      <c r="F269" s="8" t="s">
        <v>4331</v>
      </c>
      <c r="G269" s="6" t="str">
        <f>_xlfn.XLOOKUP(LD_01[[#This Row],[DISCIPLINA]],'CLASSES DE PROJETOS'!$F$3:$F$37,'CLASSES DE PROJETOS'!$C$3:$C$37)</f>
        <v>SI</v>
      </c>
      <c r="H269" t="str">
        <f>_xlfn.TEXTJOIN("/",TRUE,"MSV-163MS-"&amp;LD_01[[#This Row],[TRECHO]],_xlfn.XLOOKUP(LD_01[[#This Row],[SIGLA]],'CLASSES DE PROJETOS'!$C$3:$C$37,'CLASSES DE PROJETOS'!$E$3:$E$37))</f>
        <v>MSV-163MS-510-511/31.SI</v>
      </c>
      <c r="I269" s="6" t="str" cm="1">
        <f t="array" ref="I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J269" s="6" t="str" cm="1">
        <f t="array" ref="J269">_xlfn.TEXTJOIN(", ",TRUE,_xlfn.UNIQUE(_xlfn._xlws.FILTER(ARQUIVOS_RECEBIDOS!$F$2:$F$5010,ARQUIVOS_RECEBIDOS!$E$2:$E$5010=LD_01[[#This Row],[DOCUMENTO]])))</f>
        <v>R00</v>
      </c>
      <c r="K269" s="12" cm="1">
        <f t="array" ref="K269">_xlfn.UNIQUE(_xlfn._xlws.FILTER(ARQUIVOS[DATA RECEBIMENTO],(ARQUIVOS[DOCUMENTO]=LD_01[[#This Row],[DOCUMENTO]])*(ARQUIVOS[REVISÃO]=LD_01[[#This Row],[REVISÃO]])))</f>
        <v>45838</v>
      </c>
      <c r="L2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M269" s="6" t="str">
        <f>LD_01[[#This Row],[PASTA]]&amp;"/"&amp;LD_01[[#This Row],[ARQUIVO]]</f>
        <v>MSV-163MS-510-511/31.SI/MSV-163MS-510-511-ACA-EXE-DE-J1-005-R00.pdf</v>
      </c>
    </row>
    <row r="270" spans="1:13" ht="43.2" hidden="1" x14ac:dyDescent="0.3">
      <c r="A270" s="6" t="s">
        <v>3066</v>
      </c>
      <c r="B270" s="6" t="str">
        <f>VLOOKUP(LD_01[[#This Row],[DOCUMENTO]],_xlfn.SORTBY(ARQUIVOS_RECEBIDOS!$E$2:$F$5010,ARQUIVOS_RECEBIDOS!$F$2:$F$5010,-1),2,)</f>
        <v>R01</v>
      </c>
      <c r="C270" s="15" t="s">
        <v>5987</v>
      </c>
      <c r="D270" s="6" t="s">
        <v>4311</v>
      </c>
      <c r="E270" s="8" t="s">
        <v>4184</v>
      </c>
      <c r="F270" s="8" t="s">
        <v>4337</v>
      </c>
      <c r="G270" s="6" t="str">
        <f>_xlfn.XLOOKUP(LD_01[[#This Row],[DISCIPLINA]],'CLASSES DE PROJETOS'!$F$3:$F$37,'CLASSES DE PROJETOS'!$C$3:$C$37)</f>
        <v>EL</v>
      </c>
      <c r="H270" t="str">
        <f>_xlfn.TEXTJOIN("/",TRUE,"MSV-163MS-"&amp;LD_01[[#This Row],[TRECHO]],_xlfn.XLOOKUP(LD_01[[#This Row],[SIGLA]],'CLASSES DE PROJETOS'!$C$3:$C$37,'CLASSES DE PROJETOS'!$E$3:$E$37))</f>
        <v>MSV-163MS-510-511/14.EL</v>
      </c>
      <c r="I270" s="6" t="str" cm="1">
        <f t="array" ref="I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J270" s="6" t="str" cm="1">
        <f t="array" ref="J270">_xlfn.TEXTJOIN(", ",TRUE,_xlfn.UNIQUE(_xlfn._xlws.FILTER(ARQUIVOS_RECEBIDOS!$F$2:$F$5010,ARQUIVOS_RECEBIDOS!$E$2:$E$5010=LD_01[[#This Row],[DOCUMENTO]])))</f>
        <v>R01</v>
      </c>
      <c r="K270" s="12" cm="1">
        <f t="array" ref="K270">_xlfn.UNIQUE(_xlfn._xlws.FILTER(ARQUIVOS[DATA RECEBIMENTO],(ARQUIVOS[DOCUMENTO]=LD_01[[#This Row],[DOCUMENTO]])*(ARQUIVOS[REVISÃO]=LD_01[[#This Row],[REVISÃO]])))</f>
        <v>45838</v>
      </c>
      <c r="L2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M270" s="6" t="str">
        <f>LD_01[[#This Row],[PASTA]]&amp;"/"&amp;LD_01[[#This Row],[ARQUIVO]]</f>
        <v>MSV-163MS-510-511/14.EL/MSV-163MS-510-511-ACA-EXE-DE-K2-001-R01.pdf</v>
      </c>
    </row>
    <row r="271" spans="1:13" ht="43.2" hidden="1" x14ac:dyDescent="0.3">
      <c r="A271" s="6" t="s">
        <v>3067</v>
      </c>
      <c r="B271" s="6" t="str">
        <f>VLOOKUP(LD_01[[#This Row],[DOCUMENTO]],_xlfn.SORTBY(ARQUIVOS_RECEBIDOS!$E$2:$F$5010,ARQUIVOS_RECEBIDOS!$F$2:$F$5010,-1),2,)</f>
        <v>R01</v>
      </c>
      <c r="C271" s="15" t="s">
        <v>5987</v>
      </c>
      <c r="D271" s="6" t="s">
        <v>4311</v>
      </c>
      <c r="E271" s="8" t="s">
        <v>4185</v>
      </c>
      <c r="F271" s="8" t="s">
        <v>4337</v>
      </c>
      <c r="G271" s="6" t="str">
        <f>_xlfn.XLOOKUP(LD_01[[#This Row],[DISCIPLINA]],'CLASSES DE PROJETOS'!$F$3:$F$37,'CLASSES DE PROJETOS'!$C$3:$C$37)</f>
        <v>EL</v>
      </c>
      <c r="H271" t="str">
        <f>_xlfn.TEXTJOIN("/",TRUE,"MSV-163MS-"&amp;LD_01[[#This Row],[TRECHO]],_xlfn.XLOOKUP(LD_01[[#This Row],[SIGLA]],'CLASSES DE PROJETOS'!$C$3:$C$37,'CLASSES DE PROJETOS'!$E$3:$E$37))</f>
        <v>MSV-163MS-510-511/14.EL</v>
      </c>
      <c r="I271" s="6" t="str" cm="1">
        <f t="array" ref="I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J271" s="6" t="str" cm="1">
        <f t="array" ref="J271">_xlfn.TEXTJOIN(", ",TRUE,_xlfn.UNIQUE(_xlfn._xlws.FILTER(ARQUIVOS_RECEBIDOS!$F$2:$F$5010,ARQUIVOS_RECEBIDOS!$E$2:$E$5010=LD_01[[#This Row],[DOCUMENTO]])))</f>
        <v>R01</v>
      </c>
      <c r="K271" s="12" cm="1">
        <f t="array" ref="K271">_xlfn.UNIQUE(_xlfn._xlws.FILTER(ARQUIVOS[DATA RECEBIMENTO],(ARQUIVOS[DOCUMENTO]=LD_01[[#This Row],[DOCUMENTO]])*(ARQUIVOS[REVISÃO]=LD_01[[#This Row],[REVISÃO]])))</f>
        <v>45838</v>
      </c>
      <c r="L2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M271" s="6" t="str">
        <f>LD_01[[#This Row],[PASTA]]&amp;"/"&amp;LD_01[[#This Row],[ARQUIVO]]</f>
        <v>MSV-163MS-510-511/14.EL/MSV-163MS-510-511-ACA-EXE-DE-K2-002-R01.pdf</v>
      </c>
    </row>
    <row r="272" spans="1:13" ht="43.2" hidden="1" x14ac:dyDescent="0.3">
      <c r="A272" s="6" t="s">
        <v>3068</v>
      </c>
      <c r="B272" s="6" t="str">
        <f>VLOOKUP(LD_01[[#This Row],[DOCUMENTO]],_xlfn.SORTBY(ARQUIVOS_RECEBIDOS!$E$2:$F$5010,ARQUIVOS_RECEBIDOS!$F$2:$F$5010,-1),2,)</f>
        <v>R03</v>
      </c>
      <c r="C272" s="15" t="s">
        <v>5987</v>
      </c>
      <c r="D272" s="6" t="s">
        <v>4311</v>
      </c>
      <c r="E272" s="8" t="s">
        <v>4186</v>
      </c>
      <c r="F272" s="8" t="s">
        <v>4337</v>
      </c>
      <c r="G272" s="6" t="str">
        <f>_xlfn.XLOOKUP(LD_01[[#This Row],[DISCIPLINA]],'CLASSES DE PROJETOS'!$F$3:$F$37,'CLASSES DE PROJETOS'!$C$3:$C$37)</f>
        <v>EL</v>
      </c>
      <c r="H272" t="str">
        <f>_xlfn.TEXTJOIN("/",TRUE,"MSV-163MS-"&amp;LD_01[[#This Row],[TRECHO]],_xlfn.XLOOKUP(LD_01[[#This Row],[SIGLA]],'CLASSES DE PROJETOS'!$C$3:$C$37,'CLASSES DE PROJETOS'!$E$3:$E$37))</f>
        <v>MSV-163MS-510-511/14.EL</v>
      </c>
      <c r="I272" s="6" t="str" cm="1">
        <f t="array" ref="I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J272" s="6" t="str" cm="1">
        <f t="array" ref="J272">_xlfn.TEXTJOIN(", ",TRUE,_xlfn.UNIQUE(_xlfn._xlws.FILTER(ARQUIVOS_RECEBIDOS!$F$2:$F$5010,ARQUIVOS_RECEBIDOS!$E$2:$E$5010=LD_01[[#This Row],[DOCUMENTO]])))</f>
        <v>R02, R03</v>
      </c>
      <c r="K272" s="12" cm="1">
        <f t="array" ref="K272">_xlfn.UNIQUE(_xlfn._xlws.FILTER(ARQUIVOS[DATA RECEBIMENTO],(ARQUIVOS[DOCUMENTO]=LD_01[[#This Row],[DOCUMENTO]])*(ARQUIVOS[REVISÃO]=LD_01[[#This Row],[REVISÃO]])))</f>
        <v>45946</v>
      </c>
      <c r="L2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M272" s="6" t="str">
        <f>LD_01[[#This Row],[PASTA]]&amp;"/"&amp;LD_01[[#This Row],[ARQUIVO]]</f>
        <v>MSV-163MS-510-511/14.EL/MSV-163MS-510-511-ACA-EXE-DE-K2-003-R03.pdf</v>
      </c>
    </row>
    <row r="273" spans="1:13" ht="43.2" hidden="1" x14ac:dyDescent="0.3">
      <c r="A273" s="6" t="s">
        <v>3069</v>
      </c>
      <c r="B273" s="6" t="str">
        <f>VLOOKUP(LD_01[[#This Row],[DOCUMENTO]],_xlfn.SORTBY(ARQUIVOS_RECEBIDOS!$E$2:$F$5010,ARQUIVOS_RECEBIDOS!$F$2:$F$5010,-1),2,)</f>
        <v>R03</v>
      </c>
      <c r="C273" s="15" t="s">
        <v>5987</v>
      </c>
      <c r="D273" s="6" t="s">
        <v>4311</v>
      </c>
      <c r="E273" s="8" t="s">
        <v>4186</v>
      </c>
      <c r="F273" s="8" t="s">
        <v>4337</v>
      </c>
      <c r="G273" s="6" t="str">
        <f>_xlfn.XLOOKUP(LD_01[[#This Row],[DISCIPLINA]],'CLASSES DE PROJETOS'!$F$3:$F$37,'CLASSES DE PROJETOS'!$C$3:$C$37)</f>
        <v>EL</v>
      </c>
      <c r="H273" t="str">
        <f>_xlfn.TEXTJOIN("/",TRUE,"MSV-163MS-"&amp;LD_01[[#This Row],[TRECHO]],_xlfn.XLOOKUP(LD_01[[#This Row],[SIGLA]],'CLASSES DE PROJETOS'!$C$3:$C$37,'CLASSES DE PROJETOS'!$E$3:$E$37))</f>
        <v>MSV-163MS-510-511/14.EL</v>
      </c>
      <c r="I273" s="6" t="str" cm="1">
        <f t="array" ref="I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J273" s="6" t="str" cm="1">
        <f t="array" ref="J273">_xlfn.TEXTJOIN(", ",TRUE,_xlfn.UNIQUE(_xlfn._xlws.FILTER(ARQUIVOS_RECEBIDOS!$F$2:$F$5010,ARQUIVOS_RECEBIDOS!$E$2:$E$5010=LD_01[[#This Row],[DOCUMENTO]])))</f>
        <v>R02, R03</v>
      </c>
      <c r="K273" s="12" cm="1">
        <f t="array" ref="K273">_xlfn.UNIQUE(_xlfn._xlws.FILTER(ARQUIVOS[DATA RECEBIMENTO],(ARQUIVOS[DOCUMENTO]=LD_01[[#This Row],[DOCUMENTO]])*(ARQUIVOS[REVISÃO]=LD_01[[#This Row],[REVISÃO]])))</f>
        <v>45946</v>
      </c>
      <c r="L2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M273" s="6" t="str">
        <f>LD_01[[#This Row],[PASTA]]&amp;"/"&amp;LD_01[[#This Row],[ARQUIVO]]</f>
        <v>MSV-163MS-510-511/14.EL/MSV-163MS-510-511-ACA-EXE-DE-K2-004-R03.pdf</v>
      </c>
    </row>
    <row r="274" spans="1:13" ht="43.2" hidden="1" x14ac:dyDescent="0.3">
      <c r="A274" s="6" t="s">
        <v>3070</v>
      </c>
      <c r="B274" s="6" t="str">
        <f>VLOOKUP(LD_01[[#This Row],[DOCUMENTO]],_xlfn.SORTBY(ARQUIVOS_RECEBIDOS!$E$2:$F$5010,ARQUIVOS_RECEBIDOS!$F$2:$F$5010,-1),2,)</f>
        <v>R02</v>
      </c>
      <c r="C274" s="15" t="s">
        <v>5987</v>
      </c>
      <c r="D274" s="6" t="s">
        <v>4311</v>
      </c>
      <c r="E274" s="8" t="s">
        <v>4187</v>
      </c>
      <c r="F274" s="8" t="s">
        <v>4337</v>
      </c>
      <c r="G274" s="6" t="str">
        <f>_xlfn.XLOOKUP(LD_01[[#This Row],[DISCIPLINA]],'CLASSES DE PROJETOS'!$F$3:$F$37,'CLASSES DE PROJETOS'!$C$3:$C$37)</f>
        <v>EL</v>
      </c>
      <c r="H274" t="str">
        <f>_xlfn.TEXTJOIN("/",TRUE,"MSV-163MS-"&amp;LD_01[[#This Row],[TRECHO]],_xlfn.XLOOKUP(LD_01[[#This Row],[SIGLA]],'CLASSES DE PROJETOS'!$C$3:$C$37,'CLASSES DE PROJETOS'!$E$3:$E$37))</f>
        <v>MSV-163MS-510-511/14.EL</v>
      </c>
      <c r="I274" s="6" t="str" cm="1">
        <f t="array" ref="I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J274" s="6" t="str" cm="1">
        <f t="array" ref="J274">_xlfn.TEXTJOIN(", ",TRUE,_xlfn.UNIQUE(_xlfn._xlws.FILTER(ARQUIVOS_RECEBIDOS!$F$2:$F$5010,ARQUIVOS_RECEBIDOS!$E$2:$E$5010=LD_01[[#This Row],[DOCUMENTO]])))</f>
        <v>R01, R02</v>
      </c>
      <c r="K274" s="12" cm="1">
        <f t="array" ref="K274">_xlfn.UNIQUE(_xlfn._xlws.FILTER(ARQUIVOS[DATA RECEBIMENTO],(ARQUIVOS[DOCUMENTO]=LD_01[[#This Row],[DOCUMENTO]])*(ARQUIVOS[REVISÃO]=LD_01[[#This Row],[REVISÃO]])))</f>
        <v>45895</v>
      </c>
      <c r="L2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M274" s="6" t="str">
        <f>LD_01[[#This Row],[PASTA]]&amp;"/"&amp;LD_01[[#This Row],[ARQUIVO]]</f>
        <v>MSV-163MS-510-511/14.EL/MSV-163MS-510-511-ACA-EXE-DE-K2-005-R02.pdf</v>
      </c>
    </row>
    <row r="275" spans="1:13" ht="43.2" hidden="1" x14ac:dyDescent="0.3">
      <c r="A275" s="6" t="s">
        <v>3080</v>
      </c>
      <c r="B275" s="6" t="str">
        <f>VLOOKUP(LD_01[[#This Row],[DOCUMENTO]],_xlfn.SORTBY(ARQUIVOS_RECEBIDOS!$E$2:$F$5010,ARQUIVOS_RECEBIDOS!$F$2:$F$5010,-1),2,)</f>
        <v>R04</v>
      </c>
      <c r="C275" s="15" t="s">
        <v>5987</v>
      </c>
      <c r="D275" s="6" t="s">
        <v>4311</v>
      </c>
      <c r="E275" s="8" t="s">
        <v>4170</v>
      </c>
      <c r="F275" s="8" t="s">
        <v>4333</v>
      </c>
      <c r="G275" s="6" t="str">
        <f>_xlfn.XLOOKUP(LD_01[[#This Row],[DISCIPLINA]],'CLASSES DE PROJETOS'!$F$3:$F$37,'CLASSES DE PROJETOS'!$C$3:$C$37)</f>
        <v>IN</v>
      </c>
      <c r="H275" t="str">
        <f>_xlfn.TEXTJOIN("/",TRUE,"MSV-163MS-"&amp;LD_01[[#This Row],[TRECHO]],_xlfn.XLOOKUP(LD_01[[#This Row],[SIGLA]],'CLASSES DE PROJETOS'!$C$3:$C$37,'CLASSES DE PROJETOS'!$E$3:$E$37))</f>
        <v>MSV-163MS-510-511/23.IN</v>
      </c>
      <c r="I275" s="6" t="str" cm="1">
        <f t="array" ref="I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J275" s="6" t="str" cm="1">
        <f t="array" ref="J275">_xlfn.TEXTJOIN(", ",TRUE,_xlfn.UNIQUE(_xlfn._xlws.FILTER(ARQUIVOS_RECEBIDOS!$F$2:$F$5010,ARQUIVOS_RECEBIDOS!$E$2:$E$5010=LD_01[[#This Row],[DOCUMENTO]])))</f>
        <v>R04</v>
      </c>
      <c r="K275" s="12" cm="1">
        <f t="array" ref="K275">_xlfn.UNIQUE(_xlfn._xlws.FILTER(ARQUIVOS[DATA RECEBIMENTO],(ARQUIVOS[DOCUMENTO]=LD_01[[#This Row],[DOCUMENTO]])*(ARQUIVOS[REVISÃO]=LD_01[[#This Row],[REVISÃO]])))</f>
        <v>45838</v>
      </c>
      <c r="L2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M275" s="6" t="str">
        <f>LD_01[[#This Row],[PASTA]]&amp;"/"&amp;LD_01[[#This Row],[ARQUIVO]]</f>
        <v>MSV-163MS-510-511/23.IN/MSV-163MS-510-511-ACA-EXE-DE-M1-001-R04.pdf</v>
      </c>
    </row>
    <row r="276" spans="1:13" ht="43.2" hidden="1" x14ac:dyDescent="0.3">
      <c r="A276" s="6" t="s">
        <v>3081</v>
      </c>
      <c r="B276" s="6" t="str">
        <f>VLOOKUP(LD_01[[#This Row],[DOCUMENTO]],_xlfn.SORTBY(ARQUIVOS_RECEBIDOS!$E$2:$F$5010,ARQUIVOS_RECEBIDOS!$F$2:$F$5010,-1),2,)</f>
        <v>R03</v>
      </c>
      <c r="C276" s="15" t="s">
        <v>5987</v>
      </c>
      <c r="D276" s="6" t="s">
        <v>4311</v>
      </c>
      <c r="E276" s="8" t="s">
        <v>4170</v>
      </c>
      <c r="F276" s="8" t="s">
        <v>4333</v>
      </c>
      <c r="G276" s="6" t="str">
        <f>_xlfn.XLOOKUP(LD_01[[#This Row],[DISCIPLINA]],'CLASSES DE PROJETOS'!$F$3:$F$37,'CLASSES DE PROJETOS'!$C$3:$C$37)</f>
        <v>IN</v>
      </c>
      <c r="H276" t="str">
        <f>_xlfn.TEXTJOIN("/",TRUE,"MSV-163MS-"&amp;LD_01[[#This Row],[TRECHO]],_xlfn.XLOOKUP(LD_01[[#This Row],[SIGLA]],'CLASSES DE PROJETOS'!$C$3:$C$37,'CLASSES DE PROJETOS'!$E$3:$E$37))</f>
        <v>MSV-163MS-510-511/23.IN</v>
      </c>
      <c r="I276" s="6" t="str" cm="1">
        <f t="array" ref="I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J276" s="6" t="str" cm="1">
        <f t="array" ref="J276">_xlfn.TEXTJOIN(", ",TRUE,_xlfn.UNIQUE(_xlfn._xlws.FILTER(ARQUIVOS_RECEBIDOS!$F$2:$F$5010,ARQUIVOS_RECEBIDOS!$E$2:$E$5010=LD_01[[#This Row],[DOCUMENTO]])))</f>
        <v>R03</v>
      </c>
      <c r="K276" s="12" cm="1">
        <f t="array" ref="K276">_xlfn.UNIQUE(_xlfn._xlws.FILTER(ARQUIVOS[DATA RECEBIMENTO],(ARQUIVOS[DOCUMENTO]=LD_01[[#This Row],[DOCUMENTO]])*(ARQUIVOS[REVISÃO]=LD_01[[#This Row],[REVISÃO]])))</f>
        <v>45838</v>
      </c>
      <c r="L2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M276" s="6" t="str">
        <f>LD_01[[#This Row],[PASTA]]&amp;"/"&amp;LD_01[[#This Row],[ARQUIVO]]</f>
        <v>MSV-163MS-510-511/23.IN/MSV-163MS-510-511-ACA-EXE-DE-M1-002-R03.pdf</v>
      </c>
    </row>
    <row r="277" spans="1:13" ht="28.8" hidden="1" x14ac:dyDescent="0.3">
      <c r="A277" s="6" t="s">
        <v>3090</v>
      </c>
      <c r="B277" s="6" t="str">
        <f>VLOOKUP(LD_01[[#This Row],[DOCUMENTO]],_xlfn.SORTBY(ARQUIVOS_RECEBIDOS!$E$2:$F$5010,ARQUIVOS_RECEBIDOS!$F$2:$F$5010,-1),2,)</f>
        <v>R04</v>
      </c>
      <c r="C277" s="15" t="s">
        <v>5987</v>
      </c>
      <c r="D277" s="6" t="s">
        <v>4311</v>
      </c>
      <c r="E277" s="8" t="s">
        <v>4168</v>
      </c>
      <c r="F277" s="8" t="s">
        <v>4334</v>
      </c>
      <c r="G277" s="6" t="str">
        <f>_xlfn.XLOOKUP(LD_01[[#This Row],[DISCIPLINA]],'CLASSES DE PROJETOS'!$F$3:$F$37,'CLASSES DE PROJETOS'!$C$3:$C$37)</f>
        <v>PA</v>
      </c>
      <c r="H277" t="str">
        <f>_xlfn.TEXTJOIN("/",TRUE,"MSV-163MS-"&amp;LD_01[[#This Row],[TRECHO]],_xlfn.XLOOKUP(LD_01[[#This Row],[SIGLA]],'CLASSES DE PROJETOS'!$C$3:$C$37,'CLASSES DE PROJETOS'!$E$3:$E$37))</f>
        <v>MSV-163MS-510-511/27.PA</v>
      </c>
      <c r="I277" s="6" t="str" cm="1">
        <f t="array" ref="I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J277" s="6" t="str" cm="1">
        <f t="array" ref="J277">_xlfn.TEXTJOIN(", ",TRUE,_xlfn.UNIQUE(_xlfn._xlws.FILTER(ARQUIVOS_RECEBIDOS!$F$2:$F$5010,ARQUIVOS_RECEBIDOS!$E$2:$E$5010=LD_01[[#This Row],[DOCUMENTO]])))</f>
        <v>R04</v>
      </c>
      <c r="K277" s="12" cm="1">
        <f t="array" ref="K277">_xlfn.UNIQUE(_xlfn._xlws.FILTER(ARQUIVOS[DATA RECEBIMENTO],(ARQUIVOS[DOCUMENTO]=LD_01[[#This Row],[DOCUMENTO]])*(ARQUIVOS[REVISÃO]=LD_01[[#This Row],[REVISÃO]])))</f>
        <v>45838</v>
      </c>
      <c r="L2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M277" s="6" t="str">
        <f>LD_01[[#This Row],[PASTA]]&amp;"/"&amp;LD_01[[#This Row],[ARQUIVO]]</f>
        <v>MSV-163MS-510-511/27.PA/MSV-163MS-510-511-ACA-EXE-DE-N2-001-R04.pdf</v>
      </c>
    </row>
    <row r="278" spans="1:13" ht="28.8" hidden="1" x14ac:dyDescent="0.3">
      <c r="A278" s="6" t="s">
        <v>3091</v>
      </c>
      <c r="B278" s="6" t="str">
        <f>VLOOKUP(LD_01[[#This Row],[DOCUMENTO]],_xlfn.SORTBY(ARQUIVOS_RECEBIDOS!$E$2:$F$5010,ARQUIVOS_RECEBIDOS!$F$2:$F$5010,-1),2,)</f>
        <v>R04</v>
      </c>
      <c r="C278" s="15" t="s">
        <v>5987</v>
      </c>
      <c r="D278" s="6" t="s">
        <v>4311</v>
      </c>
      <c r="E278" s="8" t="s">
        <v>4168</v>
      </c>
      <c r="F278" s="8" t="s">
        <v>4334</v>
      </c>
      <c r="G278" s="6" t="str">
        <f>_xlfn.XLOOKUP(LD_01[[#This Row],[DISCIPLINA]],'CLASSES DE PROJETOS'!$F$3:$F$37,'CLASSES DE PROJETOS'!$C$3:$C$37)</f>
        <v>PA</v>
      </c>
      <c r="H278" t="str">
        <f>_xlfn.TEXTJOIN("/",TRUE,"MSV-163MS-"&amp;LD_01[[#This Row],[TRECHO]],_xlfn.XLOOKUP(LD_01[[#This Row],[SIGLA]],'CLASSES DE PROJETOS'!$C$3:$C$37,'CLASSES DE PROJETOS'!$E$3:$E$37))</f>
        <v>MSV-163MS-510-511/27.PA</v>
      </c>
      <c r="I278" s="6" t="str" cm="1">
        <f t="array" ref="I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J278" s="6" t="str" cm="1">
        <f t="array" ref="J278">_xlfn.TEXTJOIN(", ",TRUE,_xlfn.UNIQUE(_xlfn._xlws.FILTER(ARQUIVOS_RECEBIDOS!$F$2:$F$5010,ARQUIVOS_RECEBIDOS!$E$2:$E$5010=LD_01[[#This Row],[DOCUMENTO]])))</f>
        <v>R04</v>
      </c>
      <c r="K278" s="12" cm="1">
        <f t="array" ref="K278">_xlfn.UNIQUE(_xlfn._xlws.FILTER(ARQUIVOS[DATA RECEBIMENTO],(ARQUIVOS[DOCUMENTO]=LD_01[[#This Row],[DOCUMENTO]])*(ARQUIVOS[REVISÃO]=LD_01[[#This Row],[REVISÃO]])))</f>
        <v>45838</v>
      </c>
      <c r="L2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M278" s="6" t="str">
        <f>LD_01[[#This Row],[PASTA]]&amp;"/"&amp;LD_01[[#This Row],[ARQUIVO]]</f>
        <v>MSV-163MS-510-511/27.PA/MSV-163MS-510-511-ACA-EXE-DE-N2-002-R04.pdf</v>
      </c>
    </row>
    <row r="279" spans="1:13" ht="28.8" hidden="1" x14ac:dyDescent="0.3">
      <c r="A279" s="6" t="s">
        <v>3083</v>
      </c>
      <c r="B279" s="6" t="str">
        <f>VLOOKUP(LD_01[[#This Row],[DOCUMENTO]],_xlfn.SORTBY(ARQUIVOS_RECEBIDOS!$E$2:$F$5010,ARQUIVOS_RECEBIDOS!$F$2:$F$5010,-1),2,)</f>
        <v>R03</v>
      </c>
      <c r="C279" s="15" t="s">
        <v>5987</v>
      </c>
      <c r="D279" s="6" t="s">
        <v>4311</v>
      </c>
      <c r="E279" s="8" t="s">
        <v>4087</v>
      </c>
      <c r="F279" s="8" t="s">
        <v>4144</v>
      </c>
      <c r="G279" s="6" t="str">
        <f>_xlfn.XLOOKUP(LD_01[[#This Row],[DISCIPLINA]],'CLASSES DE PROJETOS'!$F$3:$F$37,'CLASSES DE PROJETOS'!$C$3:$C$37)</f>
        <v>DV</v>
      </c>
      <c r="H279" t="str">
        <f>_xlfn.TEXTJOIN("/",TRUE,"MSV-163MS-"&amp;LD_01[[#This Row],[TRECHO]],_xlfn.XLOOKUP(LD_01[[#This Row],[SIGLA]],'CLASSES DE PROJETOS'!$C$3:$C$37,'CLASSES DE PROJETOS'!$E$3:$E$37))</f>
        <v>MSV-163MS-510-511/12.DV</v>
      </c>
      <c r="I279" s="6" t="str" cm="1">
        <f t="array" ref="I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J279" s="6" t="str" cm="1">
        <f t="array" ref="J279">_xlfn.TEXTJOIN(", ",TRUE,_xlfn.UNIQUE(_xlfn._xlws.FILTER(ARQUIVOS_RECEBIDOS!$F$2:$F$5010,ARQUIVOS_RECEBIDOS!$E$2:$E$5010=LD_01[[#This Row],[DOCUMENTO]])))</f>
        <v>R03</v>
      </c>
      <c r="K279" s="12" cm="1">
        <f t="array" ref="K279">_xlfn.UNIQUE(_xlfn._xlws.FILTER(ARQUIVOS[DATA RECEBIMENTO],(ARQUIVOS[DOCUMENTO]=LD_01[[#This Row],[DOCUMENTO]])*(ARQUIVOS[REVISÃO]=LD_01[[#This Row],[REVISÃO]])))</f>
        <v>45838</v>
      </c>
      <c r="L2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M279" s="6" t="str">
        <f>LD_01[[#This Row],[PASTA]]&amp;"/"&amp;LD_01[[#This Row],[ARQUIVO]]</f>
        <v>MSV-163MS-510-511/12.DV/MSV-163MS-510-511-ACA-EXE-DE-O2-001-R03.pdf</v>
      </c>
    </row>
    <row r="280" spans="1:13" ht="28.8" hidden="1" x14ac:dyDescent="0.3">
      <c r="A280" s="6" t="s">
        <v>3084</v>
      </c>
      <c r="B280" s="6" t="str">
        <f>VLOOKUP(LD_01[[#This Row],[DOCUMENTO]],_xlfn.SORTBY(ARQUIVOS_RECEBIDOS!$E$2:$F$5010,ARQUIVOS_RECEBIDOS!$F$2:$F$5010,-1),2,)</f>
        <v>R03</v>
      </c>
      <c r="C280" s="15" t="s">
        <v>5987</v>
      </c>
      <c r="D280" s="6" t="s">
        <v>4311</v>
      </c>
      <c r="E280" s="8" t="s">
        <v>4087</v>
      </c>
      <c r="F280" s="8" t="s">
        <v>4144</v>
      </c>
      <c r="G280" s="6" t="str">
        <f>_xlfn.XLOOKUP(LD_01[[#This Row],[DISCIPLINA]],'CLASSES DE PROJETOS'!$F$3:$F$37,'CLASSES DE PROJETOS'!$C$3:$C$37)</f>
        <v>DV</v>
      </c>
      <c r="H280" t="str">
        <f>_xlfn.TEXTJOIN("/",TRUE,"MSV-163MS-"&amp;LD_01[[#This Row],[TRECHO]],_xlfn.XLOOKUP(LD_01[[#This Row],[SIGLA]],'CLASSES DE PROJETOS'!$C$3:$C$37,'CLASSES DE PROJETOS'!$E$3:$E$37))</f>
        <v>MSV-163MS-510-511/12.DV</v>
      </c>
      <c r="I280" s="6" t="str" cm="1">
        <f t="array" ref="I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J280" s="6" t="str" cm="1">
        <f t="array" ref="J280">_xlfn.TEXTJOIN(", ",TRUE,_xlfn.UNIQUE(_xlfn._xlws.FILTER(ARQUIVOS_RECEBIDOS!$F$2:$F$5010,ARQUIVOS_RECEBIDOS!$E$2:$E$5010=LD_01[[#This Row],[DOCUMENTO]])))</f>
        <v>R03</v>
      </c>
      <c r="K280" s="12" cm="1">
        <f t="array" ref="K280">_xlfn.UNIQUE(_xlfn._xlws.FILTER(ARQUIVOS[DATA RECEBIMENTO],(ARQUIVOS[DOCUMENTO]=LD_01[[#This Row],[DOCUMENTO]])*(ARQUIVOS[REVISÃO]=LD_01[[#This Row],[REVISÃO]])))</f>
        <v>45838</v>
      </c>
      <c r="L2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M280" s="6" t="str">
        <f>LD_01[[#This Row],[PASTA]]&amp;"/"&amp;LD_01[[#This Row],[ARQUIVO]]</f>
        <v>MSV-163MS-510-511/12.DV/MSV-163MS-510-511-ACA-EXE-DE-O2-002-R03.pdf</v>
      </c>
    </row>
    <row r="281" spans="1:13" ht="28.8" hidden="1" x14ac:dyDescent="0.3">
      <c r="A281" s="6" t="s">
        <v>3085</v>
      </c>
      <c r="B281" s="6" t="str">
        <f>VLOOKUP(LD_01[[#This Row],[DOCUMENTO]],_xlfn.SORTBY(ARQUIVOS_RECEBIDOS!$E$2:$F$5010,ARQUIVOS_RECEBIDOS!$F$2:$F$5010,-1),2,)</f>
        <v>R01</v>
      </c>
      <c r="C281" s="15" t="s">
        <v>5987</v>
      </c>
      <c r="D281" s="6" t="s">
        <v>4311</v>
      </c>
      <c r="E281" s="8" t="s">
        <v>4089</v>
      </c>
      <c r="F281" s="8" t="s">
        <v>4144</v>
      </c>
      <c r="G281" s="6" t="str">
        <f>_xlfn.XLOOKUP(LD_01[[#This Row],[DISCIPLINA]],'CLASSES DE PROJETOS'!$F$3:$F$37,'CLASSES DE PROJETOS'!$C$3:$C$37)</f>
        <v>DV</v>
      </c>
      <c r="H281" t="str">
        <f>_xlfn.TEXTJOIN("/",TRUE,"MSV-163MS-"&amp;LD_01[[#This Row],[TRECHO]],_xlfn.XLOOKUP(LD_01[[#This Row],[SIGLA]],'CLASSES DE PROJETOS'!$C$3:$C$37,'CLASSES DE PROJETOS'!$E$3:$E$37))</f>
        <v>MSV-163MS-510-511/12.DV</v>
      </c>
      <c r="I281" s="6" t="str" cm="1">
        <f t="array" ref="I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J281" s="6" t="str" cm="1">
        <f t="array" ref="J281">_xlfn.TEXTJOIN(", ",TRUE,_xlfn.UNIQUE(_xlfn._xlws.FILTER(ARQUIVOS_RECEBIDOS!$F$2:$F$5010,ARQUIVOS_RECEBIDOS!$E$2:$E$5010=LD_01[[#This Row],[DOCUMENTO]])))</f>
        <v>R01</v>
      </c>
      <c r="K281" s="12" cm="1">
        <f t="array" ref="K281">_xlfn.UNIQUE(_xlfn._xlws.FILTER(ARQUIVOS[DATA RECEBIMENTO],(ARQUIVOS[DOCUMENTO]=LD_01[[#This Row],[DOCUMENTO]])*(ARQUIVOS[REVISÃO]=LD_01[[#This Row],[REVISÃO]])))</f>
        <v>45838</v>
      </c>
      <c r="L2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M281" s="6" t="str">
        <f>LD_01[[#This Row],[PASTA]]&amp;"/"&amp;LD_01[[#This Row],[ARQUIVO]]</f>
        <v>MSV-163MS-510-511/12.DV/MSV-163MS-510-511-ACA-EXE-DE-O2-003-R01.pdf</v>
      </c>
    </row>
    <row r="282" spans="1:13" ht="28.8" hidden="1" x14ac:dyDescent="0.3">
      <c r="A282" s="6" t="s">
        <v>3086</v>
      </c>
      <c r="B282" s="6" t="str">
        <f>VLOOKUP(LD_01[[#This Row],[DOCUMENTO]],_xlfn.SORTBY(ARQUIVOS_RECEBIDOS!$E$2:$F$5010,ARQUIVOS_RECEBIDOS!$F$2:$F$5010,-1),2,)</f>
        <v>R00</v>
      </c>
      <c r="C282" s="15" t="s">
        <v>5987</v>
      </c>
      <c r="D282" s="6" t="s">
        <v>4311</v>
      </c>
      <c r="E282" s="8" t="s">
        <v>4171</v>
      </c>
      <c r="F282" s="8" t="s">
        <v>4144</v>
      </c>
      <c r="G282" s="6" t="str">
        <f>_xlfn.XLOOKUP(LD_01[[#This Row],[DISCIPLINA]],'CLASSES DE PROJETOS'!$F$3:$F$37,'CLASSES DE PROJETOS'!$C$3:$C$37)</f>
        <v>DV</v>
      </c>
      <c r="H282" t="str">
        <f>_xlfn.TEXTJOIN("/",TRUE,"MSV-163MS-"&amp;LD_01[[#This Row],[TRECHO]],_xlfn.XLOOKUP(LD_01[[#This Row],[SIGLA]],'CLASSES DE PROJETOS'!$C$3:$C$37,'CLASSES DE PROJETOS'!$E$3:$E$37))</f>
        <v>MSV-163MS-510-511/12.DV</v>
      </c>
      <c r="I282" s="6" t="str" cm="1">
        <f t="array" ref="I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J282" s="6" t="str" cm="1">
        <f t="array" ref="J282">_xlfn.TEXTJOIN(", ",TRUE,_xlfn.UNIQUE(_xlfn._xlws.FILTER(ARQUIVOS_RECEBIDOS!$F$2:$F$5010,ARQUIVOS_RECEBIDOS!$E$2:$E$5010=LD_01[[#This Row],[DOCUMENTO]])))</f>
        <v>R00</v>
      </c>
      <c r="K282" s="12" cm="1">
        <f t="array" ref="K282">_xlfn.UNIQUE(_xlfn._xlws.FILTER(ARQUIVOS[DATA RECEBIMENTO],(ARQUIVOS[DOCUMENTO]=LD_01[[#This Row],[DOCUMENTO]])*(ARQUIVOS[REVISÃO]=LD_01[[#This Row],[REVISÃO]])))</f>
        <v>45838</v>
      </c>
      <c r="L2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M282" s="6" t="str">
        <f>LD_01[[#This Row],[PASTA]]&amp;"/"&amp;LD_01[[#This Row],[ARQUIVO]]</f>
        <v>MSV-163MS-510-511/12.DV/MSV-163MS-510-511-ACA-EXE-DE-O2-004-R00.pdf</v>
      </c>
    </row>
    <row r="283" spans="1:13" ht="28.8" hidden="1" x14ac:dyDescent="0.3">
      <c r="A283" s="6" t="s">
        <v>3087</v>
      </c>
      <c r="B283" s="6" t="str">
        <f>VLOOKUP(LD_01[[#This Row],[DOCUMENTO]],_xlfn.SORTBY(ARQUIVOS_RECEBIDOS!$E$2:$F$5010,ARQUIVOS_RECEBIDOS!$F$2:$F$5010,-1),2,)</f>
        <v>R00</v>
      </c>
      <c r="C283" s="15" t="s">
        <v>5987</v>
      </c>
      <c r="D283" s="6" t="s">
        <v>4311</v>
      </c>
      <c r="E283" s="8" t="s">
        <v>4247</v>
      </c>
      <c r="F283" s="8" t="s">
        <v>4144</v>
      </c>
      <c r="G283" s="6" t="str">
        <f>_xlfn.XLOOKUP(LD_01[[#This Row],[DISCIPLINA]],'CLASSES DE PROJETOS'!$F$3:$F$37,'CLASSES DE PROJETOS'!$C$3:$C$37)</f>
        <v>DV</v>
      </c>
      <c r="H283" t="str">
        <f>_xlfn.TEXTJOIN("/",TRUE,"MSV-163MS-"&amp;LD_01[[#This Row],[TRECHO]],_xlfn.XLOOKUP(LD_01[[#This Row],[SIGLA]],'CLASSES DE PROJETOS'!$C$3:$C$37,'CLASSES DE PROJETOS'!$E$3:$E$37))</f>
        <v>MSV-163MS-510-511/12.DV</v>
      </c>
      <c r="I283" s="6" t="str" cm="1">
        <f t="array" ref="I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J283" s="6" t="str" cm="1">
        <f t="array" ref="J283">_xlfn.TEXTJOIN(", ",TRUE,_xlfn.UNIQUE(_xlfn._xlws.FILTER(ARQUIVOS_RECEBIDOS!$F$2:$F$5010,ARQUIVOS_RECEBIDOS!$E$2:$E$5010=LD_01[[#This Row],[DOCUMENTO]])))</f>
        <v>R00</v>
      </c>
      <c r="K283" s="12" cm="1">
        <f t="array" ref="K283">_xlfn.UNIQUE(_xlfn._xlws.FILTER(ARQUIVOS[DATA RECEBIMENTO],(ARQUIVOS[DOCUMENTO]=LD_01[[#This Row],[DOCUMENTO]])*(ARQUIVOS[REVISÃO]=LD_01[[#This Row],[REVISÃO]])))</f>
        <v>45838</v>
      </c>
      <c r="L2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M283" s="6" t="str">
        <f>LD_01[[#This Row],[PASTA]]&amp;"/"&amp;LD_01[[#This Row],[ARQUIVO]]</f>
        <v>MSV-163MS-510-511/12.DV/MSV-163MS-510-511-ACA-EXE-DE-O2-005-R00.pdf</v>
      </c>
    </row>
    <row r="284" spans="1:13" ht="28.8" hidden="1" x14ac:dyDescent="0.3">
      <c r="A284" s="6" t="s">
        <v>3088</v>
      </c>
      <c r="B284" s="6" t="str">
        <f>VLOOKUP(LD_01[[#This Row],[DOCUMENTO]],_xlfn.SORTBY(ARQUIVOS_RECEBIDOS!$E$2:$F$5010,ARQUIVOS_RECEBIDOS!$F$2:$F$5010,-1),2,)</f>
        <v>R01</v>
      </c>
      <c r="C284" s="15" t="s">
        <v>5987</v>
      </c>
      <c r="D284" s="6" t="s">
        <v>4311</v>
      </c>
      <c r="E284" s="8" t="s">
        <v>4172</v>
      </c>
      <c r="F284" s="8" t="s">
        <v>4144</v>
      </c>
      <c r="G284" s="6" t="str">
        <f>_xlfn.XLOOKUP(LD_01[[#This Row],[DISCIPLINA]],'CLASSES DE PROJETOS'!$F$3:$F$37,'CLASSES DE PROJETOS'!$C$3:$C$37)</f>
        <v>DV</v>
      </c>
      <c r="H284" t="str">
        <f>_xlfn.TEXTJOIN("/",TRUE,"MSV-163MS-"&amp;LD_01[[#This Row],[TRECHO]],_xlfn.XLOOKUP(LD_01[[#This Row],[SIGLA]],'CLASSES DE PROJETOS'!$C$3:$C$37,'CLASSES DE PROJETOS'!$E$3:$E$37))</f>
        <v>MSV-163MS-510-511/12.DV</v>
      </c>
      <c r="I284" s="6" t="str" cm="1">
        <f t="array" ref="I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J284" s="6" t="str" cm="1">
        <f t="array" ref="J284">_xlfn.TEXTJOIN(", ",TRUE,_xlfn.UNIQUE(_xlfn._xlws.FILTER(ARQUIVOS_RECEBIDOS!$F$2:$F$5010,ARQUIVOS_RECEBIDOS!$E$2:$E$5010=LD_01[[#This Row],[DOCUMENTO]])))</f>
        <v>R01</v>
      </c>
      <c r="K284" s="12" cm="1">
        <f t="array" ref="K284">_xlfn.UNIQUE(_xlfn._xlws.FILTER(ARQUIVOS[DATA RECEBIMENTO],(ARQUIVOS[DOCUMENTO]=LD_01[[#This Row],[DOCUMENTO]])*(ARQUIVOS[REVISÃO]=LD_01[[#This Row],[REVISÃO]])))</f>
        <v>45838</v>
      </c>
      <c r="L2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M284" s="6" t="str">
        <f>LD_01[[#This Row],[PASTA]]&amp;"/"&amp;LD_01[[#This Row],[ARQUIVO]]</f>
        <v>MSV-163MS-510-511/12.DV/MSV-163MS-510-511-ACA-EXE-DE-O2-006-R01.pdf</v>
      </c>
    </row>
    <row r="285" spans="1:13" ht="28.8" hidden="1" x14ac:dyDescent="0.3">
      <c r="A285" s="6" t="s">
        <v>3041</v>
      </c>
      <c r="B285" s="6" t="str">
        <f>VLOOKUP(LD_01[[#This Row],[DOCUMENTO]],_xlfn.SORTBY(ARQUIVOS_RECEBIDOS!$E$2:$F$5010,ARQUIVOS_RECEBIDOS!$F$2:$F$5010,-1),2,)</f>
        <v>R11</v>
      </c>
      <c r="C285" s="15" t="s">
        <v>5987</v>
      </c>
      <c r="D285" s="6" t="s">
        <v>4311</v>
      </c>
      <c r="E285" s="8" t="s">
        <v>4323</v>
      </c>
      <c r="F285" s="8" t="s">
        <v>4330</v>
      </c>
      <c r="G285" s="6" t="str">
        <f>_xlfn.XLOOKUP(LD_01[[#This Row],[DISCIPLINA]],'CLASSES DE PROJETOS'!$F$3:$F$37,'CLASSES DE PROJETOS'!$C$3:$C$37)</f>
        <v>TE</v>
      </c>
      <c r="H285" t="str">
        <f>_xlfn.TEXTJOIN("/",TRUE,"MSV-163MS-"&amp;LD_01[[#This Row],[TRECHO]],_xlfn.XLOOKUP(LD_01[[#This Row],[SIGLA]],'CLASSES DE PROJETOS'!$C$3:$C$37,'CLASSES DE PROJETOS'!$E$3:$E$37))</f>
        <v>MSV-163MS-510-511/32.TE</v>
      </c>
      <c r="I285" s="6" t="str" cm="1">
        <f t="array" ref="I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J285" s="6" t="str" cm="1">
        <f t="array" ref="J285">_xlfn.TEXTJOIN(", ",TRUE,_xlfn.UNIQUE(_xlfn._xlws.FILTER(ARQUIVOS_RECEBIDOS!$F$2:$F$5010,ARQUIVOS_RECEBIDOS!$E$2:$E$5010=LD_01[[#This Row],[DOCUMENTO]])))</f>
        <v>R11</v>
      </c>
      <c r="K285" s="12" cm="1">
        <f t="array" ref="K285">_xlfn.UNIQUE(_xlfn._xlws.FILTER(ARQUIVOS[DATA RECEBIMENTO],(ARQUIVOS[DOCUMENTO]=LD_01[[#This Row],[DOCUMENTO]])*(ARQUIVOS[REVISÃO]=LD_01[[#This Row],[REVISÃO]])))</f>
        <v>45838</v>
      </c>
      <c r="L2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M285" s="6" t="str">
        <f>LD_01[[#This Row],[PASTA]]&amp;"/"&amp;LD_01[[#This Row],[ARQUIVO]]</f>
        <v>MSV-163MS-510-511/32.TE/MSV-163MS-510-511-ACA-EXE-MC-G1-001-R11.pdf</v>
      </c>
    </row>
    <row r="286" spans="1:13" ht="28.8" hidden="1" x14ac:dyDescent="0.3">
      <c r="A286" s="6" t="s">
        <v>3052</v>
      </c>
      <c r="B286" s="6" t="str">
        <f>VLOOKUP(LD_01[[#This Row],[DOCUMENTO]],_xlfn.SORTBY(ARQUIVOS_RECEBIDOS!$E$2:$F$5010,ARQUIVOS_RECEBIDOS!$F$2:$F$5010,-1),2,)</f>
        <v>R04</v>
      </c>
      <c r="C286" s="15" t="s">
        <v>5987</v>
      </c>
      <c r="D286" s="6" t="s">
        <v>4311</v>
      </c>
      <c r="E286" s="8" t="s">
        <v>4081</v>
      </c>
      <c r="F286" s="8" t="s">
        <v>4142</v>
      </c>
      <c r="G286" s="6" t="str">
        <f>_xlfn.XLOOKUP(LD_01[[#This Row],[DISCIPLINA]],'CLASSES DE PROJETOS'!$F$3:$F$37,'CLASSES DE PROJETOS'!$C$3:$C$37)</f>
        <v>DR</v>
      </c>
      <c r="H286" t="str">
        <f>_xlfn.TEXTJOIN("/",TRUE,"MSV-163MS-"&amp;LD_01[[#This Row],[TRECHO]],_xlfn.XLOOKUP(LD_01[[#This Row],[SIGLA]],'CLASSES DE PROJETOS'!$C$3:$C$37,'CLASSES DE PROJETOS'!$E$3:$E$37))</f>
        <v>MSV-163MS-510-511/10.DR</v>
      </c>
      <c r="I286" s="6" t="str" cm="1">
        <f t="array" ref="I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J286" s="6" t="str" cm="1">
        <f t="array" ref="J286">_xlfn.TEXTJOIN(", ",TRUE,_xlfn.UNIQUE(_xlfn._xlws.FILTER(ARQUIVOS_RECEBIDOS!$F$2:$F$5010,ARQUIVOS_RECEBIDOS!$E$2:$E$5010=LD_01[[#This Row],[DOCUMENTO]])))</f>
        <v>R04</v>
      </c>
      <c r="K286" s="12" cm="1">
        <f t="array" ref="K286">_xlfn.UNIQUE(_xlfn._xlws.FILTER(ARQUIVOS[DATA RECEBIMENTO],(ARQUIVOS[DOCUMENTO]=LD_01[[#This Row],[DOCUMENTO]])*(ARQUIVOS[REVISÃO]=LD_01[[#This Row],[REVISÃO]])))</f>
        <v>45838</v>
      </c>
      <c r="L2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M286" s="6" t="str">
        <f>LD_01[[#This Row],[PASTA]]&amp;"/"&amp;LD_01[[#This Row],[ARQUIVO]]</f>
        <v>MSV-163MS-510-511/10.DR/MSV-163MS-510-511-ACA-EXE-MC-H2-001-R04.pdf</v>
      </c>
    </row>
    <row r="287" spans="1:13" ht="43.2" hidden="1" x14ac:dyDescent="0.3">
      <c r="A287" s="6" t="s">
        <v>3071</v>
      </c>
      <c r="B287" s="6" t="str">
        <f>VLOOKUP(LD_01[[#This Row],[DOCUMENTO]],_xlfn.SORTBY(ARQUIVOS_RECEBIDOS!$E$2:$F$5010,ARQUIVOS_RECEBIDOS!$F$2:$F$5010,-1),2,)</f>
        <v>R03</v>
      </c>
      <c r="C287" s="15" t="s">
        <v>5987</v>
      </c>
      <c r="D287" s="6" t="s">
        <v>4311</v>
      </c>
      <c r="E287" s="8" t="s">
        <v>4188</v>
      </c>
      <c r="F287" s="8" t="s">
        <v>4337</v>
      </c>
      <c r="G287" s="6" t="str">
        <f>_xlfn.XLOOKUP(LD_01[[#This Row],[DISCIPLINA]],'CLASSES DE PROJETOS'!$F$3:$F$37,'CLASSES DE PROJETOS'!$C$3:$C$37)</f>
        <v>EL</v>
      </c>
      <c r="H287" t="str">
        <f>_xlfn.TEXTJOIN("/",TRUE,"MSV-163MS-"&amp;LD_01[[#This Row],[TRECHO]],_xlfn.XLOOKUP(LD_01[[#This Row],[SIGLA]],'CLASSES DE PROJETOS'!$C$3:$C$37,'CLASSES DE PROJETOS'!$E$3:$E$37))</f>
        <v>MSV-163MS-510-511/14.EL</v>
      </c>
      <c r="I287" s="6" t="str" cm="1">
        <f t="array" ref="I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J287" s="6" t="str" cm="1">
        <f t="array" ref="J287">_xlfn.TEXTJOIN(", ",TRUE,_xlfn.UNIQUE(_xlfn._xlws.FILTER(ARQUIVOS_RECEBIDOS!$F$2:$F$5010,ARQUIVOS_RECEBIDOS!$E$2:$E$5010=LD_01[[#This Row],[DOCUMENTO]])))</f>
        <v>R03</v>
      </c>
      <c r="K287" s="12" cm="1">
        <f t="array" ref="K287">_xlfn.UNIQUE(_xlfn._xlws.FILTER(ARQUIVOS[DATA RECEBIMENTO],(ARQUIVOS[DOCUMENTO]=LD_01[[#This Row],[DOCUMENTO]])*(ARQUIVOS[REVISÃO]=LD_01[[#This Row],[REVISÃO]])))</f>
        <v>45838</v>
      </c>
      <c r="L2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M287" s="6" t="str">
        <f>LD_01[[#This Row],[PASTA]]&amp;"/"&amp;LD_01[[#This Row],[ARQUIVO]]</f>
        <v>MSV-163MS-510-511/14.EL/MSV-163MS-510-511-ACA-EXE-MC-K2-001-R03.pdf</v>
      </c>
    </row>
    <row r="288" spans="1:13" ht="43.2" hidden="1" x14ac:dyDescent="0.3">
      <c r="A288" s="6" t="s">
        <v>3072</v>
      </c>
      <c r="B288" s="6" t="str">
        <f>VLOOKUP(LD_01[[#This Row],[DOCUMENTO]],_xlfn.SORTBY(ARQUIVOS_RECEBIDOS!$E$2:$F$5010,ARQUIVOS_RECEBIDOS!$F$2:$F$5010,-1),2,)</f>
        <v>R02</v>
      </c>
      <c r="C288" s="15" t="s">
        <v>5987</v>
      </c>
      <c r="D288" s="6" t="s">
        <v>4311</v>
      </c>
      <c r="E288" s="8" t="s">
        <v>4189</v>
      </c>
      <c r="F288" s="8" t="s">
        <v>4337</v>
      </c>
      <c r="G288" s="6" t="str">
        <f>_xlfn.XLOOKUP(LD_01[[#This Row],[DISCIPLINA]],'CLASSES DE PROJETOS'!$F$3:$F$37,'CLASSES DE PROJETOS'!$C$3:$C$37)</f>
        <v>EL</v>
      </c>
      <c r="H288" t="str">
        <f>_xlfn.TEXTJOIN("/",TRUE,"MSV-163MS-"&amp;LD_01[[#This Row],[TRECHO]],_xlfn.XLOOKUP(LD_01[[#This Row],[SIGLA]],'CLASSES DE PROJETOS'!$C$3:$C$37,'CLASSES DE PROJETOS'!$E$3:$E$37))</f>
        <v>MSV-163MS-510-511/14.EL</v>
      </c>
      <c r="I288" s="6" t="str" cm="1">
        <f t="array" ref="I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J288" s="6" t="str" cm="1">
        <f t="array" ref="J288">_xlfn.TEXTJOIN(", ",TRUE,_xlfn.UNIQUE(_xlfn._xlws.FILTER(ARQUIVOS_RECEBIDOS!$F$2:$F$5010,ARQUIVOS_RECEBIDOS!$E$2:$E$5010=LD_01[[#This Row],[DOCUMENTO]])))</f>
        <v>R01, R02</v>
      </c>
      <c r="K288" s="12" cm="1">
        <f t="array" ref="K288">_xlfn.UNIQUE(_xlfn._xlws.FILTER(ARQUIVOS[DATA RECEBIMENTO],(ARQUIVOS[DOCUMENTO]=LD_01[[#This Row],[DOCUMENTO]])*(ARQUIVOS[REVISÃO]=LD_01[[#This Row],[REVISÃO]])))</f>
        <v>45895</v>
      </c>
      <c r="L2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M288" s="6" t="str">
        <f>LD_01[[#This Row],[PASTA]]&amp;"/"&amp;LD_01[[#This Row],[ARQUIVO]]</f>
        <v>MSV-163MS-510-511/14.EL/MSV-163MS-510-511-ACA-EXE-MC-K2-002-R02.pdf</v>
      </c>
    </row>
    <row r="289" spans="1:13" ht="28.8" hidden="1" x14ac:dyDescent="0.3">
      <c r="A289" s="6" t="s">
        <v>3053</v>
      </c>
      <c r="B289" s="6" t="str">
        <f>VLOOKUP(LD_01[[#This Row],[DOCUMENTO]],_xlfn.SORTBY(ARQUIVOS_RECEBIDOS!$E$2:$F$5010,ARQUIVOS_RECEBIDOS!$F$2:$F$5010,-1),2,)</f>
        <v>R01</v>
      </c>
      <c r="C289" s="15" t="s">
        <v>5987</v>
      </c>
      <c r="D289" s="6" t="s">
        <v>4311</v>
      </c>
      <c r="E289" s="8" t="s">
        <v>4082</v>
      </c>
      <c r="F289" s="8" t="s">
        <v>4142</v>
      </c>
      <c r="G289" s="6" t="str">
        <f>_xlfn.XLOOKUP(LD_01[[#This Row],[DISCIPLINA]],'CLASSES DE PROJETOS'!$F$3:$F$37,'CLASSES DE PROJETOS'!$C$3:$C$37)</f>
        <v>DR</v>
      </c>
      <c r="H289" t="str">
        <f>_xlfn.TEXTJOIN("/",TRUE,"MSV-163MS-"&amp;LD_01[[#This Row],[TRECHO]],_xlfn.XLOOKUP(LD_01[[#This Row],[SIGLA]],'CLASSES DE PROJETOS'!$C$3:$C$37,'CLASSES DE PROJETOS'!$E$3:$E$37))</f>
        <v>MSV-163MS-510-511/10.DR</v>
      </c>
      <c r="I289" s="6" t="str" cm="1">
        <f t="array" ref="I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J289" s="6" t="str" cm="1">
        <f t="array" ref="J289">_xlfn.TEXTJOIN(", ",TRUE,_xlfn.UNIQUE(_xlfn._xlws.FILTER(ARQUIVOS_RECEBIDOS!$F$2:$F$5010,ARQUIVOS_RECEBIDOS!$E$2:$E$5010=LD_01[[#This Row],[DOCUMENTO]])))</f>
        <v>R01</v>
      </c>
      <c r="K289" s="12" cm="1">
        <f t="array" ref="K289">_xlfn.UNIQUE(_xlfn._xlws.FILTER(ARQUIVOS[DATA RECEBIMENTO],(ARQUIVOS[DOCUMENTO]=LD_01[[#This Row],[DOCUMENTO]])*(ARQUIVOS[REVISÃO]=LD_01[[#This Row],[REVISÃO]])))</f>
        <v>45838</v>
      </c>
      <c r="L2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M289" s="6" t="str">
        <f>LD_01[[#This Row],[PASTA]]&amp;"/"&amp;LD_01[[#This Row],[ARQUIVO]]</f>
        <v>MSV-163MS-510-511/10.DR/MSV-163MS-510-511-ACA-EXE-MD-H1-001.R01.pdf</v>
      </c>
    </row>
    <row r="290" spans="1:13" hidden="1" x14ac:dyDescent="0.3">
      <c r="A290" s="6" t="s">
        <v>3064</v>
      </c>
      <c r="B290" s="6" t="str">
        <f>VLOOKUP(LD_01[[#This Row],[DOCUMENTO]],_xlfn.SORTBY(ARQUIVOS_RECEBIDOS!$E$2:$F$5010,ARQUIVOS_RECEBIDOS!$F$2:$F$5010,-1),2,)</f>
        <v>R04</v>
      </c>
      <c r="C290" s="15" t="s">
        <v>5987</v>
      </c>
      <c r="D290" s="6" t="s">
        <v>4311</v>
      </c>
      <c r="E290" s="8" t="s">
        <v>4090</v>
      </c>
      <c r="F290" s="8" t="s">
        <v>4143</v>
      </c>
      <c r="G290" s="6" t="str">
        <f>_xlfn.XLOOKUP(LD_01[[#This Row],[DISCIPLINA]],'CLASSES DE PROJETOS'!$F$3:$F$37,'CLASSES DE PROJETOS'!$C$3:$C$37)</f>
        <v>PV</v>
      </c>
      <c r="H290" t="str">
        <f>_xlfn.TEXTJOIN("/",TRUE,"MSV-163MS-"&amp;LD_01[[#This Row],[TRECHO]],_xlfn.XLOOKUP(LD_01[[#This Row],[SIGLA]],'CLASSES DE PROJETOS'!$C$3:$C$37,'CLASSES DE PROJETOS'!$E$3:$E$37))</f>
        <v>MSV-163MS-510-511/28.PV</v>
      </c>
      <c r="I290" s="6" t="str" cm="1">
        <f t="array" ref="I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J290" s="6" t="str" cm="1">
        <f t="array" ref="J290">_xlfn.TEXTJOIN(", ",TRUE,_xlfn.UNIQUE(_xlfn._xlws.FILTER(ARQUIVOS_RECEBIDOS!$F$2:$F$5010,ARQUIVOS_RECEBIDOS!$E$2:$E$5010=LD_01[[#This Row],[DOCUMENTO]])))</f>
        <v>R04</v>
      </c>
      <c r="K290" s="12" cm="1">
        <f t="array" ref="K290">_xlfn.UNIQUE(_xlfn._xlws.FILTER(ARQUIVOS[DATA RECEBIMENTO],(ARQUIVOS[DOCUMENTO]=LD_01[[#This Row],[DOCUMENTO]])*(ARQUIVOS[REVISÃO]=LD_01[[#This Row],[REVISÃO]])))</f>
        <v>45838</v>
      </c>
      <c r="L2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M290" s="6" t="str">
        <f>LD_01[[#This Row],[PASTA]]&amp;"/"&amp;LD_01[[#This Row],[ARQUIVO]]</f>
        <v>MSV-163MS-510-511/28.PV/MSV-163MS-510-511-ACA-EXE-MD-I2-001-R04.pdf</v>
      </c>
    </row>
    <row r="291" spans="1:13" ht="28.8" hidden="1" x14ac:dyDescent="0.3">
      <c r="A291" s="6" t="s">
        <v>4061</v>
      </c>
      <c r="B291" s="6" t="str">
        <f>VLOOKUP(LD_01[[#This Row],[DOCUMENTO]],_xlfn.SORTBY(ARQUIVOS_RECEBIDOS!$E$2:$F$5010,ARQUIVOS_RECEBIDOS!$F$2:$F$5010,-1),2,)</f>
        <v>R00</v>
      </c>
      <c r="C291" s="15" t="s">
        <v>5987</v>
      </c>
      <c r="D291" s="6" t="s">
        <v>4311</v>
      </c>
      <c r="E291" s="8" t="s">
        <v>4245</v>
      </c>
      <c r="F291" s="8" t="s">
        <v>4331</v>
      </c>
      <c r="G291" s="6" t="str">
        <f>_xlfn.XLOOKUP(LD_01[[#This Row],[DISCIPLINA]],'CLASSES DE PROJETOS'!$F$3:$F$37,'CLASSES DE PROJETOS'!$C$3:$C$37)</f>
        <v>SI</v>
      </c>
      <c r="H291" t="str">
        <f>_xlfn.TEXTJOIN("/",TRUE,"MSV-163MS-"&amp;LD_01[[#This Row],[TRECHO]],_xlfn.XLOOKUP(LD_01[[#This Row],[SIGLA]],'CLASSES DE PROJETOS'!$C$3:$C$37,'CLASSES DE PROJETOS'!$E$3:$E$37))</f>
        <v>MSV-163MS-510-511/31.SI</v>
      </c>
      <c r="I291" s="6" t="str" cm="1">
        <f t="array" ref="I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J291" s="6" t="str" cm="1">
        <f t="array" ref="J291">_xlfn.TEXTJOIN(", ",TRUE,_xlfn.UNIQUE(_xlfn._xlws.FILTER(ARQUIVOS_RECEBIDOS!$F$2:$F$5010,ARQUIVOS_RECEBIDOS!$E$2:$E$5010=LD_01[[#This Row],[DOCUMENTO]])))</f>
        <v>R00</v>
      </c>
      <c r="K291" s="12" cm="1">
        <f t="array" ref="K291">_xlfn.UNIQUE(_xlfn._xlws.FILTER(ARQUIVOS[DATA RECEBIMENTO],(ARQUIVOS[DOCUMENTO]=LD_01[[#This Row],[DOCUMENTO]])*(ARQUIVOS[REVISÃO]=LD_01[[#This Row],[REVISÃO]])))</f>
        <v>45895</v>
      </c>
      <c r="L2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M291" s="6" t="str">
        <f>LD_01[[#This Row],[PASTA]]&amp;"/"&amp;LD_01[[#This Row],[ARQUIVO]]</f>
        <v>MSV-163MS-510-511/31.SI/MSV-163MS-510-511-ACA-EXE-MD-J1-001-R00.pdf</v>
      </c>
    </row>
    <row r="292" spans="1:13" ht="43.2" hidden="1" x14ac:dyDescent="0.3">
      <c r="A292" s="6" t="s">
        <v>3073</v>
      </c>
      <c r="B292" s="6" t="str">
        <f>VLOOKUP(LD_01[[#This Row],[DOCUMENTO]],_xlfn.SORTBY(ARQUIVOS_RECEBIDOS!$E$2:$F$5010,ARQUIVOS_RECEBIDOS!$F$2:$F$5010,-1),2,)</f>
        <v>R03</v>
      </c>
      <c r="C292" s="15" t="s">
        <v>5987</v>
      </c>
      <c r="D292" s="6" t="s">
        <v>4311</v>
      </c>
      <c r="E292" s="8" t="s">
        <v>4190</v>
      </c>
      <c r="F292" s="8" t="s">
        <v>4337</v>
      </c>
      <c r="G292" s="6" t="str">
        <f>_xlfn.XLOOKUP(LD_01[[#This Row],[DISCIPLINA]],'CLASSES DE PROJETOS'!$F$3:$F$37,'CLASSES DE PROJETOS'!$C$3:$C$37)</f>
        <v>EL</v>
      </c>
      <c r="H292" t="str">
        <f>_xlfn.TEXTJOIN("/",TRUE,"MSV-163MS-"&amp;LD_01[[#This Row],[TRECHO]],_xlfn.XLOOKUP(LD_01[[#This Row],[SIGLA]],'CLASSES DE PROJETOS'!$C$3:$C$37,'CLASSES DE PROJETOS'!$E$3:$E$37))</f>
        <v>MSV-163MS-510-511/14.EL</v>
      </c>
      <c r="I292" s="6" t="str" cm="1">
        <f t="array" ref="I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J292" s="6" t="str" cm="1">
        <f t="array" ref="J292">_xlfn.TEXTJOIN(", ",TRUE,_xlfn.UNIQUE(_xlfn._xlws.FILTER(ARQUIVOS_RECEBIDOS!$F$2:$F$5010,ARQUIVOS_RECEBIDOS!$E$2:$E$5010=LD_01[[#This Row],[DOCUMENTO]])))</f>
        <v>R01, R03</v>
      </c>
      <c r="K292" s="12" cm="1">
        <f t="array" ref="K292">_xlfn.UNIQUE(_xlfn._xlws.FILTER(ARQUIVOS[DATA RECEBIMENTO],(ARQUIVOS[DOCUMENTO]=LD_01[[#This Row],[DOCUMENTO]])*(ARQUIVOS[REVISÃO]=LD_01[[#This Row],[REVISÃO]])))</f>
        <v>45946</v>
      </c>
      <c r="L2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M292" s="6" t="str">
        <f>LD_01[[#This Row],[PASTA]]&amp;"/"&amp;LD_01[[#This Row],[ARQUIVO]]</f>
        <v>MSV-163MS-510-511/14.EL/MSV-163MS-510-511-ACA-EXE-MD-K2-001-R03.pdf</v>
      </c>
    </row>
    <row r="293" spans="1:13" ht="28.8" hidden="1" x14ac:dyDescent="0.3">
      <c r="A293" s="6" t="s">
        <v>3092</v>
      </c>
      <c r="B293" s="6" t="str">
        <f>VLOOKUP(LD_01[[#This Row],[DOCUMENTO]],_xlfn.SORTBY(ARQUIVOS_RECEBIDOS!$E$2:$F$5010,ARQUIVOS_RECEBIDOS!$F$2:$F$5010,-1),2,)</f>
        <v>R00</v>
      </c>
      <c r="C293" s="15" t="s">
        <v>5987</v>
      </c>
      <c r="D293" s="6" t="s">
        <v>4311</v>
      </c>
      <c r="E293" s="8" t="s">
        <v>4169</v>
      </c>
      <c r="F293" s="8" t="s">
        <v>4334</v>
      </c>
      <c r="G293" s="6" t="str">
        <f>_xlfn.XLOOKUP(LD_01[[#This Row],[DISCIPLINA]],'CLASSES DE PROJETOS'!$F$3:$F$37,'CLASSES DE PROJETOS'!$C$3:$C$37)</f>
        <v>PA</v>
      </c>
      <c r="H293" t="str">
        <f>_xlfn.TEXTJOIN("/",TRUE,"MSV-163MS-"&amp;LD_01[[#This Row],[TRECHO]],_xlfn.XLOOKUP(LD_01[[#This Row],[SIGLA]],'CLASSES DE PROJETOS'!$C$3:$C$37,'CLASSES DE PROJETOS'!$E$3:$E$37))</f>
        <v>MSV-163MS-510-511/27.PA</v>
      </c>
      <c r="I293" s="6" t="str" cm="1">
        <f t="array" ref="I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J293" s="6" t="str" cm="1">
        <f t="array" ref="J293">_xlfn.TEXTJOIN(", ",TRUE,_xlfn.UNIQUE(_xlfn._xlws.FILTER(ARQUIVOS_RECEBIDOS!$F$2:$F$5010,ARQUIVOS_RECEBIDOS!$E$2:$E$5010=LD_01[[#This Row],[DOCUMENTO]])))</f>
        <v>R00</v>
      </c>
      <c r="K293" s="12" cm="1">
        <f t="array" ref="K293">_xlfn.UNIQUE(_xlfn._xlws.FILTER(ARQUIVOS[DATA RECEBIMENTO],(ARQUIVOS[DOCUMENTO]=LD_01[[#This Row],[DOCUMENTO]])*(ARQUIVOS[REVISÃO]=LD_01[[#This Row],[REVISÃO]])))</f>
        <v>45838</v>
      </c>
      <c r="L2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M293" s="6" t="str">
        <f>LD_01[[#This Row],[PASTA]]&amp;"/"&amp;LD_01[[#This Row],[ARQUIVO]]</f>
        <v>MSV-163MS-510-511/27.PA/MSV-163MS-510-511-ACA-EXE-MD-N2-001-R00.pdf</v>
      </c>
    </row>
    <row r="294" spans="1:13" ht="28.8" hidden="1" x14ac:dyDescent="0.3">
      <c r="A294" s="6" t="s">
        <v>3089</v>
      </c>
      <c r="B294" s="6" t="str">
        <f>VLOOKUP(LD_01[[#This Row],[DOCUMENTO]],_xlfn.SORTBY(ARQUIVOS_RECEBIDOS!$E$2:$F$5010,ARQUIVOS_RECEBIDOS!$F$2:$F$5010,-1),2,)</f>
        <v>R00</v>
      </c>
      <c r="C294" s="15" t="s">
        <v>5987</v>
      </c>
      <c r="D294" s="6" t="s">
        <v>4311</v>
      </c>
      <c r="E294" s="8" t="s">
        <v>4167</v>
      </c>
      <c r="F294" s="8" t="s">
        <v>4144</v>
      </c>
      <c r="G294" s="6" t="str">
        <f>_xlfn.XLOOKUP(LD_01[[#This Row],[DISCIPLINA]],'CLASSES DE PROJETOS'!$F$3:$F$37,'CLASSES DE PROJETOS'!$C$3:$C$37)</f>
        <v>DV</v>
      </c>
      <c r="H294" t="str">
        <f>_xlfn.TEXTJOIN("/",TRUE,"MSV-163MS-"&amp;LD_01[[#This Row],[TRECHO]],_xlfn.XLOOKUP(LD_01[[#This Row],[SIGLA]],'CLASSES DE PROJETOS'!$C$3:$C$37,'CLASSES DE PROJETOS'!$E$3:$E$37))</f>
        <v>MSV-163MS-510-511/12.DV</v>
      </c>
      <c r="I294" s="6" t="str" cm="1">
        <f t="array" ref="I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J294" s="6" t="str" cm="1">
        <f t="array" ref="J294">_xlfn.TEXTJOIN(", ",TRUE,_xlfn.UNIQUE(_xlfn._xlws.FILTER(ARQUIVOS_RECEBIDOS!$F$2:$F$5010,ARQUIVOS_RECEBIDOS!$E$2:$E$5010=LD_01[[#This Row],[DOCUMENTO]])))</f>
        <v>R00</v>
      </c>
      <c r="K294" s="12" cm="1">
        <f t="array" ref="K294">_xlfn.UNIQUE(_xlfn._xlws.FILTER(ARQUIVOS[DATA RECEBIMENTO],(ARQUIVOS[DOCUMENTO]=LD_01[[#This Row],[DOCUMENTO]])*(ARQUIVOS[REVISÃO]=LD_01[[#This Row],[REVISÃO]])))</f>
        <v>45838</v>
      </c>
      <c r="L2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M294" s="6" t="str">
        <f>LD_01[[#This Row],[PASTA]]&amp;"/"&amp;LD_01[[#This Row],[ARQUIVO]]</f>
        <v>MSV-163MS-510-511/12.DV/MSV-163MS-510-511-ACA-EXE-MD-O2-001-R00.pdf</v>
      </c>
    </row>
    <row r="295" spans="1:13" hidden="1" x14ac:dyDescent="0.3">
      <c r="A295" s="6" t="s">
        <v>3065</v>
      </c>
      <c r="B295" s="6" t="str">
        <f>VLOOKUP(LD_01[[#This Row],[DOCUMENTO]],_xlfn.SORTBY(ARQUIVOS_RECEBIDOS!$E$2:$F$5010,ARQUIVOS_RECEBIDOS!$F$2:$F$5010,-1),2,)</f>
        <v>R05</v>
      </c>
      <c r="C295" s="15" t="s">
        <v>5987</v>
      </c>
      <c r="D295" s="6" t="s">
        <v>4311</v>
      </c>
      <c r="E295" s="8" t="s">
        <v>4091</v>
      </c>
      <c r="F295" s="8" t="s">
        <v>4143</v>
      </c>
      <c r="G295" s="6" t="str">
        <f>_xlfn.XLOOKUP(LD_01[[#This Row],[DISCIPLINA]],'CLASSES DE PROJETOS'!$F$3:$F$37,'CLASSES DE PROJETOS'!$C$3:$C$37)</f>
        <v>PV</v>
      </c>
      <c r="H295" t="str">
        <f>_xlfn.TEXTJOIN("/",TRUE,"MSV-163MS-"&amp;LD_01[[#This Row],[TRECHO]],_xlfn.XLOOKUP(LD_01[[#This Row],[SIGLA]],'CLASSES DE PROJETOS'!$C$3:$C$37,'CLASSES DE PROJETOS'!$E$3:$E$37))</f>
        <v>MSV-163MS-510-511/28.PV</v>
      </c>
      <c r="I295" s="6" t="str" cm="1">
        <f t="array" ref="I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J295" s="6" t="str" cm="1">
        <f t="array" ref="J295">_xlfn.TEXTJOIN(", ",TRUE,_xlfn.UNIQUE(_xlfn._xlws.FILTER(ARQUIVOS_RECEBIDOS!$F$2:$F$5010,ARQUIVOS_RECEBIDOS!$E$2:$E$5010=LD_01[[#This Row],[DOCUMENTO]])))</f>
        <v>R04, R05</v>
      </c>
      <c r="K295" s="12" cm="1">
        <f t="array" ref="K295">_xlfn.UNIQUE(_xlfn._xlws.FILTER(ARQUIVOS[DATA RECEBIMENTO],(ARQUIVOS[DOCUMENTO]=LD_01[[#This Row],[DOCUMENTO]])*(ARQUIVOS[REVISÃO]=LD_01[[#This Row],[REVISÃO]])))</f>
        <v>45946</v>
      </c>
      <c r="L2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M295" s="6" t="str">
        <f>LD_01[[#This Row],[PASTA]]&amp;"/"&amp;LD_01[[#This Row],[ARQUIVO]]</f>
        <v>MSV-163MS-510-511/28.PV/MSV-163MS-510-511-ACA-EXE-NS-C3-001-R05.pdf</v>
      </c>
    </row>
    <row r="296" spans="1:13" hidden="1" x14ac:dyDescent="0.3">
      <c r="A296" s="6" t="s">
        <v>3024</v>
      </c>
      <c r="B296" s="6" t="str">
        <f>VLOOKUP(LD_01[[#This Row],[DOCUMENTO]],_xlfn.SORTBY(ARQUIVOS_RECEBIDOS!$E$2:$F$5010,ARQUIVOS_RECEBIDOS!$F$2:$F$5010,-1),2,)</f>
        <v>R01</v>
      </c>
      <c r="C296" s="15" t="s">
        <v>5987</v>
      </c>
      <c r="D296" s="6" t="s">
        <v>4311</v>
      </c>
      <c r="E296" s="8" t="s">
        <v>4165</v>
      </c>
      <c r="F296" s="8" t="s">
        <v>4163</v>
      </c>
      <c r="G296" s="6" t="str">
        <f>_xlfn.XLOOKUP(LD_01[[#This Row],[DISCIPLINA]],'CLASSES DE PROJETOS'!$F$3:$F$37,'CLASSES DE PROJETOS'!$C$3:$C$37)</f>
        <v>TO</v>
      </c>
      <c r="H296" t="str">
        <f>_xlfn.TEXTJOIN("/",TRUE,"MSV-163MS-"&amp;LD_01[[#This Row],[TRECHO]],_xlfn.XLOOKUP(LD_01[[#This Row],[SIGLA]],'CLASSES DE PROJETOS'!$C$3:$C$37,'CLASSES DE PROJETOS'!$E$3:$E$37))</f>
        <v>MSV-163MS-510-511/33.TO</v>
      </c>
      <c r="I296" s="6" t="str" cm="1">
        <f t="array" ref="I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J296" s="6" t="str" cm="1">
        <f t="array" ref="J296">_xlfn.TEXTJOIN(", ",TRUE,_xlfn.UNIQUE(_xlfn._xlws.FILTER(ARQUIVOS_RECEBIDOS!$F$2:$F$5010,ARQUIVOS_RECEBIDOS!$E$2:$E$5010=LD_01[[#This Row],[DOCUMENTO]])))</f>
        <v>R01</v>
      </c>
      <c r="K296" s="12" cm="1">
        <f t="array" ref="K296">_xlfn.UNIQUE(_xlfn._xlws.FILTER(ARQUIVOS[DATA RECEBIMENTO],(ARQUIVOS[DOCUMENTO]=LD_01[[#This Row],[DOCUMENTO]])*(ARQUIVOS[REVISÃO]=LD_01[[#This Row],[REVISÃO]])))</f>
        <v>45838</v>
      </c>
      <c r="L2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M296" s="6" t="str">
        <f>LD_01[[#This Row],[PASTA]]&amp;"/"&amp;LD_01[[#This Row],[ARQUIVO]]</f>
        <v>MSV-163MS-510-511/33.TO/MSV-163MS-510-511-ACA-EXE-RT-C1-001-R01.pdf</v>
      </c>
    </row>
    <row r="297" spans="1:13" ht="28.8" hidden="1" x14ac:dyDescent="0.3">
      <c r="A297" s="6" t="s">
        <v>3077</v>
      </c>
      <c r="B297" s="6" t="str">
        <f>VLOOKUP(LD_01[[#This Row],[DOCUMENTO]],_xlfn.SORTBY(ARQUIVOS_RECEBIDOS!$E$2:$F$5010,ARQUIVOS_RECEBIDOS!$F$2:$F$5010,-1),2,)</f>
        <v>R02</v>
      </c>
      <c r="C297" s="15" t="s">
        <v>5987</v>
      </c>
      <c r="D297" s="6" t="s">
        <v>4311</v>
      </c>
      <c r="E297" s="8" t="s">
        <v>4092</v>
      </c>
      <c r="F297" s="8" t="s">
        <v>4332</v>
      </c>
      <c r="G297" s="6" t="str">
        <f>_xlfn.XLOOKUP(LD_01[[#This Row],[DISCIPLINA]],'CLASSES DE PROJETOS'!$F$3:$F$37,'CLASSES DE PROJETOS'!$C$3:$C$37)</f>
        <v>GG</v>
      </c>
      <c r="H297" t="str">
        <f>_xlfn.TEXTJOIN("/",TRUE,"MSV-163MS-"&amp;LD_01[[#This Row],[TRECHO]],_xlfn.XLOOKUP(LD_01[[#This Row],[SIGLA]],'CLASSES DE PROJETOS'!$C$3:$C$37,'CLASSES DE PROJETOS'!$E$3:$E$37))</f>
        <v>MSV-163MS-510-511/19.GG</v>
      </c>
      <c r="I297" s="6" t="str" cm="1">
        <f t="array" ref="I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J297" s="6" t="str" cm="1">
        <f t="array" ref="J297">_xlfn.TEXTJOIN(", ",TRUE,_xlfn.UNIQUE(_xlfn._xlws.FILTER(ARQUIVOS_RECEBIDOS!$F$2:$F$5010,ARQUIVOS_RECEBIDOS!$E$2:$E$5010=LD_01[[#This Row],[DOCUMENTO]])))</f>
        <v>R02</v>
      </c>
      <c r="K297" s="12" cm="1">
        <f t="array" ref="K297">_xlfn.UNIQUE(_xlfn._xlws.FILTER(ARQUIVOS[DATA RECEBIMENTO],(ARQUIVOS[DOCUMENTO]=LD_01[[#This Row],[DOCUMENTO]])*(ARQUIVOS[REVISÃO]=LD_01[[#This Row],[REVISÃO]])))</f>
        <v>45838</v>
      </c>
      <c r="L2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M297" s="6" t="str">
        <f>LD_01[[#This Row],[PASTA]]&amp;"/"&amp;LD_01[[#This Row],[ARQUIVO]]</f>
        <v>MSV-163MS-510-511/19.GG/MSV-163MS-510-511-ACA-EXE-RT-D3-001-R02.pdf</v>
      </c>
    </row>
    <row r="298" spans="1:13" ht="28.8" hidden="1" x14ac:dyDescent="0.3">
      <c r="A298" s="6" t="s">
        <v>3078</v>
      </c>
      <c r="B298" s="6" t="str">
        <f>VLOOKUP(LD_01[[#This Row],[DOCUMENTO]],_xlfn.SORTBY(ARQUIVOS_RECEBIDOS!$E$2:$F$5010,ARQUIVOS_RECEBIDOS!$F$2:$F$5010,-1),2,)</f>
        <v>R00</v>
      </c>
      <c r="C298" s="15" t="s">
        <v>5987</v>
      </c>
      <c r="D298" s="6" t="s">
        <v>4311</v>
      </c>
      <c r="E298" s="8" t="s">
        <v>4103</v>
      </c>
      <c r="F298" s="8" t="s">
        <v>4332</v>
      </c>
      <c r="G298" s="6" t="str">
        <f>_xlfn.XLOOKUP(LD_01[[#This Row],[DISCIPLINA]],'CLASSES DE PROJETOS'!$F$3:$F$37,'CLASSES DE PROJETOS'!$C$3:$C$37)</f>
        <v>GG</v>
      </c>
      <c r="H298" t="str">
        <f>_xlfn.TEXTJOIN("/",TRUE,"MSV-163MS-"&amp;LD_01[[#This Row],[TRECHO]],_xlfn.XLOOKUP(LD_01[[#This Row],[SIGLA]],'CLASSES DE PROJETOS'!$C$3:$C$37,'CLASSES DE PROJETOS'!$E$3:$E$37))</f>
        <v>MSV-163MS-510-511/19.GG</v>
      </c>
      <c r="I298" s="6" t="str" cm="1">
        <f t="array" ref="I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J298" s="6" t="str" cm="1">
        <f t="array" ref="J298">_xlfn.TEXTJOIN(", ",TRUE,_xlfn.UNIQUE(_xlfn._xlws.FILTER(ARQUIVOS_RECEBIDOS!$F$2:$F$5010,ARQUIVOS_RECEBIDOS!$E$2:$E$5010=LD_01[[#This Row],[DOCUMENTO]])))</f>
        <v>R00</v>
      </c>
      <c r="K298" s="12" cm="1">
        <f t="array" ref="K298">_xlfn.UNIQUE(_xlfn._xlws.FILTER(ARQUIVOS[DATA RECEBIMENTO],(ARQUIVOS[DOCUMENTO]=LD_01[[#This Row],[DOCUMENTO]])*(ARQUIVOS[REVISÃO]=LD_01[[#This Row],[REVISÃO]])))</f>
        <v>45838</v>
      </c>
      <c r="L2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M298" s="6" t="str">
        <f>LD_01[[#This Row],[PASTA]]&amp;"/"&amp;LD_01[[#This Row],[ARQUIVO]]</f>
        <v>MSV-163MS-510-511/19.GG/MSV-163MS-510-511-ACA-EXE-RT-D3-101-R00.pdf</v>
      </c>
    </row>
    <row r="299" spans="1:13" ht="28.8" hidden="1" x14ac:dyDescent="0.3">
      <c r="A299" s="6" t="s">
        <v>3079</v>
      </c>
      <c r="B299" s="6" t="str">
        <f>VLOOKUP(LD_01[[#This Row],[DOCUMENTO]],_xlfn.SORTBY(ARQUIVOS_RECEBIDOS!$E$2:$F$5010,ARQUIVOS_RECEBIDOS!$F$2:$F$5010,-1),2,)</f>
        <v>R00</v>
      </c>
      <c r="C299" s="15" t="s">
        <v>5987</v>
      </c>
      <c r="D299" s="6" t="s">
        <v>4311</v>
      </c>
      <c r="E299" s="8" t="s">
        <v>4191</v>
      </c>
      <c r="F299" s="8" t="s">
        <v>4332</v>
      </c>
      <c r="G299" s="6" t="str">
        <f>_xlfn.XLOOKUP(LD_01[[#This Row],[DISCIPLINA]],'CLASSES DE PROJETOS'!$F$3:$F$37,'CLASSES DE PROJETOS'!$C$3:$C$37)</f>
        <v>GG</v>
      </c>
      <c r="H299" t="str">
        <f>_xlfn.TEXTJOIN("/",TRUE,"MSV-163MS-"&amp;LD_01[[#This Row],[TRECHO]],_xlfn.XLOOKUP(LD_01[[#This Row],[SIGLA]],'CLASSES DE PROJETOS'!$C$3:$C$37,'CLASSES DE PROJETOS'!$E$3:$E$37))</f>
        <v>MSV-163MS-510-511/19.GG</v>
      </c>
      <c r="I299" s="6" t="str" cm="1">
        <f t="array" ref="I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J299" s="6" t="str" cm="1">
        <f t="array" ref="J299">_xlfn.TEXTJOIN(", ",TRUE,_xlfn.UNIQUE(_xlfn._xlws.FILTER(ARQUIVOS_RECEBIDOS!$F$2:$F$5010,ARQUIVOS_RECEBIDOS!$E$2:$E$5010=LD_01[[#This Row],[DOCUMENTO]])))</f>
        <v>R00</v>
      </c>
      <c r="K299" s="12" cm="1">
        <f t="array" ref="K299">_xlfn.UNIQUE(_xlfn._xlws.FILTER(ARQUIVOS[DATA RECEBIMENTO],(ARQUIVOS[DOCUMENTO]=LD_01[[#This Row],[DOCUMENTO]])*(ARQUIVOS[REVISÃO]=LD_01[[#This Row],[REVISÃO]])))</f>
        <v>45838</v>
      </c>
      <c r="L2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M299" s="6" t="str">
        <f>LD_01[[#This Row],[PASTA]]&amp;"/"&amp;LD_01[[#This Row],[ARQUIVO]]</f>
        <v>MSV-163MS-510-511/19.GG/MSV-163MS-510-511-ACA-EXE-RT-D3-201-R00.pdf</v>
      </c>
    </row>
    <row r="300" spans="1:13" ht="28.8" hidden="1" x14ac:dyDescent="0.3">
      <c r="A300" s="6" t="s">
        <v>3093</v>
      </c>
      <c r="B300" s="6" t="str">
        <f>VLOOKUP(LD_01[[#This Row],[DOCUMENTO]],_xlfn.SORTBY(ARQUIVOS_RECEBIDOS!$E$2:$F$5010,ARQUIVOS_RECEBIDOS!$F$2:$F$5010,-1),2,)</f>
        <v>R00</v>
      </c>
      <c r="C300" s="15" t="s">
        <v>5987</v>
      </c>
      <c r="D300" s="6" t="s">
        <v>4311</v>
      </c>
      <c r="E300" s="8" t="s">
        <v>4173</v>
      </c>
      <c r="F300" s="8" t="s">
        <v>4335</v>
      </c>
      <c r="G300" s="6" t="str">
        <f>_xlfn.XLOOKUP(LD_01[[#This Row],[DISCIPLINA]],'CLASSES DE PROJETOS'!$F$3:$F$37,'CLASSES DE PROJETOS'!$C$3:$C$37)</f>
        <v>TR</v>
      </c>
      <c r="H300" t="str">
        <f>_xlfn.TEXTJOIN("/",TRUE,"MSV-163MS-"&amp;LD_01[[#This Row],[TRECHO]],_xlfn.XLOOKUP(LD_01[[#This Row],[SIGLA]],'CLASSES DE PROJETOS'!$C$3:$C$37,'CLASSES DE PROJETOS'!$E$3:$E$37))</f>
        <v>MSV-163MS-510-511/34.TR</v>
      </c>
      <c r="I300" s="6" t="str" cm="1">
        <f t="array" ref="I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J300" s="6" t="str" cm="1">
        <f t="array" ref="J300">_xlfn.TEXTJOIN(", ",TRUE,_xlfn.UNIQUE(_xlfn._xlws.FILTER(ARQUIVOS_RECEBIDOS!$F$2:$F$5010,ARQUIVOS_RECEBIDOS!$E$2:$E$5010=LD_01[[#This Row],[DOCUMENTO]])))</f>
        <v>R00</v>
      </c>
      <c r="K300" s="12" cm="1">
        <f t="array" ref="K300">_xlfn.UNIQUE(_xlfn._xlws.FILTER(ARQUIVOS[DATA RECEBIMENTO],(ARQUIVOS[DOCUMENTO]=LD_01[[#This Row],[DOCUMENTO]])*(ARQUIVOS[REVISÃO]=LD_01[[#This Row],[REVISÃO]])))</f>
        <v>45838</v>
      </c>
      <c r="L3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M300" s="6" t="str">
        <f>LD_01[[#This Row],[PASTA]]&amp;"/"&amp;LD_01[[#This Row],[ARQUIVO]]</f>
        <v>MSV-163MS-510-511/34.TR/MSV-163MS-510-511-ACA-EXE-RT-E1-001-R00.pdf</v>
      </c>
    </row>
    <row r="301" spans="1:13" ht="28.8" hidden="1" x14ac:dyDescent="0.3">
      <c r="A301" s="6" t="s">
        <v>3030</v>
      </c>
      <c r="B301" s="6" t="str">
        <f>VLOOKUP(LD_01[[#This Row],[DOCUMENTO]],_xlfn.SORTBY(ARQUIVOS_RECEBIDOS!$E$2:$F$5010,ARQUIVOS_RECEBIDOS!$F$2:$F$5010,-1),2,)</f>
        <v>R02</v>
      </c>
      <c r="C301" s="15" t="s">
        <v>5987</v>
      </c>
      <c r="D301" s="6" t="s">
        <v>4311</v>
      </c>
      <c r="E301" s="8" t="s">
        <v>4259</v>
      </c>
      <c r="F301" s="8" t="s">
        <v>4141</v>
      </c>
      <c r="G301" s="6" t="str">
        <f>_xlfn.XLOOKUP(LD_01[[#This Row],[DISCIPLINA]],'CLASSES DE PROJETOS'!$F$3:$F$37,'CLASSES DE PROJETOS'!$C$3:$C$37)</f>
        <v>GE</v>
      </c>
      <c r="H301" t="str">
        <f>_xlfn.TEXTJOIN("/",TRUE,"MSV-163MS-"&amp;LD_01[[#This Row],[TRECHO]],_xlfn.XLOOKUP(LD_01[[#This Row],[SIGLA]],'CLASSES DE PROJETOS'!$C$3:$C$37,'CLASSES DE PROJETOS'!$E$3:$E$37))</f>
        <v>MSV-163MS-510-511/18.GE</v>
      </c>
      <c r="I301" s="6" t="str" cm="1">
        <f t="array" ref="I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J301" s="6" t="str" cm="1">
        <f t="array" ref="J301">_xlfn.TEXTJOIN(", ",TRUE,_xlfn.UNIQUE(_xlfn._xlws.FILTER(ARQUIVOS_RECEBIDOS!$F$2:$F$5010,ARQUIVOS_RECEBIDOS!$E$2:$E$5010=LD_01[[#This Row],[DOCUMENTO]])))</f>
        <v>R02</v>
      </c>
      <c r="K301" s="12" cm="1">
        <f t="array" ref="K301">_xlfn.UNIQUE(_xlfn._xlws.FILTER(ARQUIVOS[DATA RECEBIMENTO],(ARQUIVOS[DOCUMENTO]=LD_01[[#This Row],[DOCUMENTO]])*(ARQUIVOS[REVISÃO]=LD_01[[#This Row],[REVISÃO]])))</f>
        <v>45838</v>
      </c>
      <c r="L3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M301" s="6" t="str">
        <f>LD_01[[#This Row],[PASTA]]&amp;"/"&amp;LD_01[[#This Row],[ARQUIVO]]</f>
        <v>MSV-163MS-510-511/18.GE/MSV-163MS-510-511-ACA-EXE-RT-F1-001-R02.pdf</v>
      </c>
    </row>
    <row r="302" spans="1:13" ht="43.2" hidden="1" x14ac:dyDescent="0.3">
      <c r="A302" s="6" t="s">
        <v>3082</v>
      </c>
      <c r="B302" s="6" t="str">
        <f>VLOOKUP(LD_01[[#This Row],[DOCUMENTO]],_xlfn.SORTBY(ARQUIVOS_RECEBIDOS!$E$2:$F$5010,ARQUIVOS_RECEBIDOS!$F$2:$F$5010,-1),2,)</f>
        <v>R00</v>
      </c>
      <c r="C302" s="15" t="s">
        <v>5987</v>
      </c>
      <c r="D302" s="6" t="s">
        <v>4311</v>
      </c>
      <c r="E302" s="8" t="s">
        <v>4166</v>
      </c>
      <c r="F302" s="8" t="s">
        <v>4333</v>
      </c>
      <c r="G302" s="6" t="str">
        <f>_xlfn.XLOOKUP(LD_01[[#This Row],[DISCIPLINA]],'CLASSES DE PROJETOS'!$F$3:$F$37,'CLASSES DE PROJETOS'!$C$3:$C$37)</f>
        <v>IN</v>
      </c>
      <c r="H302" t="str">
        <f>_xlfn.TEXTJOIN("/",TRUE,"MSV-163MS-"&amp;LD_01[[#This Row],[TRECHO]],_xlfn.XLOOKUP(LD_01[[#This Row],[SIGLA]],'CLASSES DE PROJETOS'!$C$3:$C$37,'CLASSES DE PROJETOS'!$E$3:$E$37))</f>
        <v>MSV-163MS-510-511/23.IN</v>
      </c>
      <c r="I302" s="6" t="str" cm="1">
        <f t="array" ref="I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J302" s="6" t="str" cm="1">
        <f t="array" ref="J302">_xlfn.TEXTJOIN(", ",TRUE,_xlfn.UNIQUE(_xlfn._xlws.FILTER(ARQUIVOS_RECEBIDOS!$F$2:$F$5010,ARQUIVOS_RECEBIDOS!$E$2:$E$5010=LD_01[[#This Row],[DOCUMENTO]])))</f>
        <v>R00</v>
      </c>
      <c r="K302" s="12" cm="1">
        <f t="array" ref="K302">_xlfn.UNIQUE(_xlfn._xlws.FILTER(ARQUIVOS[DATA RECEBIMENTO],(ARQUIVOS[DOCUMENTO]=LD_01[[#This Row],[DOCUMENTO]])*(ARQUIVOS[REVISÃO]=LD_01[[#This Row],[REVISÃO]])))</f>
        <v>45838</v>
      </c>
      <c r="L3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M302" s="6" t="str">
        <f>LD_01[[#This Row],[PASTA]]&amp;"/"&amp;LD_01[[#This Row],[ARQUIVO]]</f>
        <v>MSV-163MS-510-511/23.IN/MSV-163MS-510-511-ACA-EXE-RT-M1-001-R00.pdf</v>
      </c>
    </row>
    <row r="303" spans="1:13" hidden="1" x14ac:dyDescent="0.3">
      <c r="A303" s="6" t="s">
        <v>3094</v>
      </c>
      <c r="B303" s="6" t="str">
        <f>VLOOKUP(LD_01[[#This Row],[DOCUMENTO]],_xlfn.SORTBY(ARQUIVOS_RECEBIDOS!$E$2:$F$5010,ARQUIVOS_RECEBIDOS!$F$2:$F$5010,-1),2,)</f>
        <v>R00</v>
      </c>
      <c r="C303" s="15" t="s">
        <v>5987</v>
      </c>
      <c r="D303" s="6" t="s">
        <v>4315</v>
      </c>
      <c r="E303" s="8" t="s">
        <v>4164</v>
      </c>
      <c r="F303" s="8" t="s">
        <v>4163</v>
      </c>
      <c r="G303" s="6" t="str">
        <f>_xlfn.XLOOKUP(LD_01[[#This Row],[DISCIPLINA]],'CLASSES DE PROJETOS'!$F$3:$F$37,'CLASSES DE PROJETOS'!$C$3:$C$37)</f>
        <v>TO</v>
      </c>
      <c r="H303" t="str">
        <f>_xlfn.TEXTJOIN("/",TRUE,"MSV-163MS-"&amp;LD_01[[#This Row],[TRECHO]],_xlfn.XLOOKUP(LD_01[[#This Row],[SIGLA]],'CLASSES DE PROJETOS'!$C$3:$C$37,'CLASSES DE PROJETOS'!$E$3:$E$37))</f>
        <v>MSV-163MS-512-NORTE/33.TO</v>
      </c>
      <c r="I303" s="6" t="str" cm="1">
        <f t="array" ref="I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J303" s="6" t="str" cm="1">
        <f t="array" ref="J303">_xlfn.TEXTJOIN(", ",TRUE,_xlfn.UNIQUE(_xlfn._xlws.FILTER(ARQUIVOS_RECEBIDOS!$F$2:$F$5010,ARQUIVOS_RECEBIDOS!$E$2:$E$5010=LD_01[[#This Row],[DOCUMENTO]])))</f>
        <v>R00</v>
      </c>
      <c r="K303" s="12" cm="1">
        <f t="array" ref="K303">_xlfn.UNIQUE(_xlfn._xlws.FILTER(ARQUIVOS[DATA RECEBIMENTO],(ARQUIVOS[DOCUMENTO]=LD_01[[#This Row],[DOCUMENTO]])*(ARQUIVOS[REVISÃO]=LD_01[[#This Row],[REVISÃO]])))</f>
        <v>45838</v>
      </c>
      <c r="L3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M303" s="6" t="str">
        <f>LD_01[[#This Row],[PASTA]]&amp;"/"&amp;LD_01[[#This Row],[ARQUIVO]]</f>
        <v>MSV-163MS-512-NORTE/33.TO/MSV-163MS-512+760-ACE-EXE-DE-C1-001-R00.pdf</v>
      </c>
    </row>
    <row r="304" spans="1:13" ht="28.8" hidden="1" x14ac:dyDescent="0.3">
      <c r="A304" s="6" t="s">
        <v>3115</v>
      </c>
      <c r="B304" s="6" t="str">
        <f>VLOOKUP(LD_01[[#This Row],[DOCUMENTO]],_xlfn.SORTBY(ARQUIVOS_RECEBIDOS!$E$2:$F$5010,ARQUIVOS_RECEBIDOS!$F$2:$F$5010,-1),2,)</f>
        <v>R01</v>
      </c>
      <c r="C304" s="15" t="s">
        <v>5987</v>
      </c>
      <c r="D304" s="6" t="s">
        <v>4315</v>
      </c>
      <c r="E304" s="8" t="s">
        <v>4284</v>
      </c>
      <c r="F304" s="8" t="s">
        <v>4332</v>
      </c>
      <c r="G304" s="6" t="str">
        <f>_xlfn.XLOOKUP(LD_01[[#This Row],[DISCIPLINA]],'CLASSES DE PROJETOS'!$F$3:$F$37,'CLASSES DE PROJETOS'!$C$3:$C$37)</f>
        <v>GG</v>
      </c>
      <c r="H304" t="str">
        <f>_xlfn.TEXTJOIN("/",TRUE,"MSV-163MS-"&amp;LD_01[[#This Row],[TRECHO]],_xlfn.XLOOKUP(LD_01[[#This Row],[SIGLA]],'CLASSES DE PROJETOS'!$C$3:$C$37,'CLASSES DE PROJETOS'!$E$3:$E$37))</f>
        <v>MSV-163MS-512-NORTE/19.GG</v>
      </c>
      <c r="I304" s="6" t="str" cm="1">
        <f t="array" ref="I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J304" s="6" t="str" cm="1">
        <f t="array" ref="J304">_xlfn.TEXTJOIN(", ",TRUE,_xlfn.UNIQUE(_xlfn._xlws.FILTER(ARQUIVOS_RECEBIDOS!$F$2:$F$5010,ARQUIVOS_RECEBIDOS!$E$2:$E$5010=LD_01[[#This Row],[DOCUMENTO]])))</f>
        <v>R01</v>
      </c>
      <c r="K304" s="12" cm="1">
        <f t="array" ref="K304">_xlfn.UNIQUE(_xlfn._xlws.FILTER(ARQUIVOS[DATA RECEBIMENTO],(ARQUIVOS[DOCUMENTO]=LD_01[[#This Row],[DOCUMENTO]])*(ARQUIVOS[REVISÃO]=LD_01[[#This Row],[REVISÃO]])))</f>
        <v>45838</v>
      </c>
      <c r="L3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M304" s="6" t="str">
        <f>LD_01[[#This Row],[PASTA]]&amp;"/"&amp;LD_01[[#This Row],[ARQUIVO]]</f>
        <v>MSV-163MS-512-NORTE/19.GG/MSV-163MS-512+760-ACE-EXE-DE-D3-001-R01.pdf</v>
      </c>
    </row>
    <row r="305" spans="1:13" ht="28.8" hidden="1" x14ac:dyDescent="0.3">
      <c r="A305" s="6" t="s">
        <v>3096</v>
      </c>
      <c r="B305" s="6" t="str">
        <f>VLOOKUP(LD_01[[#This Row],[DOCUMENTO]],_xlfn.SORTBY(ARQUIVOS_RECEBIDOS!$E$2:$F$5010,ARQUIVOS_RECEBIDOS!$F$2:$F$5010,-1),2,)</f>
        <v>R03</v>
      </c>
      <c r="C305" s="15" t="s">
        <v>5987</v>
      </c>
      <c r="D305" s="6" t="s">
        <v>4315</v>
      </c>
      <c r="E305" s="8" t="s">
        <v>4293</v>
      </c>
      <c r="F305" s="8" t="s">
        <v>4141</v>
      </c>
      <c r="G305" s="6" t="str">
        <f>_xlfn.XLOOKUP(LD_01[[#This Row],[DISCIPLINA]],'CLASSES DE PROJETOS'!$F$3:$F$37,'CLASSES DE PROJETOS'!$C$3:$C$37)</f>
        <v>GE</v>
      </c>
      <c r="H305" t="str">
        <f>_xlfn.TEXTJOIN("/",TRUE,"MSV-163MS-"&amp;LD_01[[#This Row],[TRECHO]],_xlfn.XLOOKUP(LD_01[[#This Row],[SIGLA]],'CLASSES DE PROJETOS'!$C$3:$C$37,'CLASSES DE PROJETOS'!$E$3:$E$37))</f>
        <v>MSV-163MS-512-NORTE/18.GE</v>
      </c>
      <c r="I305" s="6" t="str" cm="1">
        <f t="array" ref="I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J305" s="6" t="str" cm="1">
        <f t="array" ref="J305">_xlfn.TEXTJOIN(", ",TRUE,_xlfn.UNIQUE(_xlfn._xlws.FILTER(ARQUIVOS_RECEBIDOS!$F$2:$F$5010,ARQUIVOS_RECEBIDOS!$E$2:$E$5010=LD_01[[#This Row],[DOCUMENTO]])))</f>
        <v>R03</v>
      </c>
      <c r="K305" s="12" cm="1">
        <f t="array" ref="K305">_xlfn.UNIQUE(_xlfn._xlws.FILTER(ARQUIVOS[DATA RECEBIMENTO],(ARQUIVOS[DOCUMENTO]=LD_01[[#This Row],[DOCUMENTO]])*(ARQUIVOS[REVISÃO]=LD_01[[#This Row],[REVISÃO]])))</f>
        <v>45838</v>
      </c>
      <c r="L3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M305" s="6" t="str">
        <f>LD_01[[#This Row],[PASTA]]&amp;"/"&amp;LD_01[[#This Row],[ARQUIVO]]</f>
        <v>MSV-163MS-512-NORTE/18.GE/MSV-163MS-512+760-ACE-EXE-DE-F1-001-R03.pdf</v>
      </c>
    </row>
    <row r="306" spans="1:13" ht="28.8" hidden="1" x14ac:dyDescent="0.3">
      <c r="A306" s="6" t="s">
        <v>3098</v>
      </c>
      <c r="B306" s="6" t="str">
        <f>VLOOKUP(LD_01[[#This Row],[DOCUMENTO]],_xlfn.SORTBY(ARQUIVOS_RECEBIDOS!$E$2:$F$5010,ARQUIVOS_RECEBIDOS!$F$2:$F$5010,-1),2,)</f>
        <v>R02</v>
      </c>
      <c r="C306" s="15" t="s">
        <v>5987</v>
      </c>
      <c r="D306" s="6" t="s">
        <v>4315</v>
      </c>
      <c r="E306" s="8" t="s">
        <v>4294</v>
      </c>
      <c r="F306" s="8" t="s">
        <v>4330</v>
      </c>
      <c r="G306" s="6" t="str">
        <f>_xlfn.XLOOKUP(LD_01[[#This Row],[DISCIPLINA]],'CLASSES DE PROJETOS'!$F$3:$F$37,'CLASSES DE PROJETOS'!$C$3:$C$37)</f>
        <v>TE</v>
      </c>
      <c r="H306" t="str">
        <f>_xlfn.TEXTJOIN("/",TRUE,"MSV-163MS-"&amp;LD_01[[#This Row],[TRECHO]],_xlfn.XLOOKUP(LD_01[[#This Row],[SIGLA]],'CLASSES DE PROJETOS'!$C$3:$C$37,'CLASSES DE PROJETOS'!$E$3:$E$37))</f>
        <v>MSV-163MS-512-NORTE/32.TE</v>
      </c>
      <c r="I306" s="6" t="str" cm="1">
        <f t="array" ref="I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J306" s="6" t="str" cm="1">
        <f t="array" ref="J306">_xlfn.TEXTJOIN(", ",TRUE,_xlfn.UNIQUE(_xlfn._xlws.FILTER(ARQUIVOS_RECEBIDOS!$F$2:$F$5010,ARQUIVOS_RECEBIDOS!$E$2:$E$5010=LD_01[[#This Row],[DOCUMENTO]])))</f>
        <v>R02</v>
      </c>
      <c r="K306" s="12" cm="1">
        <f t="array" ref="K306">_xlfn.UNIQUE(_xlfn._xlws.FILTER(ARQUIVOS[DATA RECEBIMENTO],(ARQUIVOS[DOCUMENTO]=LD_01[[#This Row],[DOCUMENTO]])*(ARQUIVOS[REVISÃO]=LD_01[[#This Row],[REVISÃO]])))</f>
        <v>45838</v>
      </c>
      <c r="L3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M306" s="6" t="str">
        <f>LD_01[[#This Row],[PASTA]]&amp;"/"&amp;LD_01[[#This Row],[ARQUIVO]]</f>
        <v>MSV-163MS-512-NORTE/32.TE/MSV-163MS-512+760-ACE-EXE-DE-G1-001-R02.pdf</v>
      </c>
    </row>
    <row r="307" spans="1:13" ht="28.8" hidden="1" x14ac:dyDescent="0.3">
      <c r="A307" s="6" t="s">
        <v>3099</v>
      </c>
      <c r="B307" s="6" t="str">
        <f>VLOOKUP(LD_01[[#This Row],[DOCUMENTO]],_xlfn.SORTBY(ARQUIVOS_RECEBIDOS!$E$2:$F$5010,ARQUIVOS_RECEBIDOS!$F$2:$F$5010,-1),2,)</f>
        <v>R02</v>
      </c>
      <c r="C307" s="15" t="s">
        <v>5987</v>
      </c>
      <c r="D307" s="6" t="s">
        <v>4315</v>
      </c>
      <c r="E307" s="8" t="s">
        <v>4295</v>
      </c>
      <c r="F307" s="8" t="s">
        <v>4330</v>
      </c>
      <c r="G307" s="6" t="str">
        <f>_xlfn.XLOOKUP(LD_01[[#This Row],[DISCIPLINA]],'CLASSES DE PROJETOS'!$F$3:$F$37,'CLASSES DE PROJETOS'!$C$3:$C$37)</f>
        <v>TE</v>
      </c>
      <c r="H307" t="str">
        <f>_xlfn.TEXTJOIN("/",TRUE,"MSV-163MS-"&amp;LD_01[[#This Row],[TRECHO]],_xlfn.XLOOKUP(LD_01[[#This Row],[SIGLA]],'CLASSES DE PROJETOS'!$C$3:$C$37,'CLASSES DE PROJETOS'!$E$3:$E$37))</f>
        <v>MSV-163MS-512-NORTE/32.TE</v>
      </c>
      <c r="I307" s="6" t="str" cm="1">
        <f t="array" ref="I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J307" s="6" t="str" cm="1">
        <f t="array" ref="J307">_xlfn.TEXTJOIN(", ",TRUE,_xlfn.UNIQUE(_xlfn._xlws.FILTER(ARQUIVOS_RECEBIDOS!$F$2:$F$5010,ARQUIVOS_RECEBIDOS!$E$2:$E$5010=LD_01[[#This Row],[DOCUMENTO]])))</f>
        <v>R02</v>
      </c>
      <c r="K307" s="12" cm="1">
        <f t="array" ref="K307">_xlfn.UNIQUE(_xlfn._xlws.FILTER(ARQUIVOS[DATA RECEBIMENTO],(ARQUIVOS[DOCUMENTO]=LD_01[[#This Row],[DOCUMENTO]])*(ARQUIVOS[REVISÃO]=LD_01[[#This Row],[REVISÃO]])))</f>
        <v>45838</v>
      </c>
      <c r="L3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M307" s="6" t="str">
        <f>LD_01[[#This Row],[PASTA]]&amp;"/"&amp;LD_01[[#This Row],[ARQUIVO]]</f>
        <v>MSV-163MS-512-NORTE/32.TE/MSV-163MS-512+760-ACE-EXE-DE-G1-002-R02.pdf</v>
      </c>
    </row>
    <row r="308" spans="1:13" ht="28.8" hidden="1" x14ac:dyDescent="0.3">
      <c r="A308" s="6" t="s">
        <v>3100</v>
      </c>
      <c r="B308" s="6" t="str">
        <f>VLOOKUP(LD_01[[#This Row],[DOCUMENTO]],_xlfn.SORTBY(ARQUIVOS_RECEBIDOS!$E$2:$F$5010,ARQUIVOS_RECEBIDOS!$F$2:$F$5010,-1),2,)</f>
        <v>R03</v>
      </c>
      <c r="C308" s="15" t="s">
        <v>5987</v>
      </c>
      <c r="D308" s="6" t="s">
        <v>4315</v>
      </c>
      <c r="E308" s="8" t="s">
        <v>4296</v>
      </c>
      <c r="F308" s="8" t="s">
        <v>4330</v>
      </c>
      <c r="G308" s="6" t="str">
        <f>_xlfn.XLOOKUP(LD_01[[#This Row],[DISCIPLINA]],'CLASSES DE PROJETOS'!$F$3:$F$37,'CLASSES DE PROJETOS'!$C$3:$C$37)</f>
        <v>TE</v>
      </c>
      <c r="H308" t="str">
        <f>_xlfn.TEXTJOIN("/",TRUE,"MSV-163MS-"&amp;LD_01[[#This Row],[TRECHO]],_xlfn.XLOOKUP(LD_01[[#This Row],[SIGLA]],'CLASSES DE PROJETOS'!$C$3:$C$37,'CLASSES DE PROJETOS'!$E$3:$E$37))</f>
        <v>MSV-163MS-512-NORTE/32.TE</v>
      </c>
      <c r="I308" s="6" t="str" cm="1">
        <f t="array" ref="I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J308" s="6" t="str" cm="1">
        <f t="array" ref="J308">_xlfn.TEXTJOIN(", ",TRUE,_xlfn.UNIQUE(_xlfn._xlws.FILTER(ARQUIVOS_RECEBIDOS!$F$2:$F$5010,ARQUIVOS_RECEBIDOS!$E$2:$E$5010=LD_01[[#This Row],[DOCUMENTO]])))</f>
        <v>R03</v>
      </c>
      <c r="K308" s="12" cm="1">
        <f t="array" ref="K308">_xlfn.UNIQUE(_xlfn._xlws.FILTER(ARQUIVOS[DATA RECEBIMENTO],(ARQUIVOS[DOCUMENTO]=LD_01[[#This Row],[DOCUMENTO]])*(ARQUIVOS[REVISÃO]=LD_01[[#This Row],[REVISÃO]])))</f>
        <v>45838</v>
      </c>
      <c r="L3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M308" s="6" t="str">
        <f>LD_01[[#This Row],[PASTA]]&amp;"/"&amp;LD_01[[#This Row],[ARQUIVO]]</f>
        <v>MSV-163MS-512-NORTE/32.TE/MSV-163MS-512+760-ACE-EXE-DE-G1-101-R03.pdf</v>
      </c>
    </row>
    <row r="309" spans="1:13" ht="28.8" hidden="1" x14ac:dyDescent="0.3">
      <c r="A309" s="6" t="s">
        <v>3102</v>
      </c>
      <c r="B309" s="6" t="str">
        <f>VLOOKUP(LD_01[[#This Row],[DOCUMENTO]],_xlfn.SORTBY(ARQUIVOS_RECEBIDOS!$E$2:$F$5010,ARQUIVOS_RECEBIDOS!$F$2:$F$5010,-1),2,)</f>
        <v>R01</v>
      </c>
      <c r="C309" s="15" t="s">
        <v>5987</v>
      </c>
      <c r="D309" s="6" t="s">
        <v>4315</v>
      </c>
      <c r="E309" s="8" t="s">
        <v>4263</v>
      </c>
      <c r="F309" s="8" t="s">
        <v>4142</v>
      </c>
      <c r="G309" s="6" t="str">
        <f>_xlfn.XLOOKUP(LD_01[[#This Row],[DISCIPLINA]],'CLASSES DE PROJETOS'!$F$3:$F$37,'CLASSES DE PROJETOS'!$C$3:$C$37)</f>
        <v>DR</v>
      </c>
      <c r="H309" t="str">
        <f>_xlfn.TEXTJOIN("/",TRUE,"MSV-163MS-"&amp;LD_01[[#This Row],[TRECHO]],_xlfn.XLOOKUP(LD_01[[#This Row],[SIGLA]],'CLASSES DE PROJETOS'!$C$3:$C$37,'CLASSES DE PROJETOS'!$E$3:$E$37))</f>
        <v>MSV-163MS-512-NORTE/10.DR</v>
      </c>
      <c r="I309" s="6" t="str" cm="1">
        <f t="array" ref="I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J309" s="6" t="str" cm="1">
        <f t="array" ref="J309">_xlfn.TEXTJOIN(", ",TRUE,_xlfn.UNIQUE(_xlfn._xlws.FILTER(ARQUIVOS_RECEBIDOS!$F$2:$F$5010,ARQUIVOS_RECEBIDOS!$E$2:$E$5010=LD_01[[#This Row],[DOCUMENTO]])))</f>
        <v>R01</v>
      </c>
      <c r="K309" s="12" cm="1">
        <f t="array" ref="K309">_xlfn.UNIQUE(_xlfn._xlws.FILTER(ARQUIVOS[DATA RECEBIMENTO],(ARQUIVOS[DOCUMENTO]=LD_01[[#This Row],[DOCUMENTO]])*(ARQUIVOS[REVISÃO]=LD_01[[#This Row],[REVISÃO]])))</f>
        <v>45838</v>
      </c>
      <c r="L3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M309" s="6" t="str">
        <f>LD_01[[#This Row],[PASTA]]&amp;"/"&amp;LD_01[[#This Row],[ARQUIVO]]</f>
        <v>MSV-163MS-512-NORTE/10.DR/MSV-163MS-512+760-ACE-EXE-DE-H2-001-R01.pdf</v>
      </c>
    </row>
    <row r="310" spans="1:13" ht="28.8" hidden="1" x14ac:dyDescent="0.3">
      <c r="A310" s="6" t="s">
        <v>3103</v>
      </c>
      <c r="B310" s="6" t="str">
        <f>VLOOKUP(LD_01[[#This Row],[DOCUMENTO]],_xlfn.SORTBY(ARQUIVOS_RECEBIDOS!$E$2:$F$5010,ARQUIVOS_RECEBIDOS!$F$2:$F$5010,-1),2,)</f>
        <v>R00</v>
      </c>
      <c r="C310" s="15" t="s">
        <v>5987</v>
      </c>
      <c r="D310" s="6" t="s">
        <v>4315</v>
      </c>
      <c r="E310" s="8" t="s">
        <v>4298</v>
      </c>
      <c r="F310" s="8" t="s">
        <v>4142</v>
      </c>
      <c r="G310" s="6" t="str">
        <f>_xlfn.XLOOKUP(LD_01[[#This Row],[DISCIPLINA]],'CLASSES DE PROJETOS'!$F$3:$F$37,'CLASSES DE PROJETOS'!$C$3:$C$37)</f>
        <v>DR</v>
      </c>
      <c r="H310" t="str">
        <f>_xlfn.TEXTJOIN("/",TRUE,"MSV-163MS-"&amp;LD_01[[#This Row],[TRECHO]],_xlfn.XLOOKUP(LD_01[[#This Row],[SIGLA]],'CLASSES DE PROJETOS'!$C$3:$C$37,'CLASSES DE PROJETOS'!$E$3:$E$37))</f>
        <v>MSV-163MS-512-NORTE/10.DR</v>
      </c>
      <c r="I310" s="6" t="str" cm="1">
        <f t="array" ref="I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J310" s="6" t="str" cm="1">
        <f t="array" ref="J310">_xlfn.TEXTJOIN(", ",TRUE,_xlfn.UNIQUE(_xlfn._xlws.FILTER(ARQUIVOS_RECEBIDOS!$F$2:$F$5010,ARQUIVOS_RECEBIDOS!$E$2:$E$5010=LD_01[[#This Row],[DOCUMENTO]])))</f>
        <v>R00</v>
      </c>
      <c r="K310" s="12" cm="1">
        <f t="array" ref="K310">_xlfn.UNIQUE(_xlfn._xlws.FILTER(ARQUIVOS[DATA RECEBIMENTO],(ARQUIVOS[DOCUMENTO]=LD_01[[#This Row],[DOCUMENTO]])*(ARQUIVOS[REVISÃO]=LD_01[[#This Row],[REVISÃO]])))</f>
        <v>45838</v>
      </c>
      <c r="L3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M310" s="6" t="str">
        <f>LD_01[[#This Row],[PASTA]]&amp;"/"&amp;LD_01[[#This Row],[ARQUIVO]]</f>
        <v>MSV-163MS-512-NORTE/10.DR/MSV-163MS-512+760-ACE-EXE-DE-H2-002-R00.pdf</v>
      </c>
    </row>
    <row r="311" spans="1:13" ht="57.6" hidden="1" x14ac:dyDescent="0.3">
      <c r="A311" s="6" t="s">
        <v>3104</v>
      </c>
      <c r="B311" s="6" t="str">
        <f>VLOOKUP(LD_01[[#This Row],[DOCUMENTO]],_xlfn.SORTBY(ARQUIVOS_RECEBIDOS!$E$2:$F$5010,ARQUIVOS_RECEBIDOS!$F$2:$F$5010,-1),2,)</f>
        <v>R00</v>
      </c>
      <c r="C311" s="15" t="s">
        <v>5987</v>
      </c>
      <c r="D311" s="6" t="s">
        <v>4315</v>
      </c>
      <c r="E311" s="8" t="s">
        <v>4299</v>
      </c>
      <c r="F311" s="8" t="s">
        <v>4142</v>
      </c>
      <c r="G311" s="6" t="str">
        <f>_xlfn.XLOOKUP(LD_01[[#This Row],[DISCIPLINA]],'CLASSES DE PROJETOS'!$F$3:$F$37,'CLASSES DE PROJETOS'!$C$3:$C$37)</f>
        <v>DR</v>
      </c>
      <c r="H311" t="str">
        <f>_xlfn.TEXTJOIN("/",TRUE,"MSV-163MS-"&amp;LD_01[[#This Row],[TRECHO]],_xlfn.XLOOKUP(LD_01[[#This Row],[SIGLA]],'CLASSES DE PROJETOS'!$C$3:$C$37,'CLASSES DE PROJETOS'!$E$3:$E$37))</f>
        <v>MSV-163MS-512-NORTE/10.DR</v>
      </c>
      <c r="I311" s="6" t="str" cm="1">
        <f t="array" ref="I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J311" s="6" t="str" cm="1">
        <f t="array" ref="J311">_xlfn.TEXTJOIN(", ",TRUE,_xlfn.UNIQUE(_xlfn._xlws.FILTER(ARQUIVOS_RECEBIDOS!$F$2:$F$5010,ARQUIVOS_RECEBIDOS!$E$2:$E$5010=LD_01[[#This Row],[DOCUMENTO]])))</f>
        <v>R00</v>
      </c>
      <c r="K311" s="12" cm="1">
        <f t="array" ref="K311">_xlfn.UNIQUE(_xlfn._xlws.FILTER(ARQUIVOS[DATA RECEBIMENTO],(ARQUIVOS[DOCUMENTO]=LD_01[[#This Row],[DOCUMENTO]])*(ARQUIVOS[REVISÃO]=LD_01[[#This Row],[REVISÃO]])))</f>
        <v>45838</v>
      </c>
      <c r="L3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M311" s="6" t="str">
        <f>LD_01[[#This Row],[PASTA]]&amp;"/"&amp;LD_01[[#This Row],[ARQUIVO]]</f>
        <v>MSV-163MS-512-NORTE/10.DR/MSV-163MS-512+760-ACE-EXE-DE-H2-101-R00.pdf</v>
      </c>
    </row>
    <row r="312" spans="1:13" ht="28.8" hidden="1" x14ac:dyDescent="0.3">
      <c r="A312" s="6" t="s">
        <v>3111</v>
      </c>
      <c r="B312" s="6" t="str">
        <f>VLOOKUP(LD_01[[#This Row],[DOCUMENTO]],_xlfn.SORTBY(ARQUIVOS_RECEBIDOS!$E$2:$F$5010,ARQUIVOS_RECEBIDOS!$F$2:$F$5010,-1),2,)</f>
        <v>R02</v>
      </c>
      <c r="C312" s="15" t="s">
        <v>5987</v>
      </c>
      <c r="D312" s="6" t="s">
        <v>4315</v>
      </c>
      <c r="E312" s="8" t="s">
        <v>4275</v>
      </c>
      <c r="F312" s="8" t="s">
        <v>4143</v>
      </c>
      <c r="G312" s="6" t="str">
        <f>_xlfn.XLOOKUP(LD_01[[#This Row],[DISCIPLINA]],'CLASSES DE PROJETOS'!$F$3:$F$37,'CLASSES DE PROJETOS'!$C$3:$C$37)</f>
        <v>PV</v>
      </c>
      <c r="H312" t="str">
        <f>_xlfn.TEXTJOIN("/",TRUE,"MSV-163MS-"&amp;LD_01[[#This Row],[TRECHO]],_xlfn.XLOOKUP(LD_01[[#This Row],[SIGLA]],'CLASSES DE PROJETOS'!$C$3:$C$37,'CLASSES DE PROJETOS'!$E$3:$E$37))</f>
        <v>MSV-163MS-512-NORTE/28.PV</v>
      </c>
      <c r="I312" s="6" t="str" cm="1">
        <f t="array" ref="I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J312" s="6" t="str" cm="1">
        <f t="array" ref="J312">_xlfn.TEXTJOIN(", ",TRUE,_xlfn.UNIQUE(_xlfn._xlws.FILTER(ARQUIVOS_RECEBIDOS!$F$2:$F$5010,ARQUIVOS_RECEBIDOS!$E$2:$E$5010=LD_01[[#This Row],[DOCUMENTO]])))</f>
        <v>R02</v>
      </c>
      <c r="K312" s="12" cm="1">
        <f t="array" ref="K312">_xlfn.UNIQUE(_xlfn._xlws.FILTER(ARQUIVOS[DATA RECEBIMENTO],(ARQUIVOS[DOCUMENTO]=LD_01[[#This Row],[DOCUMENTO]])*(ARQUIVOS[REVISÃO]=LD_01[[#This Row],[REVISÃO]])))</f>
        <v>45838</v>
      </c>
      <c r="L3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M312" s="6" t="str">
        <f>LD_01[[#This Row],[PASTA]]&amp;"/"&amp;LD_01[[#This Row],[ARQUIVO]]</f>
        <v>MSV-163MS-512-NORTE/28.PV/MSV-163MS-512+760-ACE-EXE-DE-I2-001-R02.pdf</v>
      </c>
    </row>
    <row r="313" spans="1:13" ht="28.8" hidden="1" x14ac:dyDescent="0.3">
      <c r="A313" s="6" t="s">
        <v>3112</v>
      </c>
      <c r="B313" s="6" t="str">
        <f>VLOOKUP(LD_01[[#This Row],[DOCUMENTO]],_xlfn.SORTBY(ARQUIVOS_RECEBIDOS!$E$2:$F$5010,ARQUIVOS_RECEBIDOS!$F$2:$F$5010,-1),2,)</f>
        <v>R02</v>
      </c>
      <c r="C313" s="15" t="s">
        <v>5987</v>
      </c>
      <c r="D313" s="6" t="s">
        <v>4315</v>
      </c>
      <c r="E313" s="8" t="s">
        <v>4301</v>
      </c>
      <c r="F313" s="8" t="s">
        <v>4143</v>
      </c>
      <c r="G313" s="6" t="str">
        <f>_xlfn.XLOOKUP(LD_01[[#This Row],[DISCIPLINA]],'CLASSES DE PROJETOS'!$F$3:$F$37,'CLASSES DE PROJETOS'!$C$3:$C$37)</f>
        <v>PV</v>
      </c>
      <c r="H313" t="str">
        <f>_xlfn.TEXTJOIN("/",TRUE,"MSV-163MS-"&amp;LD_01[[#This Row],[TRECHO]],_xlfn.XLOOKUP(LD_01[[#This Row],[SIGLA]],'CLASSES DE PROJETOS'!$C$3:$C$37,'CLASSES DE PROJETOS'!$E$3:$E$37))</f>
        <v>MSV-163MS-512-NORTE/28.PV</v>
      </c>
      <c r="I313" s="6" t="str" cm="1">
        <f t="array" ref="I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J313" s="6" t="str" cm="1">
        <f t="array" ref="J313">_xlfn.TEXTJOIN(", ",TRUE,_xlfn.UNIQUE(_xlfn._xlws.FILTER(ARQUIVOS_RECEBIDOS!$F$2:$F$5010,ARQUIVOS_RECEBIDOS!$E$2:$E$5010=LD_01[[#This Row],[DOCUMENTO]])))</f>
        <v>R02</v>
      </c>
      <c r="K313" s="12" cm="1">
        <f t="array" ref="K313">_xlfn.UNIQUE(_xlfn._xlws.FILTER(ARQUIVOS[DATA RECEBIMENTO],(ARQUIVOS[DOCUMENTO]=LD_01[[#This Row],[DOCUMENTO]])*(ARQUIVOS[REVISÃO]=LD_01[[#This Row],[REVISÃO]])))</f>
        <v>45838</v>
      </c>
      <c r="L3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M313" s="6" t="str">
        <f>LD_01[[#This Row],[PASTA]]&amp;"/"&amp;LD_01[[#This Row],[ARQUIVO]]</f>
        <v>MSV-163MS-512-NORTE/28.PV/MSV-163MS-512+760-ACE-EXE-DE-I2-002-R02.pdf</v>
      </c>
    </row>
    <row r="314" spans="1:13" hidden="1" x14ac:dyDescent="0.3">
      <c r="A314" s="6" t="s">
        <v>3107</v>
      </c>
      <c r="B314" s="6" t="str">
        <f>VLOOKUP(LD_01[[#This Row],[DOCUMENTO]],_xlfn.SORTBY(ARQUIVOS_RECEBIDOS!$E$2:$F$5010,ARQUIVOS_RECEBIDOS!$F$2:$F$5010,-1),2,)</f>
        <v>R03</v>
      </c>
      <c r="C314" s="15" t="s">
        <v>5987</v>
      </c>
      <c r="D314" s="6" t="s">
        <v>4315</v>
      </c>
      <c r="E314" s="8" t="s">
        <v>4083</v>
      </c>
      <c r="F314" s="8" t="s">
        <v>4331</v>
      </c>
      <c r="G314" s="6" t="str">
        <f>_xlfn.XLOOKUP(LD_01[[#This Row],[DISCIPLINA]],'CLASSES DE PROJETOS'!$F$3:$F$37,'CLASSES DE PROJETOS'!$C$3:$C$37)</f>
        <v>SI</v>
      </c>
      <c r="H314" t="str">
        <f>_xlfn.TEXTJOIN("/",TRUE,"MSV-163MS-"&amp;LD_01[[#This Row],[TRECHO]],_xlfn.XLOOKUP(LD_01[[#This Row],[SIGLA]],'CLASSES DE PROJETOS'!$C$3:$C$37,'CLASSES DE PROJETOS'!$E$3:$E$37))</f>
        <v>MSV-163MS-512-NORTE/31.SI</v>
      </c>
      <c r="I314" s="6" t="str" cm="1">
        <f t="array" ref="I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J314" s="6" t="str" cm="1">
        <f t="array" ref="J314">_xlfn.TEXTJOIN(", ",TRUE,_xlfn.UNIQUE(_xlfn._xlws.FILTER(ARQUIVOS_RECEBIDOS!$F$2:$F$5010,ARQUIVOS_RECEBIDOS!$E$2:$E$5010=LD_01[[#This Row],[DOCUMENTO]])))</f>
        <v>R03</v>
      </c>
      <c r="K314" s="12" cm="1">
        <f t="array" ref="K314">_xlfn.UNIQUE(_xlfn._xlws.FILTER(ARQUIVOS[DATA RECEBIMENTO],(ARQUIVOS[DOCUMENTO]=LD_01[[#This Row],[DOCUMENTO]])*(ARQUIVOS[REVISÃO]=LD_01[[#This Row],[REVISÃO]])))</f>
        <v>45838</v>
      </c>
      <c r="L3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M314" s="6" t="str">
        <f>LD_01[[#This Row],[PASTA]]&amp;"/"&amp;LD_01[[#This Row],[ARQUIVO]]</f>
        <v>MSV-163MS-512-NORTE/31.SI/MSV-163MS-512+760-ACE-EXE-DE-J1-001-R03.pdf</v>
      </c>
    </row>
    <row r="315" spans="1:13" ht="28.8" hidden="1" x14ac:dyDescent="0.3">
      <c r="A315" s="6" t="s">
        <v>3108</v>
      </c>
      <c r="B315" s="6" t="str">
        <f>VLOOKUP(LD_01[[#This Row],[DOCUMENTO]],_xlfn.SORTBY(ARQUIVOS_RECEBIDOS!$E$2:$F$5010,ARQUIVOS_RECEBIDOS!$F$2:$F$5010,-1),2,)</f>
        <v>R01</v>
      </c>
      <c r="C315" s="15" t="s">
        <v>5987</v>
      </c>
      <c r="D315" s="6" t="s">
        <v>4315</v>
      </c>
      <c r="E315" s="8" t="s">
        <v>4272</v>
      </c>
      <c r="F315" s="8" t="s">
        <v>4331</v>
      </c>
      <c r="G315" s="6" t="str">
        <f>_xlfn.XLOOKUP(LD_01[[#This Row],[DISCIPLINA]],'CLASSES DE PROJETOS'!$F$3:$F$37,'CLASSES DE PROJETOS'!$C$3:$C$37)</f>
        <v>SI</v>
      </c>
      <c r="H315" t="str">
        <f>_xlfn.TEXTJOIN("/",TRUE,"MSV-163MS-"&amp;LD_01[[#This Row],[TRECHO]],_xlfn.XLOOKUP(LD_01[[#This Row],[SIGLA]],'CLASSES DE PROJETOS'!$C$3:$C$37,'CLASSES DE PROJETOS'!$E$3:$E$37))</f>
        <v>MSV-163MS-512-NORTE/31.SI</v>
      </c>
      <c r="I315" s="6" t="str" cm="1">
        <f t="array" ref="I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J315" s="6" t="str" cm="1">
        <f t="array" ref="J315">_xlfn.TEXTJOIN(", ",TRUE,_xlfn.UNIQUE(_xlfn._xlws.FILTER(ARQUIVOS_RECEBIDOS!$F$2:$F$5010,ARQUIVOS_RECEBIDOS!$E$2:$E$5010=LD_01[[#This Row],[DOCUMENTO]])))</f>
        <v>R01</v>
      </c>
      <c r="K315" s="12" cm="1">
        <f t="array" ref="K315">_xlfn.UNIQUE(_xlfn._xlws.FILTER(ARQUIVOS[DATA RECEBIMENTO],(ARQUIVOS[DOCUMENTO]=LD_01[[#This Row],[DOCUMENTO]])*(ARQUIVOS[REVISÃO]=LD_01[[#This Row],[REVISÃO]])))</f>
        <v>45838</v>
      </c>
      <c r="L3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M315" s="6" t="str">
        <f>LD_01[[#This Row],[PASTA]]&amp;"/"&amp;LD_01[[#This Row],[ARQUIVO]]</f>
        <v>MSV-163MS-512-NORTE/31.SI/MSV-163MS-512+760-ACE-EXE-DE-J1-002-R01.pdf</v>
      </c>
    </row>
    <row r="316" spans="1:13" ht="28.8" hidden="1" x14ac:dyDescent="0.3">
      <c r="A316" s="6" t="s">
        <v>3109</v>
      </c>
      <c r="B316" s="6" t="str">
        <f>VLOOKUP(LD_01[[#This Row],[DOCUMENTO]],_xlfn.SORTBY(ARQUIVOS_RECEBIDOS!$E$2:$F$5010,ARQUIVOS_RECEBIDOS!$F$2:$F$5010,-1),2,)</f>
        <v>R00</v>
      </c>
      <c r="C316" s="15" t="s">
        <v>5987</v>
      </c>
      <c r="D316" s="6" t="s">
        <v>4315</v>
      </c>
      <c r="E316" s="8" t="s">
        <v>4273</v>
      </c>
      <c r="F316" s="8" t="s">
        <v>4331</v>
      </c>
      <c r="G316" s="6" t="str">
        <f>_xlfn.XLOOKUP(LD_01[[#This Row],[DISCIPLINA]],'CLASSES DE PROJETOS'!$F$3:$F$37,'CLASSES DE PROJETOS'!$C$3:$C$37)</f>
        <v>SI</v>
      </c>
      <c r="H316" t="str">
        <f>_xlfn.TEXTJOIN("/",TRUE,"MSV-163MS-"&amp;LD_01[[#This Row],[TRECHO]],_xlfn.XLOOKUP(LD_01[[#This Row],[SIGLA]],'CLASSES DE PROJETOS'!$C$3:$C$37,'CLASSES DE PROJETOS'!$E$3:$E$37))</f>
        <v>MSV-163MS-512-NORTE/31.SI</v>
      </c>
      <c r="I316" s="6" t="str" cm="1">
        <f t="array" ref="I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J316" s="6" t="str" cm="1">
        <f t="array" ref="J316">_xlfn.TEXTJOIN(", ",TRUE,_xlfn.UNIQUE(_xlfn._xlws.FILTER(ARQUIVOS_RECEBIDOS!$F$2:$F$5010,ARQUIVOS_RECEBIDOS!$E$2:$E$5010=LD_01[[#This Row],[DOCUMENTO]])))</f>
        <v>R00</v>
      </c>
      <c r="K316" s="12" cm="1">
        <f t="array" ref="K316">_xlfn.UNIQUE(_xlfn._xlws.FILTER(ARQUIVOS[DATA RECEBIMENTO],(ARQUIVOS[DOCUMENTO]=LD_01[[#This Row],[DOCUMENTO]])*(ARQUIVOS[REVISÃO]=LD_01[[#This Row],[REVISÃO]])))</f>
        <v>45838</v>
      </c>
      <c r="L3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M316" s="6" t="str">
        <f>LD_01[[#This Row],[PASTA]]&amp;"/"&amp;LD_01[[#This Row],[ARQUIVO]]</f>
        <v>MSV-163MS-512-NORTE/31.SI/MSV-163MS-512+760-ACE-EXE-DE-J1-003-R00.pdf</v>
      </c>
    </row>
    <row r="317" spans="1:13" ht="28.8" hidden="1" x14ac:dyDescent="0.3">
      <c r="A317" s="6" t="s">
        <v>3110</v>
      </c>
      <c r="B317" s="6" t="str">
        <f>VLOOKUP(LD_01[[#This Row],[DOCUMENTO]],_xlfn.SORTBY(ARQUIVOS_RECEBIDOS!$E$2:$F$5010,ARQUIVOS_RECEBIDOS!$F$2:$F$5010,-1),2,)</f>
        <v>R00</v>
      </c>
      <c r="C317" s="15" t="s">
        <v>5987</v>
      </c>
      <c r="D317" s="6" t="s">
        <v>4315</v>
      </c>
      <c r="E317" s="8" t="s">
        <v>4300</v>
      </c>
      <c r="F317" s="8" t="s">
        <v>4331</v>
      </c>
      <c r="G317" s="6" t="str">
        <f>_xlfn.XLOOKUP(LD_01[[#This Row],[DISCIPLINA]],'CLASSES DE PROJETOS'!$F$3:$F$37,'CLASSES DE PROJETOS'!$C$3:$C$37)</f>
        <v>SI</v>
      </c>
      <c r="H317" t="str">
        <f>_xlfn.TEXTJOIN("/",TRUE,"MSV-163MS-"&amp;LD_01[[#This Row],[TRECHO]],_xlfn.XLOOKUP(LD_01[[#This Row],[SIGLA]],'CLASSES DE PROJETOS'!$C$3:$C$37,'CLASSES DE PROJETOS'!$E$3:$E$37))</f>
        <v>MSV-163MS-512-NORTE/31.SI</v>
      </c>
      <c r="I317" s="6" t="str" cm="1">
        <f t="array" ref="I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J317" s="6" t="str" cm="1">
        <f t="array" ref="J317">_xlfn.TEXTJOIN(", ",TRUE,_xlfn.UNIQUE(_xlfn._xlws.FILTER(ARQUIVOS_RECEBIDOS!$F$2:$F$5010,ARQUIVOS_RECEBIDOS!$E$2:$E$5010=LD_01[[#This Row],[DOCUMENTO]])))</f>
        <v>R00</v>
      </c>
      <c r="K317" s="12" cm="1">
        <f t="array" ref="K317">_xlfn.UNIQUE(_xlfn._xlws.FILTER(ARQUIVOS[DATA RECEBIMENTO],(ARQUIVOS[DOCUMENTO]=LD_01[[#This Row],[DOCUMENTO]])*(ARQUIVOS[REVISÃO]=LD_01[[#This Row],[REVISÃO]])))</f>
        <v>45838</v>
      </c>
      <c r="L3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M317" s="6" t="str">
        <f>LD_01[[#This Row],[PASTA]]&amp;"/"&amp;LD_01[[#This Row],[ARQUIVO]]</f>
        <v>MSV-163MS-512-NORTE/31.SI/MSV-163MS-512+760-ACE-EXE-DE-J1-004-R00.pdf</v>
      </c>
    </row>
    <row r="318" spans="1:13" ht="43.2" hidden="1" x14ac:dyDescent="0.3">
      <c r="A318" s="6" t="s">
        <v>3118</v>
      </c>
      <c r="B318" s="6" t="str">
        <f>VLOOKUP(LD_01[[#This Row],[DOCUMENTO]],_xlfn.SORTBY(ARQUIVOS_RECEBIDOS!$E$2:$F$5010,ARQUIVOS_RECEBIDOS!$F$2:$F$5010,-1),2,)</f>
        <v>R02</v>
      </c>
      <c r="C318" s="15" t="s">
        <v>5987</v>
      </c>
      <c r="D318" s="6" t="s">
        <v>4315</v>
      </c>
      <c r="E318" s="8" t="s">
        <v>4170</v>
      </c>
      <c r="F318" s="8" t="s">
        <v>4333</v>
      </c>
      <c r="G318" s="6" t="str">
        <f>_xlfn.XLOOKUP(LD_01[[#This Row],[DISCIPLINA]],'CLASSES DE PROJETOS'!$F$3:$F$37,'CLASSES DE PROJETOS'!$C$3:$C$37)</f>
        <v>IN</v>
      </c>
      <c r="H318" t="str">
        <f>_xlfn.TEXTJOIN("/",TRUE,"MSV-163MS-"&amp;LD_01[[#This Row],[TRECHO]],_xlfn.XLOOKUP(LD_01[[#This Row],[SIGLA]],'CLASSES DE PROJETOS'!$C$3:$C$37,'CLASSES DE PROJETOS'!$E$3:$E$37))</f>
        <v>MSV-163MS-512-NORTE/23.IN</v>
      </c>
      <c r="I318" s="6" t="str" cm="1">
        <f t="array" ref="I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J318" s="6" t="str" cm="1">
        <f t="array" ref="J318">_xlfn.TEXTJOIN(", ",TRUE,_xlfn.UNIQUE(_xlfn._xlws.FILTER(ARQUIVOS_RECEBIDOS!$F$2:$F$5010,ARQUIVOS_RECEBIDOS!$E$2:$E$5010=LD_01[[#This Row],[DOCUMENTO]])))</f>
        <v>R02</v>
      </c>
      <c r="K318" s="12" cm="1">
        <f t="array" ref="K318">_xlfn.UNIQUE(_xlfn._xlws.FILTER(ARQUIVOS[DATA RECEBIMENTO],(ARQUIVOS[DOCUMENTO]=LD_01[[#This Row],[DOCUMENTO]])*(ARQUIVOS[REVISÃO]=LD_01[[#This Row],[REVISÃO]])))</f>
        <v>45838</v>
      </c>
      <c r="L3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M318" s="6" t="str">
        <f>LD_01[[#This Row],[PASTA]]&amp;"/"&amp;LD_01[[#This Row],[ARQUIVO]]</f>
        <v>MSV-163MS-512-NORTE/23.IN/MSV-163MS-512+760-ACE-EXE-DE-M1-001-R02.pdf</v>
      </c>
    </row>
    <row r="319" spans="1:13" ht="28.8" hidden="1" x14ac:dyDescent="0.3">
      <c r="A319" s="6" t="s">
        <v>3123</v>
      </c>
      <c r="B319" s="6" t="str">
        <f>VLOOKUP(LD_01[[#This Row],[DOCUMENTO]],_xlfn.SORTBY(ARQUIVOS_RECEBIDOS!$E$2:$F$5010,ARQUIVOS_RECEBIDOS!$F$2:$F$5010,-1),2,)</f>
        <v>R02</v>
      </c>
      <c r="C319" s="15" t="s">
        <v>5987</v>
      </c>
      <c r="D319" s="6" t="s">
        <v>4315</v>
      </c>
      <c r="E319" s="8" t="s">
        <v>4168</v>
      </c>
      <c r="F319" s="8" t="s">
        <v>4334</v>
      </c>
      <c r="G319" s="6" t="str">
        <f>_xlfn.XLOOKUP(LD_01[[#This Row],[DISCIPLINA]],'CLASSES DE PROJETOS'!$F$3:$F$37,'CLASSES DE PROJETOS'!$C$3:$C$37)</f>
        <v>PA</v>
      </c>
      <c r="H319" t="str">
        <f>_xlfn.TEXTJOIN("/",TRUE,"MSV-163MS-"&amp;LD_01[[#This Row],[TRECHO]],_xlfn.XLOOKUP(LD_01[[#This Row],[SIGLA]],'CLASSES DE PROJETOS'!$C$3:$C$37,'CLASSES DE PROJETOS'!$E$3:$E$37))</f>
        <v>MSV-163MS-512-NORTE/27.PA</v>
      </c>
      <c r="I319" s="6" t="str" cm="1">
        <f t="array" ref="I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J319" s="6" t="str" cm="1">
        <f t="array" ref="J319">_xlfn.TEXTJOIN(", ",TRUE,_xlfn.UNIQUE(_xlfn._xlws.FILTER(ARQUIVOS_RECEBIDOS!$F$2:$F$5010,ARQUIVOS_RECEBIDOS!$E$2:$E$5010=LD_01[[#This Row],[DOCUMENTO]])))</f>
        <v>R02</v>
      </c>
      <c r="K319" s="12" cm="1">
        <f t="array" ref="K319">_xlfn.UNIQUE(_xlfn._xlws.FILTER(ARQUIVOS[DATA RECEBIMENTO],(ARQUIVOS[DOCUMENTO]=LD_01[[#This Row],[DOCUMENTO]])*(ARQUIVOS[REVISÃO]=LD_01[[#This Row],[REVISÃO]])))</f>
        <v>45838</v>
      </c>
      <c r="L3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M319" s="6" t="str">
        <f>LD_01[[#This Row],[PASTA]]&amp;"/"&amp;LD_01[[#This Row],[ARQUIVO]]</f>
        <v>MSV-163MS-512-NORTE/27.PA/MSV-163MS-512+760-ACE-EXE-DE-N2-001-R02.pdf</v>
      </c>
    </row>
    <row r="320" spans="1:13" ht="28.8" hidden="1" x14ac:dyDescent="0.3">
      <c r="A320" s="6" t="s">
        <v>3120</v>
      </c>
      <c r="B320" s="6" t="str">
        <f>VLOOKUP(LD_01[[#This Row],[DOCUMENTO]],_xlfn.SORTBY(ARQUIVOS_RECEBIDOS!$E$2:$F$5010,ARQUIVOS_RECEBIDOS!$F$2:$F$5010,-1),2,)</f>
        <v>R02</v>
      </c>
      <c r="C320" s="15" t="s">
        <v>5987</v>
      </c>
      <c r="D320" s="6" t="s">
        <v>4315</v>
      </c>
      <c r="E320" s="8" t="s">
        <v>4303</v>
      </c>
      <c r="F320" s="8" t="s">
        <v>4144</v>
      </c>
      <c r="G320" s="6" t="str">
        <f>_xlfn.XLOOKUP(LD_01[[#This Row],[DISCIPLINA]],'CLASSES DE PROJETOS'!$F$3:$F$37,'CLASSES DE PROJETOS'!$C$3:$C$37)</f>
        <v>DV</v>
      </c>
      <c r="H320" t="str">
        <f>_xlfn.TEXTJOIN("/",TRUE,"MSV-163MS-"&amp;LD_01[[#This Row],[TRECHO]],_xlfn.XLOOKUP(LD_01[[#This Row],[SIGLA]],'CLASSES DE PROJETOS'!$C$3:$C$37,'CLASSES DE PROJETOS'!$E$3:$E$37))</f>
        <v>MSV-163MS-512-NORTE/12.DV</v>
      </c>
      <c r="I320" s="6" t="str" cm="1">
        <f t="array" ref="I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J320" s="6" t="str" cm="1">
        <f t="array" ref="J320">_xlfn.TEXTJOIN(", ",TRUE,_xlfn.UNIQUE(_xlfn._xlws.FILTER(ARQUIVOS_RECEBIDOS!$F$2:$F$5010,ARQUIVOS_RECEBIDOS!$E$2:$E$5010=LD_01[[#This Row],[DOCUMENTO]])))</f>
        <v>R02</v>
      </c>
      <c r="K320" s="12" cm="1">
        <f t="array" ref="K320">_xlfn.UNIQUE(_xlfn._xlws.FILTER(ARQUIVOS[DATA RECEBIMENTO],(ARQUIVOS[DOCUMENTO]=LD_01[[#This Row],[DOCUMENTO]])*(ARQUIVOS[REVISÃO]=LD_01[[#This Row],[REVISÃO]])))</f>
        <v>45838</v>
      </c>
      <c r="L3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M320" s="6" t="str">
        <f>LD_01[[#This Row],[PASTA]]&amp;"/"&amp;LD_01[[#This Row],[ARQUIVO]]</f>
        <v>MSV-163MS-512-NORTE/12.DV/MSV-163MS-512+760-ACE-EXE-DE-O2-001-R02.pdf</v>
      </c>
    </row>
    <row r="321" spans="1:13" ht="28.8" hidden="1" x14ac:dyDescent="0.3">
      <c r="A321" s="6" t="s">
        <v>3121</v>
      </c>
      <c r="B321" s="6" t="str">
        <f>VLOOKUP(LD_01[[#This Row],[DOCUMENTO]],_xlfn.SORTBY(ARQUIVOS_RECEBIDOS!$E$2:$F$5010,ARQUIVOS_RECEBIDOS!$F$2:$F$5010,-1),2,)</f>
        <v>R00</v>
      </c>
      <c r="C321" s="15" t="s">
        <v>5987</v>
      </c>
      <c r="D321" s="6" t="s">
        <v>4315</v>
      </c>
      <c r="E321" s="8" t="s">
        <v>4172</v>
      </c>
      <c r="F321" s="8" t="s">
        <v>4144</v>
      </c>
      <c r="G321" s="6" t="str">
        <f>_xlfn.XLOOKUP(LD_01[[#This Row],[DISCIPLINA]],'CLASSES DE PROJETOS'!$F$3:$F$37,'CLASSES DE PROJETOS'!$C$3:$C$37)</f>
        <v>DV</v>
      </c>
      <c r="H321" t="str">
        <f>_xlfn.TEXTJOIN("/",TRUE,"MSV-163MS-"&amp;LD_01[[#This Row],[TRECHO]],_xlfn.XLOOKUP(LD_01[[#This Row],[SIGLA]],'CLASSES DE PROJETOS'!$C$3:$C$37,'CLASSES DE PROJETOS'!$E$3:$E$37))</f>
        <v>MSV-163MS-512-NORTE/12.DV</v>
      </c>
      <c r="I321" s="6" t="str" cm="1">
        <f t="array" ref="I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J321" s="6" t="str" cm="1">
        <f t="array" ref="J321">_xlfn.TEXTJOIN(", ",TRUE,_xlfn.UNIQUE(_xlfn._xlws.FILTER(ARQUIVOS_RECEBIDOS!$F$2:$F$5010,ARQUIVOS_RECEBIDOS!$E$2:$E$5010=LD_01[[#This Row],[DOCUMENTO]])))</f>
        <v>R00</v>
      </c>
      <c r="K321" s="12" cm="1">
        <f t="array" ref="K321">_xlfn.UNIQUE(_xlfn._xlws.FILTER(ARQUIVOS[DATA RECEBIMENTO],(ARQUIVOS[DOCUMENTO]=LD_01[[#This Row],[DOCUMENTO]])*(ARQUIVOS[REVISÃO]=LD_01[[#This Row],[REVISÃO]])))</f>
        <v>45838</v>
      </c>
      <c r="L3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M321" s="6" t="str">
        <f>LD_01[[#This Row],[PASTA]]&amp;"/"&amp;LD_01[[#This Row],[ARQUIVO]]</f>
        <v>MSV-163MS-512-NORTE/12.DV/MSV-163MS-512+760-ACE-EXE-DE-O2-002-R00.pdf</v>
      </c>
    </row>
    <row r="322" spans="1:13" ht="28.8" hidden="1" x14ac:dyDescent="0.3">
      <c r="A322" s="6" t="s">
        <v>3101</v>
      </c>
      <c r="B322" s="6" t="str">
        <f>VLOOKUP(LD_01[[#This Row],[DOCUMENTO]],_xlfn.SORTBY(ARQUIVOS_RECEBIDOS!$E$2:$F$5010,ARQUIVOS_RECEBIDOS!$F$2:$F$5010,-1),2,)</f>
        <v>R02</v>
      </c>
      <c r="C322" s="15" t="s">
        <v>5987</v>
      </c>
      <c r="D322" s="6" t="s">
        <v>4315</v>
      </c>
      <c r="E322" s="8" t="s">
        <v>4297</v>
      </c>
      <c r="F322" s="8" t="s">
        <v>4330</v>
      </c>
      <c r="G322" s="6" t="str">
        <f>_xlfn.XLOOKUP(LD_01[[#This Row],[DISCIPLINA]],'CLASSES DE PROJETOS'!$F$3:$F$37,'CLASSES DE PROJETOS'!$C$3:$C$37)</f>
        <v>TE</v>
      </c>
      <c r="H322" t="str">
        <f>_xlfn.TEXTJOIN("/",TRUE,"MSV-163MS-"&amp;LD_01[[#This Row],[TRECHO]],_xlfn.XLOOKUP(LD_01[[#This Row],[SIGLA]],'CLASSES DE PROJETOS'!$C$3:$C$37,'CLASSES DE PROJETOS'!$E$3:$E$37))</f>
        <v>MSV-163MS-512-NORTE/32.TE</v>
      </c>
      <c r="I322" s="6" t="str" cm="1">
        <f t="array" ref="I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J322" s="6" t="str" cm="1">
        <f t="array" ref="J322">_xlfn.TEXTJOIN(", ",TRUE,_xlfn.UNIQUE(_xlfn._xlws.FILTER(ARQUIVOS_RECEBIDOS!$F$2:$F$5010,ARQUIVOS_RECEBIDOS!$E$2:$E$5010=LD_01[[#This Row],[DOCUMENTO]])))</f>
        <v>R02</v>
      </c>
      <c r="K322" s="12" cm="1">
        <f t="array" ref="K322">_xlfn.UNIQUE(_xlfn._xlws.FILTER(ARQUIVOS[DATA RECEBIMENTO],(ARQUIVOS[DOCUMENTO]=LD_01[[#This Row],[DOCUMENTO]])*(ARQUIVOS[REVISÃO]=LD_01[[#This Row],[REVISÃO]])))</f>
        <v>45838</v>
      </c>
      <c r="L3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M322" s="6" t="str">
        <f>LD_01[[#This Row],[PASTA]]&amp;"/"&amp;LD_01[[#This Row],[ARQUIVO]]</f>
        <v>MSV-163MS-512-NORTE/32.TE/MSV-163MS-512+760-ACE-EXE-MC-G1-001-R02.pdf</v>
      </c>
    </row>
    <row r="323" spans="1:13" ht="28.8" hidden="1" x14ac:dyDescent="0.3">
      <c r="A323" s="6" t="s">
        <v>3105</v>
      </c>
      <c r="B323" s="6" t="str">
        <f>VLOOKUP(LD_01[[#This Row],[DOCUMENTO]],_xlfn.SORTBY(ARQUIVOS_RECEBIDOS!$E$2:$F$5010,ARQUIVOS_RECEBIDOS!$F$2:$F$5010,-1),2,)</f>
        <v>R02</v>
      </c>
      <c r="C323" s="15" t="s">
        <v>5987</v>
      </c>
      <c r="D323" s="6" t="s">
        <v>4315</v>
      </c>
      <c r="E323" s="8" t="s">
        <v>4270</v>
      </c>
      <c r="F323" s="8" t="s">
        <v>4142</v>
      </c>
      <c r="G323" s="6" t="str">
        <f>_xlfn.XLOOKUP(LD_01[[#This Row],[DISCIPLINA]],'CLASSES DE PROJETOS'!$F$3:$F$37,'CLASSES DE PROJETOS'!$C$3:$C$37)</f>
        <v>DR</v>
      </c>
      <c r="H323" t="str">
        <f>_xlfn.TEXTJOIN("/",TRUE,"MSV-163MS-"&amp;LD_01[[#This Row],[TRECHO]],_xlfn.XLOOKUP(LD_01[[#This Row],[SIGLA]],'CLASSES DE PROJETOS'!$C$3:$C$37,'CLASSES DE PROJETOS'!$E$3:$E$37))</f>
        <v>MSV-163MS-512-NORTE/10.DR</v>
      </c>
      <c r="I323" s="6" t="str" cm="1">
        <f t="array" ref="I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J323" s="6" t="str" cm="1">
        <f t="array" ref="J323">_xlfn.TEXTJOIN(", ",TRUE,_xlfn.UNIQUE(_xlfn._xlws.FILTER(ARQUIVOS_RECEBIDOS!$F$2:$F$5010,ARQUIVOS_RECEBIDOS!$E$2:$E$5010=LD_01[[#This Row],[DOCUMENTO]])))</f>
        <v>R01, R02</v>
      </c>
      <c r="K323" s="12" cm="1">
        <f t="array" ref="K323">_xlfn.UNIQUE(_xlfn._xlws.FILTER(ARQUIVOS[DATA RECEBIMENTO],(ARQUIVOS[DOCUMENTO]=LD_01[[#This Row],[DOCUMENTO]])*(ARQUIVOS[REVISÃO]=LD_01[[#This Row],[REVISÃO]])))</f>
        <v>45895</v>
      </c>
      <c r="L3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M323" s="6" t="str">
        <f>LD_01[[#This Row],[PASTA]]&amp;"/"&amp;LD_01[[#This Row],[ARQUIVO]]</f>
        <v>MSV-163MS-512-NORTE/10.DR/MSV-163MS-512+760-ACE-EXE-MC-H2-001-R02.pdf</v>
      </c>
    </row>
    <row r="324" spans="1:13" ht="28.8" hidden="1" x14ac:dyDescent="0.3">
      <c r="A324" s="6" t="s">
        <v>3106</v>
      </c>
      <c r="B324" s="6" t="str">
        <f>VLOOKUP(LD_01[[#This Row],[DOCUMENTO]],_xlfn.SORTBY(ARQUIVOS_RECEBIDOS!$E$2:$F$5010,ARQUIVOS_RECEBIDOS!$F$2:$F$5010,-1),2,)</f>
        <v>R01</v>
      </c>
      <c r="C324" s="15" t="s">
        <v>5987</v>
      </c>
      <c r="D324" s="6" t="s">
        <v>4315</v>
      </c>
      <c r="E324" s="8" t="s">
        <v>4271</v>
      </c>
      <c r="F324" s="8" t="s">
        <v>4142</v>
      </c>
      <c r="G324" s="6" t="str">
        <f>_xlfn.XLOOKUP(LD_01[[#This Row],[DISCIPLINA]],'CLASSES DE PROJETOS'!$F$3:$F$37,'CLASSES DE PROJETOS'!$C$3:$C$37)</f>
        <v>DR</v>
      </c>
      <c r="H324" t="str">
        <f>_xlfn.TEXTJOIN("/",TRUE,"MSV-163MS-"&amp;LD_01[[#This Row],[TRECHO]],_xlfn.XLOOKUP(LD_01[[#This Row],[SIGLA]],'CLASSES DE PROJETOS'!$C$3:$C$37,'CLASSES DE PROJETOS'!$E$3:$E$37))</f>
        <v>MSV-163MS-512-NORTE/10.DR</v>
      </c>
      <c r="I324" s="6" t="str" cm="1">
        <f t="array" ref="I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J324" s="6" t="str" cm="1">
        <f t="array" ref="J324">_xlfn.TEXTJOIN(", ",TRUE,_xlfn.UNIQUE(_xlfn._xlws.FILTER(ARQUIVOS_RECEBIDOS!$F$2:$F$5010,ARQUIVOS_RECEBIDOS!$E$2:$E$5010=LD_01[[#This Row],[DOCUMENTO]])))</f>
        <v>R01</v>
      </c>
      <c r="K324" s="12" cm="1">
        <f t="array" ref="K324">_xlfn.UNIQUE(_xlfn._xlws.FILTER(ARQUIVOS[DATA RECEBIMENTO],(ARQUIVOS[DOCUMENTO]=LD_01[[#This Row],[DOCUMENTO]])*(ARQUIVOS[REVISÃO]=LD_01[[#This Row],[REVISÃO]])))</f>
        <v>45838</v>
      </c>
      <c r="L3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M324" s="6" t="str">
        <f>LD_01[[#This Row],[PASTA]]&amp;"/"&amp;LD_01[[#This Row],[ARQUIVO]]</f>
        <v>MSV-163MS-512-NORTE/10.DR/MSV-163MS-512+760-ACE-EXE-MD-H1-001-R01.pdf</v>
      </c>
    </row>
    <row r="325" spans="1:13" ht="28.8" hidden="1" x14ac:dyDescent="0.3">
      <c r="A325" s="6" t="s">
        <v>3113</v>
      </c>
      <c r="B325" s="6" t="str">
        <f>VLOOKUP(LD_01[[#This Row],[DOCUMENTO]],_xlfn.SORTBY(ARQUIVOS_RECEBIDOS!$E$2:$F$5010,ARQUIVOS_RECEBIDOS!$F$2:$F$5010,-1),2,)</f>
        <v>R02</v>
      </c>
      <c r="C325" s="15" t="s">
        <v>5987</v>
      </c>
      <c r="D325" s="6" t="s">
        <v>4315</v>
      </c>
      <c r="E325" s="8" t="s">
        <v>4278</v>
      </c>
      <c r="F325" s="8" t="s">
        <v>4143</v>
      </c>
      <c r="G325" s="6" t="str">
        <f>_xlfn.XLOOKUP(LD_01[[#This Row],[DISCIPLINA]],'CLASSES DE PROJETOS'!$F$3:$F$37,'CLASSES DE PROJETOS'!$C$3:$C$37)</f>
        <v>PV</v>
      </c>
      <c r="H325" t="str">
        <f>_xlfn.TEXTJOIN("/",TRUE,"MSV-163MS-"&amp;LD_01[[#This Row],[TRECHO]],_xlfn.XLOOKUP(LD_01[[#This Row],[SIGLA]],'CLASSES DE PROJETOS'!$C$3:$C$37,'CLASSES DE PROJETOS'!$E$3:$E$37))</f>
        <v>MSV-163MS-512-NORTE/28.PV</v>
      </c>
      <c r="I325" s="6" t="str" cm="1">
        <f t="array" ref="I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J325" s="6" t="str" cm="1">
        <f t="array" ref="J325">_xlfn.TEXTJOIN(", ",TRUE,_xlfn.UNIQUE(_xlfn._xlws.FILTER(ARQUIVOS_RECEBIDOS!$F$2:$F$5010,ARQUIVOS_RECEBIDOS!$E$2:$E$5010=LD_01[[#This Row],[DOCUMENTO]])))</f>
        <v>R02</v>
      </c>
      <c r="K325" s="12" cm="1">
        <f t="array" ref="K325">_xlfn.UNIQUE(_xlfn._xlws.FILTER(ARQUIVOS[DATA RECEBIMENTO],(ARQUIVOS[DOCUMENTO]=LD_01[[#This Row],[DOCUMENTO]])*(ARQUIVOS[REVISÃO]=LD_01[[#This Row],[REVISÃO]])))</f>
        <v>45838</v>
      </c>
      <c r="L3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M325" s="6" t="str">
        <f>LD_01[[#This Row],[PASTA]]&amp;"/"&amp;LD_01[[#This Row],[ARQUIVO]]</f>
        <v>MSV-163MS-512-NORTE/28.PV/MSV-163MS-512+760-ACE-EXE-MD-I2-001-R02.pdf</v>
      </c>
    </row>
    <row r="326" spans="1:13" ht="28.8" hidden="1" x14ac:dyDescent="0.3">
      <c r="A326" s="6" t="s">
        <v>4062</v>
      </c>
      <c r="B326" s="6" t="str">
        <f>VLOOKUP(LD_01[[#This Row],[DOCUMENTO]],_xlfn.SORTBY(ARQUIVOS_RECEBIDOS!$E$2:$F$5010,ARQUIVOS_RECEBIDOS!$F$2:$F$5010,-1),2,)</f>
        <v>R00</v>
      </c>
      <c r="C326" s="15" t="s">
        <v>5987</v>
      </c>
      <c r="D326" s="6" t="s">
        <v>4315</v>
      </c>
      <c r="E326" s="8" t="s">
        <v>4245</v>
      </c>
      <c r="F326" s="8" t="s">
        <v>4331</v>
      </c>
      <c r="G326" s="6" t="str">
        <f>_xlfn.XLOOKUP(LD_01[[#This Row],[DISCIPLINA]],'CLASSES DE PROJETOS'!$F$3:$F$37,'CLASSES DE PROJETOS'!$C$3:$C$37)</f>
        <v>SI</v>
      </c>
      <c r="H326" t="str">
        <f>_xlfn.TEXTJOIN("/",TRUE,"MSV-163MS-"&amp;LD_01[[#This Row],[TRECHO]],_xlfn.XLOOKUP(LD_01[[#This Row],[SIGLA]],'CLASSES DE PROJETOS'!$C$3:$C$37,'CLASSES DE PROJETOS'!$E$3:$E$37))</f>
        <v>MSV-163MS-512-NORTE/31.SI</v>
      </c>
      <c r="I326" s="6" t="str" cm="1">
        <f t="array" ref="I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J326" s="6" t="str" cm="1">
        <f t="array" ref="J326">_xlfn.TEXTJOIN(", ",TRUE,_xlfn.UNIQUE(_xlfn._xlws.FILTER(ARQUIVOS_RECEBIDOS!$F$2:$F$5010,ARQUIVOS_RECEBIDOS!$E$2:$E$5010=LD_01[[#This Row],[DOCUMENTO]])))</f>
        <v>R00</v>
      </c>
      <c r="K326" s="12" cm="1">
        <f t="array" ref="K326">_xlfn.UNIQUE(_xlfn._xlws.FILTER(ARQUIVOS[DATA RECEBIMENTO],(ARQUIVOS[DOCUMENTO]=LD_01[[#This Row],[DOCUMENTO]])*(ARQUIVOS[REVISÃO]=LD_01[[#This Row],[REVISÃO]])))</f>
        <v>45895</v>
      </c>
      <c r="L3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M326" s="6" t="str">
        <f>LD_01[[#This Row],[PASTA]]&amp;"/"&amp;LD_01[[#This Row],[ARQUIVO]]</f>
        <v>MSV-163MS-512-NORTE/31.SI/MSV-163MS-512+760-ACE-EXE-MD-J1-001-R00.pdf</v>
      </c>
    </row>
    <row r="327" spans="1:13" ht="28.8" hidden="1" x14ac:dyDescent="0.3">
      <c r="A327" s="6" t="s">
        <v>3124</v>
      </c>
      <c r="B327" s="6" t="str">
        <f>VLOOKUP(LD_01[[#This Row],[DOCUMENTO]],_xlfn.SORTBY(ARQUIVOS_RECEBIDOS!$E$2:$F$5010,ARQUIVOS_RECEBIDOS!$F$2:$F$5010,-1),2,)</f>
        <v>R00</v>
      </c>
      <c r="C327" s="15" t="s">
        <v>5987</v>
      </c>
      <c r="D327" s="6" t="s">
        <v>4315</v>
      </c>
      <c r="E327" s="8" t="s">
        <v>4169</v>
      </c>
      <c r="F327" s="8" t="s">
        <v>4334</v>
      </c>
      <c r="G327" s="6" t="str">
        <f>_xlfn.XLOOKUP(LD_01[[#This Row],[DISCIPLINA]],'CLASSES DE PROJETOS'!$F$3:$F$37,'CLASSES DE PROJETOS'!$C$3:$C$37)</f>
        <v>PA</v>
      </c>
      <c r="H327" t="str">
        <f>_xlfn.TEXTJOIN("/",TRUE,"MSV-163MS-"&amp;LD_01[[#This Row],[TRECHO]],_xlfn.XLOOKUP(LD_01[[#This Row],[SIGLA]],'CLASSES DE PROJETOS'!$C$3:$C$37,'CLASSES DE PROJETOS'!$E$3:$E$37))</f>
        <v>MSV-163MS-512-NORTE/27.PA</v>
      </c>
      <c r="I327" s="6" t="str" cm="1">
        <f t="array" ref="I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J327" s="6" t="str" cm="1">
        <f t="array" ref="J327">_xlfn.TEXTJOIN(", ",TRUE,_xlfn.UNIQUE(_xlfn._xlws.FILTER(ARQUIVOS_RECEBIDOS!$F$2:$F$5010,ARQUIVOS_RECEBIDOS!$E$2:$E$5010=LD_01[[#This Row],[DOCUMENTO]])))</f>
        <v>R00</v>
      </c>
      <c r="K327" s="12" cm="1">
        <f t="array" ref="K327">_xlfn.UNIQUE(_xlfn._xlws.FILTER(ARQUIVOS[DATA RECEBIMENTO],(ARQUIVOS[DOCUMENTO]=LD_01[[#This Row],[DOCUMENTO]])*(ARQUIVOS[REVISÃO]=LD_01[[#This Row],[REVISÃO]])))</f>
        <v>45838</v>
      </c>
      <c r="L3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M327" s="6" t="str">
        <f>LD_01[[#This Row],[PASTA]]&amp;"/"&amp;LD_01[[#This Row],[ARQUIVO]]</f>
        <v>MSV-163MS-512-NORTE/27.PA/MSV-163MS-512+760-ACE-EXE-MD-N2-001-R00.pdf</v>
      </c>
    </row>
    <row r="328" spans="1:13" ht="28.8" hidden="1" x14ac:dyDescent="0.3">
      <c r="A328" s="6" t="s">
        <v>3122</v>
      </c>
      <c r="B328" s="6" t="str">
        <f>VLOOKUP(LD_01[[#This Row],[DOCUMENTO]],_xlfn.SORTBY(ARQUIVOS_RECEBIDOS!$E$2:$F$5010,ARQUIVOS_RECEBIDOS!$F$2:$F$5010,-1),2,)</f>
        <v>R00</v>
      </c>
      <c r="C328" s="15" t="s">
        <v>5987</v>
      </c>
      <c r="D328" s="6" t="s">
        <v>4315</v>
      </c>
      <c r="E328" s="8" t="s">
        <v>4167</v>
      </c>
      <c r="F328" s="8" t="s">
        <v>4144</v>
      </c>
      <c r="G328" s="6" t="str">
        <f>_xlfn.XLOOKUP(LD_01[[#This Row],[DISCIPLINA]],'CLASSES DE PROJETOS'!$F$3:$F$37,'CLASSES DE PROJETOS'!$C$3:$C$37)</f>
        <v>DV</v>
      </c>
      <c r="H328" t="str">
        <f>_xlfn.TEXTJOIN("/",TRUE,"MSV-163MS-"&amp;LD_01[[#This Row],[TRECHO]],_xlfn.XLOOKUP(LD_01[[#This Row],[SIGLA]],'CLASSES DE PROJETOS'!$C$3:$C$37,'CLASSES DE PROJETOS'!$E$3:$E$37))</f>
        <v>MSV-163MS-512-NORTE/12.DV</v>
      </c>
      <c r="I328" s="6" t="str" cm="1">
        <f t="array" ref="I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J328" s="6" t="str" cm="1">
        <f t="array" ref="J328">_xlfn.TEXTJOIN(", ",TRUE,_xlfn.UNIQUE(_xlfn._xlws.FILTER(ARQUIVOS_RECEBIDOS!$F$2:$F$5010,ARQUIVOS_RECEBIDOS!$E$2:$E$5010=LD_01[[#This Row],[DOCUMENTO]])))</f>
        <v>R00</v>
      </c>
      <c r="K328" s="12" cm="1">
        <f t="array" ref="K328">_xlfn.UNIQUE(_xlfn._xlws.FILTER(ARQUIVOS[DATA RECEBIMENTO],(ARQUIVOS[DOCUMENTO]=LD_01[[#This Row],[DOCUMENTO]])*(ARQUIVOS[REVISÃO]=LD_01[[#This Row],[REVISÃO]])))</f>
        <v>45838</v>
      </c>
      <c r="L3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M328" s="6" t="str">
        <f>LD_01[[#This Row],[PASTA]]&amp;"/"&amp;LD_01[[#This Row],[ARQUIVO]]</f>
        <v>MSV-163MS-512-NORTE/12.DV/MSV-163MS-512+760-ACE-EXE-MD-O2-001-R00.pdf</v>
      </c>
    </row>
    <row r="329" spans="1:13" ht="28.8" hidden="1" x14ac:dyDescent="0.3">
      <c r="A329" s="6" t="s">
        <v>3114</v>
      </c>
      <c r="B329" s="6" t="str">
        <f>VLOOKUP(LD_01[[#This Row],[DOCUMENTO]],_xlfn.SORTBY(ARQUIVOS_RECEBIDOS!$E$2:$F$5010,ARQUIVOS_RECEBIDOS!$F$2:$F$5010,-1),2,)</f>
        <v>R02</v>
      </c>
      <c r="C329" s="15" t="s">
        <v>5987</v>
      </c>
      <c r="D329" s="6" t="s">
        <v>4315</v>
      </c>
      <c r="E329" s="8" t="s">
        <v>4302</v>
      </c>
      <c r="F329" s="8" t="s">
        <v>4143</v>
      </c>
      <c r="G329" s="6" t="str">
        <f>_xlfn.XLOOKUP(LD_01[[#This Row],[DISCIPLINA]],'CLASSES DE PROJETOS'!$F$3:$F$37,'CLASSES DE PROJETOS'!$C$3:$C$37)</f>
        <v>PV</v>
      </c>
      <c r="H329" t="str">
        <f>_xlfn.TEXTJOIN("/",TRUE,"MSV-163MS-"&amp;LD_01[[#This Row],[TRECHO]],_xlfn.XLOOKUP(LD_01[[#This Row],[SIGLA]],'CLASSES DE PROJETOS'!$C$3:$C$37,'CLASSES DE PROJETOS'!$E$3:$E$37))</f>
        <v>MSV-163MS-512-NORTE/28.PV</v>
      </c>
      <c r="I329" s="6" t="str" cm="1">
        <f t="array" ref="I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J329" s="6" t="str" cm="1">
        <f t="array" ref="J329">_xlfn.TEXTJOIN(", ",TRUE,_xlfn.UNIQUE(_xlfn._xlws.FILTER(ARQUIVOS_RECEBIDOS!$F$2:$F$5010,ARQUIVOS_RECEBIDOS!$E$2:$E$5010=LD_01[[#This Row],[DOCUMENTO]])))</f>
        <v>R02</v>
      </c>
      <c r="K329" s="12" cm="1">
        <f t="array" ref="K329">_xlfn.UNIQUE(_xlfn._xlws.FILTER(ARQUIVOS[DATA RECEBIMENTO],(ARQUIVOS[DOCUMENTO]=LD_01[[#This Row],[DOCUMENTO]])*(ARQUIVOS[REVISÃO]=LD_01[[#This Row],[REVISÃO]])))</f>
        <v>45838</v>
      </c>
      <c r="L3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M329" s="6" t="str">
        <f>LD_01[[#This Row],[PASTA]]&amp;"/"&amp;LD_01[[#This Row],[ARQUIVO]]</f>
        <v>MSV-163MS-512-NORTE/28.PV/MSV-163MS-512+760-ACE-EXE-NS-C3-001-R02.pdf</v>
      </c>
    </row>
    <row r="330" spans="1:13" hidden="1" x14ac:dyDescent="0.3">
      <c r="A330" s="6" t="s">
        <v>3095</v>
      </c>
      <c r="B330" s="6" t="str">
        <f>VLOOKUP(LD_01[[#This Row],[DOCUMENTO]],_xlfn.SORTBY(ARQUIVOS_RECEBIDOS!$E$2:$F$5010,ARQUIVOS_RECEBIDOS!$F$2:$F$5010,-1),2,)</f>
        <v>R00</v>
      </c>
      <c r="C330" s="15" t="s">
        <v>5987</v>
      </c>
      <c r="D330" s="6" t="s">
        <v>4315</v>
      </c>
      <c r="E330" s="8" t="s">
        <v>4165</v>
      </c>
      <c r="F330" s="8" t="s">
        <v>4163</v>
      </c>
      <c r="G330" s="6" t="str">
        <f>_xlfn.XLOOKUP(LD_01[[#This Row],[DISCIPLINA]],'CLASSES DE PROJETOS'!$F$3:$F$37,'CLASSES DE PROJETOS'!$C$3:$C$37)</f>
        <v>TO</v>
      </c>
      <c r="H330" t="str">
        <f>_xlfn.TEXTJOIN("/",TRUE,"MSV-163MS-"&amp;LD_01[[#This Row],[TRECHO]],_xlfn.XLOOKUP(LD_01[[#This Row],[SIGLA]],'CLASSES DE PROJETOS'!$C$3:$C$37,'CLASSES DE PROJETOS'!$E$3:$E$37))</f>
        <v>MSV-163MS-512-NORTE/33.TO</v>
      </c>
      <c r="I330" s="6" t="str" cm="1">
        <f t="array" ref="I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J330" s="6" t="str" cm="1">
        <f t="array" ref="J330">_xlfn.TEXTJOIN(", ",TRUE,_xlfn.UNIQUE(_xlfn._xlws.FILTER(ARQUIVOS_RECEBIDOS!$F$2:$F$5010,ARQUIVOS_RECEBIDOS!$E$2:$E$5010=LD_01[[#This Row],[DOCUMENTO]])))</f>
        <v>R00</v>
      </c>
      <c r="K330" s="12" cm="1">
        <f t="array" ref="K330">_xlfn.UNIQUE(_xlfn._xlws.FILTER(ARQUIVOS[DATA RECEBIMENTO],(ARQUIVOS[DOCUMENTO]=LD_01[[#This Row],[DOCUMENTO]])*(ARQUIVOS[REVISÃO]=LD_01[[#This Row],[REVISÃO]])))</f>
        <v>45838</v>
      </c>
      <c r="L3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M330" s="6" t="str">
        <f>LD_01[[#This Row],[PASTA]]&amp;"/"&amp;LD_01[[#This Row],[ARQUIVO]]</f>
        <v>MSV-163MS-512-NORTE/33.TO/MSV-163MS-512+760-ACE-EXE-RT-C1-001-R00.pdf</v>
      </c>
    </row>
    <row r="331" spans="1:13" ht="28.8" hidden="1" x14ac:dyDescent="0.3">
      <c r="A331" s="6" t="s">
        <v>3116</v>
      </c>
      <c r="B331" s="6" t="str">
        <f>VLOOKUP(LD_01[[#This Row],[DOCUMENTO]],_xlfn.SORTBY(ARQUIVOS_RECEBIDOS!$E$2:$F$5010,ARQUIVOS_RECEBIDOS!$F$2:$F$5010,-1),2,)</f>
        <v>R01</v>
      </c>
      <c r="C331" s="15" t="s">
        <v>5987</v>
      </c>
      <c r="D331" s="6" t="s">
        <v>4315</v>
      </c>
      <c r="E331" s="8" t="s">
        <v>4092</v>
      </c>
      <c r="F331" s="8" t="s">
        <v>4332</v>
      </c>
      <c r="G331" s="6" t="str">
        <f>_xlfn.XLOOKUP(LD_01[[#This Row],[DISCIPLINA]],'CLASSES DE PROJETOS'!$F$3:$F$37,'CLASSES DE PROJETOS'!$C$3:$C$37)</f>
        <v>GG</v>
      </c>
      <c r="H331" t="str">
        <f>_xlfn.TEXTJOIN("/",TRUE,"MSV-163MS-"&amp;LD_01[[#This Row],[TRECHO]],_xlfn.XLOOKUP(LD_01[[#This Row],[SIGLA]],'CLASSES DE PROJETOS'!$C$3:$C$37,'CLASSES DE PROJETOS'!$E$3:$E$37))</f>
        <v>MSV-163MS-512-NORTE/19.GG</v>
      </c>
      <c r="I331" s="6" t="str" cm="1">
        <f t="array" ref="I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J331" s="6" t="str" cm="1">
        <f t="array" ref="J331">_xlfn.TEXTJOIN(", ",TRUE,_xlfn.UNIQUE(_xlfn._xlws.FILTER(ARQUIVOS_RECEBIDOS!$F$2:$F$5010,ARQUIVOS_RECEBIDOS!$E$2:$E$5010=LD_01[[#This Row],[DOCUMENTO]])))</f>
        <v>R01</v>
      </c>
      <c r="K331" s="12" cm="1">
        <f t="array" ref="K331">_xlfn.UNIQUE(_xlfn._xlws.FILTER(ARQUIVOS[DATA RECEBIMENTO],(ARQUIVOS[DOCUMENTO]=LD_01[[#This Row],[DOCUMENTO]])*(ARQUIVOS[REVISÃO]=LD_01[[#This Row],[REVISÃO]])))</f>
        <v>45838</v>
      </c>
      <c r="L3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M331" s="6" t="str">
        <f>LD_01[[#This Row],[PASTA]]&amp;"/"&amp;LD_01[[#This Row],[ARQUIVO]]</f>
        <v>MSV-163MS-512-NORTE/19.GG/MSV-163MS-512+760-ACE-EXE-RT-D3-001-R01.pdf</v>
      </c>
    </row>
    <row r="332" spans="1:13" ht="28.8" hidden="1" x14ac:dyDescent="0.3">
      <c r="A332" s="6" t="s">
        <v>3117</v>
      </c>
      <c r="B332" s="6" t="str">
        <f>VLOOKUP(LD_01[[#This Row],[DOCUMENTO]],_xlfn.SORTBY(ARQUIVOS_RECEBIDOS!$E$2:$F$5010,ARQUIVOS_RECEBIDOS!$F$2:$F$5010,-1),2,)</f>
        <v>R00</v>
      </c>
      <c r="C332" s="15" t="s">
        <v>5987</v>
      </c>
      <c r="D332" s="6" t="s">
        <v>4315</v>
      </c>
      <c r="E332" s="8" t="s">
        <v>4103</v>
      </c>
      <c r="F332" s="8" t="s">
        <v>4332</v>
      </c>
      <c r="G332" s="6" t="str">
        <f>_xlfn.XLOOKUP(LD_01[[#This Row],[DISCIPLINA]],'CLASSES DE PROJETOS'!$F$3:$F$37,'CLASSES DE PROJETOS'!$C$3:$C$37)</f>
        <v>GG</v>
      </c>
      <c r="H332" t="str">
        <f>_xlfn.TEXTJOIN("/",TRUE,"MSV-163MS-"&amp;LD_01[[#This Row],[TRECHO]],_xlfn.XLOOKUP(LD_01[[#This Row],[SIGLA]],'CLASSES DE PROJETOS'!$C$3:$C$37,'CLASSES DE PROJETOS'!$E$3:$E$37))</f>
        <v>MSV-163MS-512-NORTE/19.GG</v>
      </c>
      <c r="I332" s="6" t="str" cm="1">
        <f t="array" ref="I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J332" s="6" t="str" cm="1">
        <f t="array" ref="J332">_xlfn.TEXTJOIN(", ",TRUE,_xlfn.UNIQUE(_xlfn._xlws.FILTER(ARQUIVOS_RECEBIDOS!$F$2:$F$5010,ARQUIVOS_RECEBIDOS!$E$2:$E$5010=LD_01[[#This Row],[DOCUMENTO]])))</f>
        <v>R00</v>
      </c>
      <c r="K332" s="12" cm="1">
        <f t="array" ref="K332">_xlfn.UNIQUE(_xlfn._xlws.FILTER(ARQUIVOS[DATA RECEBIMENTO],(ARQUIVOS[DOCUMENTO]=LD_01[[#This Row],[DOCUMENTO]])*(ARQUIVOS[REVISÃO]=LD_01[[#This Row],[REVISÃO]])))</f>
        <v>45838</v>
      </c>
      <c r="L3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M332" s="6" t="str">
        <f>LD_01[[#This Row],[PASTA]]&amp;"/"&amp;LD_01[[#This Row],[ARQUIVO]]</f>
        <v>MSV-163MS-512-NORTE/19.GG/MSV-163MS-512+760-ACE-EXE-RT-D3-101-R00.pdf</v>
      </c>
    </row>
    <row r="333" spans="1:13" ht="28.8" hidden="1" x14ac:dyDescent="0.3">
      <c r="A333" s="6" t="s">
        <v>3125</v>
      </c>
      <c r="B333" s="6" t="str">
        <f>VLOOKUP(LD_01[[#This Row],[DOCUMENTO]],_xlfn.SORTBY(ARQUIVOS_RECEBIDOS!$E$2:$F$5010,ARQUIVOS_RECEBIDOS!$F$2:$F$5010,-1),2,)</f>
        <v>R00</v>
      </c>
      <c r="C333" s="15" t="s">
        <v>5987</v>
      </c>
      <c r="D333" s="6" t="s">
        <v>4315</v>
      </c>
      <c r="E333" s="8" t="s">
        <v>4304</v>
      </c>
      <c r="F333" s="8" t="s">
        <v>4335</v>
      </c>
      <c r="G333" s="6" t="str">
        <f>_xlfn.XLOOKUP(LD_01[[#This Row],[DISCIPLINA]],'CLASSES DE PROJETOS'!$F$3:$F$37,'CLASSES DE PROJETOS'!$C$3:$C$37)</f>
        <v>TR</v>
      </c>
      <c r="H333" t="str">
        <f>_xlfn.TEXTJOIN("/",TRUE,"MSV-163MS-"&amp;LD_01[[#This Row],[TRECHO]],_xlfn.XLOOKUP(LD_01[[#This Row],[SIGLA]],'CLASSES DE PROJETOS'!$C$3:$C$37,'CLASSES DE PROJETOS'!$E$3:$E$37))</f>
        <v>MSV-163MS-512-NORTE/34.TR</v>
      </c>
      <c r="I333" s="6" t="str" cm="1">
        <f t="array" ref="I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J333" s="6" t="str" cm="1">
        <f t="array" ref="J333">_xlfn.TEXTJOIN(", ",TRUE,_xlfn.UNIQUE(_xlfn._xlws.FILTER(ARQUIVOS_RECEBIDOS!$F$2:$F$5010,ARQUIVOS_RECEBIDOS!$E$2:$E$5010=LD_01[[#This Row],[DOCUMENTO]])))</f>
        <v>R00</v>
      </c>
      <c r="K333" s="12" cm="1">
        <f t="array" ref="K333">_xlfn.UNIQUE(_xlfn._xlws.FILTER(ARQUIVOS[DATA RECEBIMENTO],(ARQUIVOS[DOCUMENTO]=LD_01[[#This Row],[DOCUMENTO]])*(ARQUIVOS[REVISÃO]=LD_01[[#This Row],[REVISÃO]])))</f>
        <v>45838</v>
      </c>
      <c r="L3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M333" s="6" t="str">
        <f>LD_01[[#This Row],[PASTA]]&amp;"/"&amp;LD_01[[#This Row],[ARQUIVO]]</f>
        <v>MSV-163MS-512-NORTE/34.TR/MSV-163MS-512+760-ACE-EXE-RT-E1-001-R00.pdf</v>
      </c>
    </row>
    <row r="334" spans="1:13" ht="28.8" hidden="1" x14ac:dyDescent="0.3">
      <c r="A334" s="6" t="s">
        <v>3097</v>
      </c>
      <c r="B334" s="6" t="str">
        <f>VLOOKUP(LD_01[[#This Row],[DOCUMENTO]],_xlfn.SORTBY(ARQUIVOS_RECEBIDOS!$E$2:$F$5010,ARQUIVOS_RECEBIDOS!$F$2:$F$5010,-1),2,)</f>
        <v>R01</v>
      </c>
      <c r="C334" s="15" t="s">
        <v>5987</v>
      </c>
      <c r="D334" s="6" t="s">
        <v>4315</v>
      </c>
      <c r="E334" s="8" t="s">
        <v>4259</v>
      </c>
      <c r="F334" s="8" t="s">
        <v>4141</v>
      </c>
      <c r="G334" s="6" t="str">
        <f>_xlfn.XLOOKUP(LD_01[[#This Row],[DISCIPLINA]],'CLASSES DE PROJETOS'!$F$3:$F$37,'CLASSES DE PROJETOS'!$C$3:$C$37)</f>
        <v>GE</v>
      </c>
      <c r="H334" t="str">
        <f>_xlfn.TEXTJOIN("/",TRUE,"MSV-163MS-"&amp;LD_01[[#This Row],[TRECHO]],_xlfn.XLOOKUP(LD_01[[#This Row],[SIGLA]],'CLASSES DE PROJETOS'!$C$3:$C$37,'CLASSES DE PROJETOS'!$E$3:$E$37))</f>
        <v>MSV-163MS-512-NORTE/18.GE</v>
      </c>
      <c r="I334" s="6" t="str" cm="1">
        <f t="array" ref="I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J334" s="6" t="str" cm="1">
        <f t="array" ref="J334">_xlfn.TEXTJOIN(", ",TRUE,_xlfn.UNIQUE(_xlfn._xlws.FILTER(ARQUIVOS_RECEBIDOS!$F$2:$F$5010,ARQUIVOS_RECEBIDOS!$E$2:$E$5010=LD_01[[#This Row],[DOCUMENTO]])))</f>
        <v>R01</v>
      </c>
      <c r="K334" s="12" cm="1">
        <f t="array" ref="K334">_xlfn.UNIQUE(_xlfn._xlws.FILTER(ARQUIVOS[DATA RECEBIMENTO],(ARQUIVOS[DOCUMENTO]=LD_01[[#This Row],[DOCUMENTO]])*(ARQUIVOS[REVISÃO]=LD_01[[#This Row],[REVISÃO]])))</f>
        <v>45838</v>
      </c>
      <c r="L3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M334" s="6" t="str">
        <f>LD_01[[#This Row],[PASTA]]&amp;"/"&amp;LD_01[[#This Row],[ARQUIVO]]</f>
        <v>MSV-163MS-512-NORTE/18.GE/MSV-163MS-512+760-ACE-EXE-RT-F1-001-R01.pdf</v>
      </c>
    </row>
    <row r="335" spans="1:13" ht="43.2" hidden="1" x14ac:dyDescent="0.3">
      <c r="A335" s="6" t="s">
        <v>3119</v>
      </c>
      <c r="B335" s="6" t="str">
        <f>VLOOKUP(LD_01[[#This Row],[DOCUMENTO]],_xlfn.SORTBY(ARQUIVOS_RECEBIDOS!$E$2:$F$5010,ARQUIVOS_RECEBIDOS!$F$2:$F$5010,-1),2,)</f>
        <v>R00</v>
      </c>
      <c r="C335" s="15" t="s">
        <v>5987</v>
      </c>
      <c r="D335" s="6" t="s">
        <v>4315</v>
      </c>
      <c r="E335" s="8" t="s">
        <v>4166</v>
      </c>
      <c r="F335" s="8" t="s">
        <v>4333</v>
      </c>
      <c r="G335" s="6" t="str">
        <f>_xlfn.XLOOKUP(LD_01[[#This Row],[DISCIPLINA]],'CLASSES DE PROJETOS'!$F$3:$F$37,'CLASSES DE PROJETOS'!$C$3:$C$37)</f>
        <v>IN</v>
      </c>
      <c r="H335" t="str">
        <f>_xlfn.TEXTJOIN("/",TRUE,"MSV-163MS-"&amp;LD_01[[#This Row],[TRECHO]],_xlfn.XLOOKUP(LD_01[[#This Row],[SIGLA]],'CLASSES DE PROJETOS'!$C$3:$C$37,'CLASSES DE PROJETOS'!$E$3:$E$37))</f>
        <v>MSV-163MS-512-NORTE/23.IN</v>
      </c>
      <c r="I335" s="6" t="str" cm="1">
        <f t="array" ref="I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J335" s="6" t="str" cm="1">
        <f t="array" ref="J335">_xlfn.TEXTJOIN(", ",TRUE,_xlfn.UNIQUE(_xlfn._xlws.FILTER(ARQUIVOS_RECEBIDOS!$F$2:$F$5010,ARQUIVOS_RECEBIDOS!$E$2:$E$5010=LD_01[[#This Row],[DOCUMENTO]])))</f>
        <v>R00</v>
      </c>
      <c r="K335" s="12" cm="1">
        <f t="array" ref="K335">_xlfn.UNIQUE(_xlfn._xlws.FILTER(ARQUIVOS[DATA RECEBIMENTO],(ARQUIVOS[DOCUMENTO]=LD_01[[#This Row],[DOCUMENTO]])*(ARQUIVOS[REVISÃO]=LD_01[[#This Row],[REVISÃO]])))</f>
        <v>45838</v>
      </c>
      <c r="L3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M335" s="6" t="str">
        <f>LD_01[[#This Row],[PASTA]]&amp;"/"&amp;LD_01[[#This Row],[ARQUIVO]]</f>
        <v>MSV-163MS-512-NORTE/23.IN/MSV-163MS-512+760-ACE-EXE-RT-M1-001-R00.pdf</v>
      </c>
    </row>
    <row r="336" spans="1:13" hidden="1" x14ac:dyDescent="0.3">
      <c r="A336" s="6" t="s">
        <v>3126</v>
      </c>
      <c r="B336" s="6" t="str">
        <f>VLOOKUP(LD_01[[#This Row],[DOCUMENTO]],_xlfn.SORTBY(ARQUIVOS_RECEBIDOS!$E$2:$F$5010,ARQUIVOS_RECEBIDOS!$F$2:$F$5010,-1),2,)</f>
        <v>R00</v>
      </c>
      <c r="C336" s="15" t="s">
        <v>5987</v>
      </c>
      <c r="D336" s="6" t="s">
        <v>4312</v>
      </c>
      <c r="E336" s="8" t="s">
        <v>4164</v>
      </c>
      <c r="F336" s="8" t="s">
        <v>4163</v>
      </c>
      <c r="G336" s="6" t="str">
        <f>_xlfn.XLOOKUP(LD_01[[#This Row],[DISCIPLINA]],'CLASSES DE PROJETOS'!$F$3:$F$37,'CLASSES DE PROJETOS'!$C$3:$C$37)</f>
        <v>TO</v>
      </c>
      <c r="H336" t="str">
        <f>_xlfn.TEXTJOIN("/",TRUE,"MSV-163MS-"&amp;LD_01[[#This Row],[TRECHO]],_xlfn.XLOOKUP(LD_01[[#This Row],[SIGLA]],'CLASSES DE PROJETOS'!$C$3:$C$37,'CLASSES DE PROJETOS'!$E$3:$E$37))</f>
        <v>MSV-163MS-515-NORTE/33.TO</v>
      </c>
      <c r="I336" s="6" t="str" cm="1">
        <f t="array" ref="I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J336" s="6" t="str" cm="1">
        <f t="array" ref="J336">_xlfn.TEXTJOIN(", ",TRUE,_xlfn.UNIQUE(_xlfn._xlws.FILTER(ARQUIVOS_RECEBIDOS!$F$2:$F$5010,ARQUIVOS_RECEBIDOS!$E$2:$E$5010=LD_01[[#This Row],[DOCUMENTO]])))</f>
        <v>R00</v>
      </c>
      <c r="K336" s="12" cm="1">
        <f t="array" ref="K336">_xlfn.UNIQUE(_xlfn._xlws.FILTER(ARQUIVOS[DATA RECEBIMENTO],(ARQUIVOS[DOCUMENTO]=LD_01[[#This Row],[DOCUMENTO]])*(ARQUIVOS[REVISÃO]=LD_01[[#This Row],[REVISÃO]])))</f>
        <v>45838</v>
      </c>
      <c r="L3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M336" s="6" t="str">
        <f>LD_01[[#This Row],[PASTA]]&amp;"/"&amp;LD_01[[#This Row],[ARQUIVO]]</f>
        <v>MSV-163MS-515-NORTE/33.TO/MSV-163MS-515+630-ACE-EXE-DE-C1-001-R00.pdf</v>
      </c>
    </row>
    <row r="337" spans="1:13" hidden="1" x14ac:dyDescent="0.3">
      <c r="A337" s="6" t="s">
        <v>3158</v>
      </c>
      <c r="B337" s="6" t="str">
        <f>VLOOKUP(LD_01[[#This Row],[DOCUMENTO]],_xlfn.SORTBY(ARQUIVOS_RECEBIDOS!$E$2:$F$5010,ARQUIVOS_RECEBIDOS!$F$2:$F$5010,-1),2,)</f>
        <v>R00</v>
      </c>
      <c r="C337" s="15" t="s">
        <v>5987</v>
      </c>
      <c r="D337" s="6" t="s">
        <v>4313</v>
      </c>
      <c r="E337" s="8" t="s">
        <v>4164</v>
      </c>
      <c r="F337" s="8" t="s">
        <v>4163</v>
      </c>
      <c r="G337" s="6" t="str">
        <f>_xlfn.XLOOKUP(LD_01[[#This Row],[DISCIPLINA]],'CLASSES DE PROJETOS'!$F$3:$F$37,'CLASSES DE PROJETOS'!$C$3:$C$37)</f>
        <v>TO</v>
      </c>
      <c r="H337" t="str">
        <f>_xlfn.TEXTJOIN("/",TRUE,"MSV-163MS-"&amp;LD_01[[#This Row],[TRECHO]],_xlfn.XLOOKUP(LD_01[[#This Row],[SIGLA]],'CLASSES DE PROJETOS'!$C$3:$C$37,'CLASSES DE PROJETOS'!$E$3:$E$37))</f>
        <v>MSV-163MS-515-SUL/33.TO</v>
      </c>
      <c r="I337" s="6" t="str" cm="1">
        <f t="array" ref="I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J337" s="6" t="str" cm="1">
        <f t="array" ref="J337">_xlfn.TEXTJOIN(", ",TRUE,_xlfn.UNIQUE(_xlfn._xlws.FILTER(ARQUIVOS_RECEBIDOS!$F$2:$F$5010,ARQUIVOS_RECEBIDOS!$E$2:$E$5010=LD_01[[#This Row],[DOCUMENTO]])))</f>
        <v>R00</v>
      </c>
      <c r="K337" s="12" cm="1">
        <f t="array" ref="K337">_xlfn.UNIQUE(_xlfn._xlws.FILTER(ARQUIVOS[DATA RECEBIMENTO],(ARQUIVOS[DOCUMENTO]=LD_01[[#This Row],[DOCUMENTO]])*(ARQUIVOS[REVISÃO]=LD_01[[#This Row],[REVISÃO]])))</f>
        <v>45838</v>
      </c>
      <c r="L3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M337" s="6" t="str">
        <f>LD_01[[#This Row],[PASTA]]&amp;"/"&amp;LD_01[[#This Row],[ARQUIVO]]</f>
        <v>MSV-163MS-515-SUL/33.TO/MSV-163MS-515+630-ACE-EXE-DE-C1-101-R00.pdf</v>
      </c>
    </row>
    <row r="338" spans="1:13" ht="28.8" hidden="1" x14ac:dyDescent="0.3">
      <c r="A338" s="6" t="s">
        <v>3147</v>
      </c>
      <c r="B338" s="6" t="str">
        <f>VLOOKUP(LD_01[[#This Row],[DOCUMENTO]],_xlfn.SORTBY(ARQUIVOS_RECEBIDOS!$E$2:$F$5010,ARQUIVOS_RECEBIDOS!$F$2:$F$5010,-1),2,)</f>
        <v>R01</v>
      </c>
      <c r="C338" s="15" t="s">
        <v>5987</v>
      </c>
      <c r="D338" s="6" t="s">
        <v>4312</v>
      </c>
      <c r="E338" s="8" t="s">
        <v>4076</v>
      </c>
      <c r="F338" s="8" t="s">
        <v>4332</v>
      </c>
      <c r="G338" s="6" t="str">
        <f>_xlfn.XLOOKUP(LD_01[[#This Row],[DISCIPLINA]],'CLASSES DE PROJETOS'!$F$3:$F$37,'CLASSES DE PROJETOS'!$C$3:$C$37)</f>
        <v>GG</v>
      </c>
      <c r="H338" t="str">
        <f>_xlfn.TEXTJOIN("/",TRUE,"MSV-163MS-"&amp;LD_01[[#This Row],[TRECHO]],_xlfn.XLOOKUP(LD_01[[#This Row],[SIGLA]],'CLASSES DE PROJETOS'!$C$3:$C$37,'CLASSES DE PROJETOS'!$E$3:$E$37))</f>
        <v>MSV-163MS-515-NORTE/19.GG</v>
      </c>
      <c r="I338" s="6" t="str" cm="1">
        <f t="array" ref="I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J338" s="6" t="str" cm="1">
        <f t="array" ref="J338">_xlfn.TEXTJOIN(", ",TRUE,_xlfn.UNIQUE(_xlfn._xlws.FILTER(ARQUIVOS_RECEBIDOS!$F$2:$F$5010,ARQUIVOS_RECEBIDOS!$E$2:$E$5010=LD_01[[#This Row],[DOCUMENTO]])))</f>
        <v>R01</v>
      </c>
      <c r="K338" s="12" cm="1">
        <f t="array" ref="K338">_xlfn.UNIQUE(_xlfn._xlws.FILTER(ARQUIVOS[DATA RECEBIMENTO],(ARQUIVOS[DOCUMENTO]=LD_01[[#This Row],[DOCUMENTO]])*(ARQUIVOS[REVISÃO]=LD_01[[#This Row],[REVISÃO]])))</f>
        <v>45838</v>
      </c>
      <c r="L3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M338" s="6" t="str">
        <f>LD_01[[#This Row],[PASTA]]&amp;"/"&amp;LD_01[[#This Row],[ARQUIVO]]</f>
        <v>MSV-163MS-515-NORTE/19.GG/MSV-163MS-515+630-ACE-EXE-DE-D3-001-R01.pdf</v>
      </c>
    </row>
    <row r="339" spans="1:13" ht="28.8" hidden="1" x14ac:dyDescent="0.3">
      <c r="A339" s="6" t="s">
        <v>3179</v>
      </c>
      <c r="B339" s="6" t="str">
        <f>VLOOKUP(LD_01[[#This Row],[DOCUMENTO]],_xlfn.SORTBY(ARQUIVOS_RECEBIDOS!$E$2:$F$5010,ARQUIVOS_RECEBIDOS!$F$2:$F$5010,-1),2,)</f>
        <v>R01</v>
      </c>
      <c r="C339" s="15" t="s">
        <v>5987</v>
      </c>
      <c r="D339" s="6" t="s">
        <v>4313</v>
      </c>
      <c r="E339" s="8" t="s">
        <v>4076</v>
      </c>
      <c r="F339" s="8" t="s">
        <v>4332</v>
      </c>
      <c r="G339" s="6" t="str">
        <f>_xlfn.XLOOKUP(LD_01[[#This Row],[DISCIPLINA]],'CLASSES DE PROJETOS'!$F$3:$F$37,'CLASSES DE PROJETOS'!$C$3:$C$37)</f>
        <v>GG</v>
      </c>
      <c r="H339" t="str">
        <f>_xlfn.TEXTJOIN("/",TRUE,"MSV-163MS-"&amp;LD_01[[#This Row],[TRECHO]],_xlfn.XLOOKUP(LD_01[[#This Row],[SIGLA]],'CLASSES DE PROJETOS'!$C$3:$C$37,'CLASSES DE PROJETOS'!$E$3:$E$37))</f>
        <v>MSV-163MS-515-SUL/19.GG</v>
      </c>
      <c r="I339" s="6" t="str" cm="1">
        <f t="array" ref="I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J339" s="6" t="str" cm="1">
        <f t="array" ref="J339">_xlfn.TEXTJOIN(", ",TRUE,_xlfn.UNIQUE(_xlfn._xlws.FILTER(ARQUIVOS_RECEBIDOS!$F$2:$F$5010,ARQUIVOS_RECEBIDOS!$E$2:$E$5010=LD_01[[#This Row],[DOCUMENTO]])))</f>
        <v>R01</v>
      </c>
      <c r="K339" s="12" cm="1">
        <f t="array" ref="K339">_xlfn.UNIQUE(_xlfn._xlws.FILTER(ARQUIVOS[DATA RECEBIMENTO],(ARQUIVOS[DOCUMENTO]=LD_01[[#This Row],[DOCUMENTO]])*(ARQUIVOS[REVISÃO]=LD_01[[#This Row],[REVISÃO]])))</f>
        <v>45838</v>
      </c>
      <c r="L3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M339" s="6" t="str">
        <f>LD_01[[#This Row],[PASTA]]&amp;"/"&amp;LD_01[[#This Row],[ARQUIVO]]</f>
        <v>MSV-163MS-515-SUL/19.GG/MSV-163MS-515+630-ACE-EXE-DE-D3-101-R01.pdf</v>
      </c>
    </row>
    <row r="340" spans="1:13" hidden="1" x14ac:dyDescent="0.3">
      <c r="A340" s="6" t="s">
        <v>3128</v>
      </c>
      <c r="B340" s="6" t="str">
        <f>VLOOKUP(LD_01[[#This Row],[DOCUMENTO]],_xlfn.SORTBY(ARQUIVOS_RECEBIDOS!$E$2:$F$5010,ARQUIVOS_RECEBIDOS!$F$2:$F$5010,-1),2,)</f>
        <v>R01</v>
      </c>
      <c r="C340" s="15" t="s">
        <v>5987</v>
      </c>
      <c r="D340" s="6" t="s">
        <v>4312</v>
      </c>
      <c r="E340" s="8" t="s">
        <v>4076</v>
      </c>
      <c r="F340" s="8" t="s">
        <v>4141</v>
      </c>
      <c r="G340" s="6" t="str">
        <f>_xlfn.XLOOKUP(LD_01[[#This Row],[DISCIPLINA]],'CLASSES DE PROJETOS'!$F$3:$F$37,'CLASSES DE PROJETOS'!$C$3:$C$37)</f>
        <v>GE</v>
      </c>
      <c r="H340" t="str">
        <f>_xlfn.TEXTJOIN("/",TRUE,"MSV-163MS-"&amp;LD_01[[#This Row],[TRECHO]],_xlfn.XLOOKUP(LD_01[[#This Row],[SIGLA]],'CLASSES DE PROJETOS'!$C$3:$C$37,'CLASSES DE PROJETOS'!$E$3:$E$37))</f>
        <v>MSV-163MS-515-NORTE/18.GE</v>
      </c>
      <c r="I340" s="6" t="str" cm="1">
        <f t="array" ref="I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J340" s="6" t="str" cm="1">
        <f t="array" ref="J340">_xlfn.TEXTJOIN(", ",TRUE,_xlfn.UNIQUE(_xlfn._xlws.FILTER(ARQUIVOS_RECEBIDOS!$F$2:$F$5010,ARQUIVOS_RECEBIDOS!$E$2:$E$5010=LD_01[[#This Row],[DOCUMENTO]])))</f>
        <v>R01</v>
      </c>
      <c r="K340" s="12" cm="1">
        <f t="array" ref="K340">_xlfn.UNIQUE(_xlfn._xlws.FILTER(ARQUIVOS[DATA RECEBIMENTO],(ARQUIVOS[DOCUMENTO]=LD_01[[#This Row],[DOCUMENTO]])*(ARQUIVOS[REVISÃO]=LD_01[[#This Row],[REVISÃO]])))</f>
        <v>45838</v>
      </c>
      <c r="L3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M340" s="6" t="str">
        <f>LD_01[[#This Row],[PASTA]]&amp;"/"&amp;LD_01[[#This Row],[ARQUIVO]]</f>
        <v>MSV-163MS-515-NORTE/18.GE/MSV-163MS-515+630-ACE-EXE-DE-F1-001-R01.pdf</v>
      </c>
    </row>
    <row r="341" spans="1:13" hidden="1" x14ac:dyDescent="0.3">
      <c r="A341" s="6" t="s">
        <v>3129</v>
      </c>
      <c r="B341" s="6" t="str">
        <f>VLOOKUP(LD_01[[#This Row],[DOCUMENTO]],_xlfn.SORTBY(ARQUIVOS_RECEBIDOS!$E$2:$F$5010,ARQUIVOS_RECEBIDOS!$F$2:$F$5010,-1),2,)</f>
        <v>R00</v>
      </c>
      <c r="C341" s="15" t="s">
        <v>5987</v>
      </c>
      <c r="D341" s="6" t="s">
        <v>4312</v>
      </c>
      <c r="E341" s="8" t="s">
        <v>4977</v>
      </c>
      <c r="F341" s="8" t="s">
        <v>4141</v>
      </c>
      <c r="G341" s="6" t="str">
        <f>_xlfn.XLOOKUP(LD_01[[#This Row],[DISCIPLINA]],'CLASSES DE PROJETOS'!$F$3:$F$37,'CLASSES DE PROJETOS'!$C$3:$C$37)</f>
        <v>GE</v>
      </c>
      <c r="H341" t="str">
        <f>_xlfn.TEXTJOIN("/",TRUE,"MSV-163MS-"&amp;LD_01[[#This Row],[TRECHO]],_xlfn.XLOOKUP(LD_01[[#This Row],[SIGLA]],'CLASSES DE PROJETOS'!$C$3:$C$37,'CLASSES DE PROJETOS'!$E$3:$E$37))</f>
        <v>MSV-163MS-515-NORTE/18.GE</v>
      </c>
      <c r="I341" s="6" t="str" cm="1">
        <f t="array" ref="I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J341" s="6" t="str" cm="1">
        <f t="array" ref="J341">_xlfn.TEXTJOIN(", ",TRUE,_xlfn.UNIQUE(_xlfn._xlws.FILTER(ARQUIVOS_RECEBIDOS!$F$2:$F$5010,ARQUIVOS_RECEBIDOS!$E$2:$E$5010=LD_01[[#This Row],[DOCUMENTO]])))</f>
        <v>R00</v>
      </c>
      <c r="K341" s="12" cm="1">
        <f t="array" ref="K341">_xlfn.UNIQUE(_xlfn._xlws.FILTER(ARQUIVOS[DATA RECEBIMENTO],(ARQUIVOS[DOCUMENTO]=LD_01[[#This Row],[DOCUMENTO]])*(ARQUIVOS[REVISÃO]=LD_01[[#This Row],[REVISÃO]])))</f>
        <v>45838</v>
      </c>
      <c r="L3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M341" s="6" t="str">
        <f>LD_01[[#This Row],[PASTA]]&amp;"/"&amp;LD_01[[#This Row],[ARQUIVO]]</f>
        <v>MSV-163MS-515-NORTE/18.GE/MSV-163MS-515+630-ACE-EXE-DE-F1-002-R00.pdf</v>
      </c>
    </row>
    <row r="342" spans="1:13" hidden="1" x14ac:dyDescent="0.3">
      <c r="A342" s="6" t="s">
        <v>3160</v>
      </c>
      <c r="B342" s="6" t="str">
        <f>VLOOKUP(LD_01[[#This Row],[DOCUMENTO]],_xlfn.SORTBY(ARQUIVOS_RECEBIDOS!$E$2:$F$5010,ARQUIVOS_RECEBIDOS!$F$2:$F$5010,-1),2,)</f>
        <v>R01</v>
      </c>
      <c r="C342" s="15" t="s">
        <v>5987</v>
      </c>
      <c r="D342" s="6" t="s">
        <v>4313</v>
      </c>
      <c r="E342" s="8" t="s">
        <v>4076</v>
      </c>
      <c r="F342" s="8" t="s">
        <v>4141</v>
      </c>
      <c r="G342" s="6" t="str">
        <f>_xlfn.XLOOKUP(LD_01[[#This Row],[DISCIPLINA]],'CLASSES DE PROJETOS'!$F$3:$F$37,'CLASSES DE PROJETOS'!$C$3:$C$37)</f>
        <v>GE</v>
      </c>
      <c r="H342" t="str">
        <f>_xlfn.TEXTJOIN("/",TRUE,"MSV-163MS-"&amp;LD_01[[#This Row],[TRECHO]],_xlfn.XLOOKUP(LD_01[[#This Row],[SIGLA]],'CLASSES DE PROJETOS'!$C$3:$C$37,'CLASSES DE PROJETOS'!$E$3:$E$37))</f>
        <v>MSV-163MS-515-SUL/18.GE</v>
      </c>
      <c r="I342" s="6" t="str" cm="1">
        <f t="array" ref="I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J342" s="6" t="str" cm="1">
        <f t="array" ref="J342">_xlfn.TEXTJOIN(", ",TRUE,_xlfn.UNIQUE(_xlfn._xlws.FILTER(ARQUIVOS_RECEBIDOS!$F$2:$F$5010,ARQUIVOS_RECEBIDOS!$E$2:$E$5010=LD_01[[#This Row],[DOCUMENTO]])))</f>
        <v>R01</v>
      </c>
      <c r="K342" s="12" cm="1">
        <f t="array" ref="K342">_xlfn.UNIQUE(_xlfn._xlws.FILTER(ARQUIVOS[DATA RECEBIMENTO],(ARQUIVOS[DOCUMENTO]=LD_01[[#This Row],[DOCUMENTO]])*(ARQUIVOS[REVISÃO]=LD_01[[#This Row],[REVISÃO]])))</f>
        <v>45838</v>
      </c>
      <c r="L3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M342" s="6" t="str">
        <f>LD_01[[#This Row],[PASTA]]&amp;"/"&amp;LD_01[[#This Row],[ARQUIVO]]</f>
        <v>MSV-163MS-515-SUL/18.GE/MSV-163MS-515+630-ACE-EXE-DE-F1-101-R01.pdf</v>
      </c>
    </row>
    <row r="343" spans="1:13" hidden="1" x14ac:dyDescent="0.3">
      <c r="A343" s="6" t="s">
        <v>3161</v>
      </c>
      <c r="B343" s="6" t="str">
        <f>VLOOKUP(LD_01[[#This Row],[DOCUMENTO]],_xlfn.SORTBY(ARQUIVOS_RECEBIDOS!$E$2:$F$5010,ARQUIVOS_RECEBIDOS!$F$2:$F$5010,-1),2,)</f>
        <v>R00</v>
      </c>
      <c r="C343" s="15" t="s">
        <v>5987</v>
      </c>
      <c r="D343" s="6" t="s">
        <v>4313</v>
      </c>
      <c r="E343" s="8" t="s">
        <v>4977</v>
      </c>
      <c r="F343" s="8" t="s">
        <v>4141</v>
      </c>
      <c r="G343" s="6" t="str">
        <f>_xlfn.XLOOKUP(LD_01[[#This Row],[DISCIPLINA]],'CLASSES DE PROJETOS'!$F$3:$F$37,'CLASSES DE PROJETOS'!$C$3:$C$37)</f>
        <v>GE</v>
      </c>
      <c r="H343" t="str">
        <f>_xlfn.TEXTJOIN("/",TRUE,"MSV-163MS-"&amp;LD_01[[#This Row],[TRECHO]],_xlfn.XLOOKUP(LD_01[[#This Row],[SIGLA]],'CLASSES DE PROJETOS'!$C$3:$C$37,'CLASSES DE PROJETOS'!$E$3:$E$37))</f>
        <v>MSV-163MS-515-SUL/18.GE</v>
      </c>
      <c r="I343" s="6" t="str" cm="1">
        <f t="array" ref="I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J343" s="6" t="str" cm="1">
        <f t="array" ref="J343">_xlfn.TEXTJOIN(", ",TRUE,_xlfn.UNIQUE(_xlfn._xlws.FILTER(ARQUIVOS_RECEBIDOS!$F$2:$F$5010,ARQUIVOS_RECEBIDOS!$E$2:$E$5010=LD_01[[#This Row],[DOCUMENTO]])))</f>
        <v>R00</v>
      </c>
      <c r="K343" s="12" cm="1">
        <f t="array" ref="K343">_xlfn.UNIQUE(_xlfn._xlws.FILTER(ARQUIVOS[DATA RECEBIMENTO],(ARQUIVOS[DOCUMENTO]=LD_01[[#This Row],[DOCUMENTO]])*(ARQUIVOS[REVISÃO]=LD_01[[#This Row],[REVISÃO]])))</f>
        <v>45838</v>
      </c>
      <c r="L3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M343" s="6" t="str">
        <f>LD_01[[#This Row],[PASTA]]&amp;"/"&amp;LD_01[[#This Row],[ARQUIVO]]</f>
        <v>MSV-163MS-515-SUL/18.GE/MSV-163MS-515+630-ACE-EXE-DE-F1-102-R00.pdf</v>
      </c>
    </row>
    <row r="344" spans="1:13" ht="28.8" hidden="1" x14ac:dyDescent="0.3">
      <c r="A344" s="6" t="s">
        <v>3131</v>
      </c>
      <c r="B344" s="6" t="str">
        <f>VLOOKUP(LD_01[[#This Row],[DOCUMENTO]],_xlfn.SORTBY(ARQUIVOS_RECEBIDOS!$E$2:$F$5010,ARQUIVOS_RECEBIDOS!$F$2:$F$5010,-1),2,)</f>
        <v>R02</v>
      </c>
      <c r="C344" s="15" t="s">
        <v>5987</v>
      </c>
      <c r="D344" s="6" t="s">
        <v>4312</v>
      </c>
      <c r="E344" s="8" t="s">
        <v>4984</v>
      </c>
      <c r="F344" s="8" t="s">
        <v>4330</v>
      </c>
      <c r="G344" s="6" t="str">
        <f>_xlfn.XLOOKUP(LD_01[[#This Row],[DISCIPLINA]],'CLASSES DE PROJETOS'!$F$3:$F$37,'CLASSES DE PROJETOS'!$C$3:$C$37)</f>
        <v>TE</v>
      </c>
      <c r="H344" t="str">
        <f>_xlfn.TEXTJOIN("/",TRUE,"MSV-163MS-"&amp;LD_01[[#This Row],[TRECHO]],_xlfn.XLOOKUP(LD_01[[#This Row],[SIGLA]],'CLASSES DE PROJETOS'!$C$3:$C$37,'CLASSES DE PROJETOS'!$E$3:$E$37))</f>
        <v>MSV-163MS-515-NORTE/32.TE</v>
      </c>
      <c r="I344" s="6" t="str" cm="1">
        <f t="array" ref="I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J344" s="6" t="str" cm="1">
        <f t="array" ref="J344">_xlfn.TEXTJOIN(", ",TRUE,_xlfn.UNIQUE(_xlfn._xlws.FILTER(ARQUIVOS_RECEBIDOS!$F$2:$F$5010,ARQUIVOS_RECEBIDOS!$E$2:$E$5010=LD_01[[#This Row],[DOCUMENTO]])))</f>
        <v>R02</v>
      </c>
      <c r="K344" s="12" cm="1">
        <f t="array" ref="K344">_xlfn.UNIQUE(_xlfn._xlws.FILTER(ARQUIVOS[DATA RECEBIMENTO],(ARQUIVOS[DOCUMENTO]=LD_01[[#This Row],[DOCUMENTO]])*(ARQUIVOS[REVISÃO]=LD_01[[#This Row],[REVISÃO]])))</f>
        <v>45838</v>
      </c>
      <c r="L3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M344" s="6" t="str">
        <f>LD_01[[#This Row],[PASTA]]&amp;"/"&amp;LD_01[[#This Row],[ARQUIVO]]</f>
        <v>MSV-163MS-515-NORTE/32.TE/MSV-163MS-515+630-ACE-EXE-DE-G1-001-R02.pdf</v>
      </c>
    </row>
    <row r="345" spans="1:13" ht="28.8" hidden="1" x14ac:dyDescent="0.3">
      <c r="A345" s="6" t="s">
        <v>3132</v>
      </c>
      <c r="B345" s="6" t="str">
        <f>VLOOKUP(LD_01[[#This Row],[DOCUMENTO]],_xlfn.SORTBY(ARQUIVOS_RECEBIDOS!$E$2:$F$5010,ARQUIVOS_RECEBIDOS!$F$2:$F$5010,-1),2,)</f>
        <v>R01</v>
      </c>
      <c r="C345" s="15" t="s">
        <v>5987</v>
      </c>
      <c r="D345" s="6" t="s">
        <v>4312</v>
      </c>
      <c r="E345" s="8" t="s">
        <v>4984</v>
      </c>
      <c r="F345" s="8" t="s">
        <v>4330</v>
      </c>
      <c r="G345" s="6" t="str">
        <f>_xlfn.XLOOKUP(LD_01[[#This Row],[DISCIPLINA]],'CLASSES DE PROJETOS'!$F$3:$F$37,'CLASSES DE PROJETOS'!$C$3:$C$37)</f>
        <v>TE</v>
      </c>
      <c r="H345" t="str">
        <f>_xlfn.TEXTJOIN("/",TRUE,"MSV-163MS-"&amp;LD_01[[#This Row],[TRECHO]],_xlfn.XLOOKUP(LD_01[[#This Row],[SIGLA]],'CLASSES DE PROJETOS'!$C$3:$C$37,'CLASSES DE PROJETOS'!$E$3:$E$37))</f>
        <v>MSV-163MS-515-NORTE/32.TE</v>
      </c>
      <c r="I345" s="6" t="str" cm="1">
        <f t="array" ref="I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J345" s="6" t="str" cm="1">
        <f t="array" ref="J345">_xlfn.TEXTJOIN(", ",TRUE,_xlfn.UNIQUE(_xlfn._xlws.FILTER(ARQUIVOS_RECEBIDOS!$F$2:$F$5010,ARQUIVOS_RECEBIDOS!$E$2:$E$5010=LD_01[[#This Row],[DOCUMENTO]])))</f>
        <v>R01</v>
      </c>
      <c r="K345" s="12" cm="1">
        <f t="array" ref="K345">_xlfn.UNIQUE(_xlfn._xlws.FILTER(ARQUIVOS[DATA RECEBIMENTO],(ARQUIVOS[DOCUMENTO]=LD_01[[#This Row],[DOCUMENTO]])*(ARQUIVOS[REVISÃO]=LD_01[[#This Row],[REVISÃO]])))</f>
        <v>45838</v>
      </c>
      <c r="L3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M345" s="6" t="str">
        <f>LD_01[[#This Row],[PASTA]]&amp;"/"&amp;LD_01[[#This Row],[ARQUIVO]]</f>
        <v>MSV-163MS-515-NORTE/32.TE/MSV-163MS-515+630-ACE-EXE-DE-G1-002-R01.pdf</v>
      </c>
    </row>
    <row r="346" spans="1:13" ht="28.8" hidden="1" x14ac:dyDescent="0.3">
      <c r="A346" s="6" t="s">
        <v>3133</v>
      </c>
      <c r="B346" s="6" t="str">
        <f>VLOOKUP(LD_01[[#This Row],[DOCUMENTO]],_xlfn.SORTBY(ARQUIVOS_RECEBIDOS!$E$2:$F$5010,ARQUIVOS_RECEBIDOS!$F$2:$F$5010,-1),2,)</f>
        <v>R01</v>
      </c>
      <c r="C346" s="15" t="s">
        <v>5987</v>
      </c>
      <c r="D346" s="6" t="s">
        <v>4312</v>
      </c>
      <c r="E346" s="8" t="s">
        <v>4979</v>
      </c>
      <c r="F346" s="8" t="s">
        <v>4330</v>
      </c>
      <c r="G346" s="6" t="str">
        <f>_xlfn.XLOOKUP(LD_01[[#This Row],[DISCIPLINA]],'CLASSES DE PROJETOS'!$F$3:$F$37,'CLASSES DE PROJETOS'!$C$3:$C$37)</f>
        <v>TE</v>
      </c>
      <c r="H346" t="str">
        <f>_xlfn.TEXTJOIN("/",TRUE,"MSV-163MS-"&amp;LD_01[[#This Row],[TRECHO]],_xlfn.XLOOKUP(LD_01[[#This Row],[SIGLA]],'CLASSES DE PROJETOS'!$C$3:$C$37,'CLASSES DE PROJETOS'!$E$3:$E$37))</f>
        <v>MSV-163MS-515-NORTE/32.TE</v>
      </c>
      <c r="I346" s="6" t="str" cm="1">
        <f t="array" ref="I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J346" s="6" t="str" cm="1">
        <f t="array" ref="J346">_xlfn.TEXTJOIN(", ",TRUE,_xlfn.UNIQUE(_xlfn._xlws.FILTER(ARQUIVOS_RECEBIDOS!$F$2:$F$5010,ARQUIVOS_RECEBIDOS!$E$2:$E$5010=LD_01[[#This Row],[DOCUMENTO]])))</f>
        <v>R01</v>
      </c>
      <c r="K346" s="12" cm="1">
        <f t="array" ref="K346">_xlfn.UNIQUE(_xlfn._xlws.FILTER(ARQUIVOS[DATA RECEBIMENTO],(ARQUIVOS[DOCUMENTO]=LD_01[[#This Row],[DOCUMENTO]])*(ARQUIVOS[REVISÃO]=LD_01[[#This Row],[REVISÃO]])))</f>
        <v>45838</v>
      </c>
      <c r="L3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M346" s="6" t="str">
        <f>LD_01[[#This Row],[PASTA]]&amp;"/"&amp;LD_01[[#This Row],[ARQUIVO]]</f>
        <v>MSV-163MS-515-NORTE/32.TE/MSV-163MS-515+630-ACE-EXE-DE-G1-101-R01.pdf</v>
      </c>
    </row>
    <row r="347" spans="1:13" ht="28.8" hidden="1" x14ac:dyDescent="0.3">
      <c r="A347" s="6" t="s">
        <v>3163</v>
      </c>
      <c r="B347" s="6" t="str">
        <f>VLOOKUP(LD_01[[#This Row],[DOCUMENTO]],_xlfn.SORTBY(ARQUIVOS_RECEBIDOS!$E$2:$F$5010,ARQUIVOS_RECEBIDOS!$F$2:$F$5010,-1),2,)</f>
        <v>R02</v>
      </c>
      <c r="C347" s="15" t="s">
        <v>5987</v>
      </c>
      <c r="D347" s="6" t="s">
        <v>4313</v>
      </c>
      <c r="E347" s="8" t="s">
        <v>4984</v>
      </c>
      <c r="F347" s="8" t="s">
        <v>4330</v>
      </c>
      <c r="G347" s="6" t="str">
        <f>_xlfn.XLOOKUP(LD_01[[#This Row],[DISCIPLINA]],'CLASSES DE PROJETOS'!$F$3:$F$37,'CLASSES DE PROJETOS'!$C$3:$C$37)</f>
        <v>TE</v>
      </c>
      <c r="H347" t="str">
        <f>_xlfn.TEXTJOIN("/",TRUE,"MSV-163MS-"&amp;LD_01[[#This Row],[TRECHO]],_xlfn.XLOOKUP(LD_01[[#This Row],[SIGLA]],'CLASSES DE PROJETOS'!$C$3:$C$37,'CLASSES DE PROJETOS'!$E$3:$E$37))</f>
        <v>MSV-163MS-515-SUL/32.TE</v>
      </c>
      <c r="I347" s="6" t="str" cm="1">
        <f t="array" ref="I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J347" s="6" t="str" cm="1">
        <f t="array" ref="J347">_xlfn.TEXTJOIN(", ",TRUE,_xlfn.UNIQUE(_xlfn._xlws.FILTER(ARQUIVOS_RECEBIDOS!$F$2:$F$5010,ARQUIVOS_RECEBIDOS!$E$2:$E$5010=LD_01[[#This Row],[DOCUMENTO]])))</f>
        <v>R02</v>
      </c>
      <c r="K347" s="12" cm="1">
        <f t="array" ref="K347">_xlfn.UNIQUE(_xlfn._xlws.FILTER(ARQUIVOS[DATA RECEBIMENTO],(ARQUIVOS[DOCUMENTO]=LD_01[[#This Row],[DOCUMENTO]])*(ARQUIVOS[REVISÃO]=LD_01[[#This Row],[REVISÃO]])))</f>
        <v>45838</v>
      </c>
      <c r="L3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M347" s="6" t="str">
        <f>LD_01[[#This Row],[PASTA]]&amp;"/"&amp;LD_01[[#This Row],[ARQUIVO]]</f>
        <v>MSV-163MS-515-SUL/32.TE/MSV-163MS-515+630-ACE-EXE-DE-G1-201-R02.pdf</v>
      </c>
    </row>
    <row r="348" spans="1:13" ht="28.8" hidden="1" x14ac:dyDescent="0.3">
      <c r="A348" s="6" t="s">
        <v>3164</v>
      </c>
      <c r="B348" s="6" t="str">
        <f>VLOOKUP(LD_01[[#This Row],[DOCUMENTO]],_xlfn.SORTBY(ARQUIVOS_RECEBIDOS!$E$2:$F$5010,ARQUIVOS_RECEBIDOS!$F$2:$F$5010,-1),2,)</f>
        <v>R01</v>
      </c>
      <c r="C348" s="15" t="s">
        <v>5987</v>
      </c>
      <c r="D348" s="6" t="s">
        <v>4313</v>
      </c>
      <c r="E348" s="8" t="s">
        <v>4984</v>
      </c>
      <c r="F348" s="8" t="s">
        <v>4330</v>
      </c>
      <c r="G348" s="6" t="str">
        <f>_xlfn.XLOOKUP(LD_01[[#This Row],[DISCIPLINA]],'CLASSES DE PROJETOS'!$F$3:$F$37,'CLASSES DE PROJETOS'!$C$3:$C$37)</f>
        <v>TE</v>
      </c>
      <c r="H348" t="str">
        <f>_xlfn.TEXTJOIN("/",TRUE,"MSV-163MS-"&amp;LD_01[[#This Row],[TRECHO]],_xlfn.XLOOKUP(LD_01[[#This Row],[SIGLA]],'CLASSES DE PROJETOS'!$C$3:$C$37,'CLASSES DE PROJETOS'!$E$3:$E$37))</f>
        <v>MSV-163MS-515-SUL/32.TE</v>
      </c>
      <c r="I348" s="6" t="str" cm="1">
        <f t="array" ref="I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J348" s="6" t="str" cm="1">
        <f t="array" ref="J348">_xlfn.TEXTJOIN(", ",TRUE,_xlfn.UNIQUE(_xlfn._xlws.FILTER(ARQUIVOS_RECEBIDOS!$F$2:$F$5010,ARQUIVOS_RECEBIDOS!$E$2:$E$5010=LD_01[[#This Row],[DOCUMENTO]])))</f>
        <v>R01</v>
      </c>
      <c r="K348" s="12" cm="1">
        <f t="array" ref="K348">_xlfn.UNIQUE(_xlfn._xlws.FILTER(ARQUIVOS[DATA RECEBIMENTO],(ARQUIVOS[DOCUMENTO]=LD_01[[#This Row],[DOCUMENTO]])*(ARQUIVOS[REVISÃO]=LD_01[[#This Row],[REVISÃO]])))</f>
        <v>45838</v>
      </c>
      <c r="L3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M348" s="6" t="str">
        <f>LD_01[[#This Row],[PASTA]]&amp;"/"&amp;LD_01[[#This Row],[ARQUIVO]]</f>
        <v>MSV-163MS-515-SUL/32.TE/MSV-163MS-515+630-ACE-EXE-DE-G1-202-R01.pdf</v>
      </c>
    </row>
    <row r="349" spans="1:13" ht="28.8" hidden="1" x14ac:dyDescent="0.3">
      <c r="A349" s="6" t="s">
        <v>3165</v>
      </c>
      <c r="B349" s="6" t="str">
        <f>VLOOKUP(LD_01[[#This Row],[DOCUMENTO]],_xlfn.SORTBY(ARQUIVOS_RECEBIDOS!$E$2:$F$5010,ARQUIVOS_RECEBIDOS!$F$2:$F$5010,-1),2,)</f>
        <v>R01</v>
      </c>
      <c r="C349" s="15" t="s">
        <v>5987</v>
      </c>
      <c r="D349" s="6" t="s">
        <v>4313</v>
      </c>
      <c r="E349" s="8" t="s">
        <v>4979</v>
      </c>
      <c r="F349" s="8" t="s">
        <v>4330</v>
      </c>
      <c r="G349" s="6" t="str">
        <f>_xlfn.XLOOKUP(LD_01[[#This Row],[DISCIPLINA]],'CLASSES DE PROJETOS'!$F$3:$F$37,'CLASSES DE PROJETOS'!$C$3:$C$37)</f>
        <v>TE</v>
      </c>
      <c r="H349" t="str">
        <f>_xlfn.TEXTJOIN("/",TRUE,"MSV-163MS-"&amp;LD_01[[#This Row],[TRECHO]],_xlfn.XLOOKUP(LD_01[[#This Row],[SIGLA]],'CLASSES DE PROJETOS'!$C$3:$C$37,'CLASSES DE PROJETOS'!$E$3:$E$37))</f>
        <v>MSV-163MS-515-SUL/32.TE</v>
      </c>
      <c r="I349" s="6" t="str" cm="1">
        <f t="array" ref="I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J349" s="6" t="str" cm="1">
        <f t="array" ref="J349">_xlfn.TEXTJOIN(", ",TRUE,_xlfn.UNIQUE(_xlfn._xlws.FILTER(ARQUIVOS_RECEBIDOS!$F$2:$F$5010,ARQUIVOS_RECEBIDOS!$E$2:$E$5010=LD_01[[#This Row],[DOCUMENTO]])))</f>
        <v>R01</v>
      </c>
      <c r="K349" s="12" cm="1">
        <f t="array" ref="K349">_xlfn.UNIQUE(_xlfn._xlws.FILTER(ARQUIVOS[DATA RECEBIMENTO],(ARQUIVOS[DOCUMENTO]=LD_01[[#This Row],[DOCUMENTO]])*(ARQUIVOS[REVISÃO]=LD_01[[#This Row],[REVISÃO]])))</f>
        <v>45838</v>
      </c>
      <c r="L3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M349" s="6" t="str">
        <f>LD_01[[#This Row],[PASTA]]&amp;"/"&amp;LD_01[[#This Row],[ARQUIVO]]</f>
        <v>MSV-163MS-515-SUL/32.TE/MSV-163MS-515+630-ACE-EXE-DE-G1-301-R01.pdf</v>
      </c>
    </row>
    <row r="350" spans="1:13" hidden="1" x14ac:dyDescent="0.3">
      <c r="A350" s="6" t="s">
        <v>3135</v>
      </c>
      <c r="B350" s="6" t="str">
        <f>VLOOKUP(LD_01[[#This Row],[DOCUMENTO]],_xlfn.SORTBY(ARQUIVOS_RECEBIDOS!$E$2:$F$5010,ARQUIVOS_RECEBIDOS!$F$2:$F$5010,-1),2,)</f>
        <v>R01</v>
      </c>
      <c r="C350" s="15" t="s">
        <v>5987</v>
      </c>
      <c r="D350" s="6" t="s">
        <v>4312</v>
      </c>
      <c r="E350" s="8" t="s">
        <v>4076</v>
      </c>
      <c r="F350" s="8" t="s">
        <v>4142</v>
      </c>
      <c r="G350" s="6" t="str">
        <f>_xlfn.XLOOKUP(LD_01[[#This Row],[DISCIPLINA]],'CLASSES DE PROJETOS'!$F$3:$F$37,'CLASSES DE PROJETOS'!$C$3:$C$37)</f>
        <v>DR</v>
      </c>
      <c r="H350" t="str">
        <f>_xlfn.TEXTJOIN("/",TRUE,"MSV-163MS-"&amp;LD_01[[#This Row],[TRECHO]],_xlfn.XLOOKUP(LD_01[[#This Row],[SIGLA]],'CLASSES DE PROJETOS'!$C$3:$C$37,'CLASSES DE PROJETOS'!$E$3:$E$37))</f>
        <v>MSV-163MS-515-NORTE/10.DR</v>
      </c>
      <c r="I350" s="6" t="str" cm="1">
        <f t="array" ref="I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J350" s="6" t="str" cm="1">
        <f t="array" ref="J350">_xlfn.TEXTJOIN(", ",TRUE,_xlfn.UNIQUE(_xlfn._xlws.FILTER(ARQUIVOS_RECEBIDOS!$F$2:$F$5010,ARQUIVOS_RECEBIDOS!$E$2:$E$5010=LD_01[[#This Row],[DOCUMENTO]])))</f>
        <v>R01</v>
      </c>
      <c r="K350" s="12" cm="1">
        <f t="array" ref="K350">_xlfn.UNIQUE(_xlfn._xlws.FILTER(ARQUIVOS[DATA RECEBIMENTO],(ARQUIVOS[DOCUMENTO]=LD_01[[#This Row],[DOCUMENTO]])*(ARQUIVOS[REVISÃO]=LD_01[[#This Row],[REVISÃO]])))</f>
        <v>45838</v>
      </c>
      <c r="L3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M350" s="6" t="str">
        <f>LD_01[[#This Row],[PASTA]]&amp;"/"&amp;LD_01[[#This Row],[ARQUIVO]]</f>
        <v>MSV-163MS-515-NORTE/10.DR/MSV-163MS-515+630-ACE-EXE-DE-H2-001-R01.pdf</v>
      </c>
    </row>
    <row r="351" spans="1:13" ht="28.8" hidden="1" x14ac:dyDescent="0.3">
      <c r="A351" s="6" t="s">
        <v>3136</v>
      </c>
      <c r="B351" s="6" t="str">
        <f>VLOOKUP(LD_01[[#This Row],[DOCUMENTO]],_xlfn.SORTBY(ARQUIVOS_RECEBIDOS!$E$2:$F$5010,ARQUIVOS_RECEBIDOS!$F$2:$F$5010,-1),2,)</f>
        <v>R00</v>
      </c>
      <c r="C351" s="15" t="s">
        <v>5987</v>
      </c>
      <c r="D351" s="6" t="s">
        <v>4312</v>
      </c>
      <c r="E351" s="8" t="s">
        <v>4974</v>
      </c>
      <c r="F351" s="8" t="s">
        <v>4142</v>
      </c>
      <c r="G351" s="6" t="str">
        <f>_xlfn.XLOOKUP(LD_01[[#This Row],[DISCIPLINA]],'CLASSES DE PROJETOS'!$F$3:$F$37,'CLASSES DE PROJETOS'!$C$3:$C$37)</f>
        <v>DR</v>
      </c>
      <c r="H351" t="str">
        <f>_xlfn.TEXTJOIN("/",TRUE,"MSV-163MS-"&amp;LD_01[[#This Row],[TRECHO]],_xlfn.XLOOKUP(LD_01[[#This Row],[SIGLA]],'CLASSES DE PROJETOS'!$C$3:$C$37,'CLASSES DE PROJETOS'!$E$3:$E$37))</f>
        <v>MSV-163MS-515-NORTE/10.DR</v>
      </c>
      <c r="I351" s="6" t="str" cm="1">
        <f t="array" ref="I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J351" s="6" t="str" cm="1">
        <f t="array" ref="J351">_xlfn.TEXTJOIN(", ",TRUE,_xlfn.UNIQUE(_xlfn._xlws.FILTER(ARQUIVOS_RECEBIDOS!$F$2:$F$5010,ARQUIVOS_RECEBIDOS!$E$2:$E$5010=LD_01[[#This Row],[DOCUMENTO]])))</f>
        <v>R00</v>
      </c>
      <c r="K351" s="12" cm="1">
        <f t="array" ref="K351">_xlfn.UNIQUE(_xlfn._xlws.FILTER(ARQUIVOS[DATA RECEBIMENTO],(ARQUIVOS[DOCUMENTO]=LD_01[[#This Row],[DOCUMENTO]])*(ARQUIVOS[REVISÃO]=LD_01[[#This Row],[REVISÃO]])))</f>
        <v>45838</v>
      </c>
      <c r="L3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M351" s="6" t="str">
        <f>LD_01[[#This Row],[PASTA]]&amp;"/"&amp;LD_01[[#This Row],[ARQUIVO]]</f>
        <v>MSV-163MS-515-NORTE/10.DR/MSV-163MS-515+630-ACE-EXE-DE-H2-002-R00.pdf</v>
      </c>
    </row>
    <row r="352" spans="1:13" hidden="1" x14ac:dyDescent="0.3">
      <c r="A352" s="6" t="s">
        <v>3167</v>
      </c>
      <c r="B352" s="6" t="str">
        <f>VLOOKUP(LD_01[[#This Row],[DOCUMENTO]],_xlfn.SORTBY(ARQUIVOS_RECEBIDOS!$E$2:$F$5010,ARQUIVOS_RECEBIDOS!$F$2:$F$5010,-1),2,)</f>
        <v>R00</v>
      </c>
      <c r="C352" s="15" t="s">
        <v>5987</v>
      </c>
      <c r="D352" s="6" t="s">
        <v>4313</v>
      </c>
      <c r="E352" s="8" t="s">
        <v>4076</v>
      </c>
      <c r="F352" s="8" t="s">
        <v>4142</v>
      </c>
      <c r="G352" s="6" t="str">
        <f>_xlfn.XLOOKUP(LD_01[[#This Row],[DISCIPLINA]],'CLASSES DE PROJETOS'!$F$3:$F$37,'CLASSES DE PROJETOS'!$C$3:$C$37)</f>
        <v>DR</v>
      </c>
      <c r="H352" t="str">
        <f>_xlfn.TEXTJOIN("/",TRUE,"MSV-163MS-"&amp;LD_01[[#This Row],[TRECHO]],_xlfn.XLOOKUP(LD_01[[#This Row],[SIGLA]],'CLASSES DE PROJETOS'!$C$3:$C$37,'CLASSES DE PROJETOS'!$E$3:$E$37))</f>
        <v>MSV-163MS-515-SUL/10.DR</v>
      </c>
      <c r="I352" s="6" t="str" cm="1">
        <f t="array" ref="I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J352" s="6" t="str" cm="1">
        <f t="array" ref="J352">_xlfn.TEXTJOIN(", ",TRUE,_xlfn.UNIQUE(_xlfn._xlws.FILTER(ARQUIVOS_RECEBIDOS!$F$2:$F$5010,ARQUIVOS_RECEBIDOS!$E$2:$E$5010=LD_01[[#This Row],[DOCUMENTO]])))</f>
        <v>R00</v>
      </c>
      <c r="K352" s="12" cm="1">
        <f t="array" ref="K352">_xlfn.UNIQUE(_xlfn._xlws.FILTER(ARQUIVOS[DATA RECEBIMENTO],(ARQUIVOS[DOCUMENTO]=LD_01[[#This Row],[DOCUMENTO]])*(ARQUIVOS[REVISÃO]=LD_01[[#This Row],[REVISÃO]])))</f>
        <v>45838</v>
      </c>
      <c r="L3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M352" s="6" t="str">
        <f>LD_01[[#This Row],[PASTA]]&amp;"/"&amp;LD_01[[#This Row],[ARQUIVO]]</f>
        <v>MSV-163MS-515-SUL/10.DR/MSV-163MS-515+630-ACE-EXE-DE-H2-101-R00.pdf</v>
      </c>
    </row>
    <row r="353" spans="1:13" ht="28.8" hidden="1" x14ac:dyDescent="0.3">
      <c r="A353" s="6" t="s">
        <v>3168</v>
      </c>
      <c r="B353" s="6" t="str">
        <f>VLOOKUP(LD_01[[#This Row],[DOCUMENTO]],_xlfn.SORTBY(ARQUIVOS_RECEBIDOS!$E$2:$F$5010,ARQUIVOS_RECEBIDOS!$F$2:$F$5010,-1),2,)</f>
        <v>R00</v>
      </c>
      <c r="C353" s="15" t="s">
        <v>5987</v>
      </c>
      <c r="D353" s="6" t="s">
        <v>4313</v>
      </c>
      <c r="E353" s="8" t="s">
        <v>4974</v>
      </c>
      <c r="F353" s="8" t="s">
        <v>4142</v>
      </c>
      <c r="G353" s="6" t="str">
        <f>_xlfn.XLOOKUP(LD_01[[#This Row],[DISCIPLINA]],'CLASSES DE PROJETOS'!$F$3:$F$37,'CLASSES DE PROJETOS'!$C$3:$C$37)</f>
        <v>DR</v>
      </c>
      <c r="H353" t="str">
        <f>_xlfn.TEXTJOIN("/",TRUE,"MSV-163MS-"&amp;LD_01[[#This Row],[TRECHO]],_xlfn.XLOOKUP(LD_01[[#This Row],[SIGLA]],'CLASSES DE PROJETOS'!$C$3:$C$37,'CLASSES DE PROJETOS'!$E$3:$E$37))</f>
        <v>MSV-163MS-515-SUL/10.DR</v>
      </c>
      <c r="I353" s="6" t="str" cm="1">
        <f t="array" ref="I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J353" s="6" t="str" cm="1">
        <f t="array" ref="J353">_xlfn.TEXTJOIN(", ",TRUE,_xlfn.UNIQUE(_xlfn._xlws.FILTER(ARQUIVOS_RECEBIDOS!$F$2:$F$5010,ARQUIVOS_RECEBIDOS!$E$2:$E$5010=LD_01[[#This Row],[DOCUMENTO]])))</f>
        <v>R00</v>
      </c>
      <c r="K353" s="12" cm="1">
        <f t="array" ref="K353">_xlfn.UNIQUE(_xlfn._xlws.FILTER(ARQUIVOS[DATA RECEBIMENTO],(ARQUIVOS[DOCUMENTO]=LD_01[[#This Row],[DOCUMENTO]])*(ARQUIVOS[REVISÃO]=LD_01[[#This Row],[REVISÃO]])))</f>
        <v>45838</v>
      </c>
      <c r="L3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M353" s="6" t="str">
        <f>LD_01[[#This Row],[PASTA]]&amp;"/"&amp;LD_01[[#This Row],[ARQUIVO]]</f>
        <v>MSV-163MS-515-SUL/10.DR/MSV-163MS-515+630-ACE-EXE-DE-H2-102-R00.pdf</v>
      </c>
    </row>
    <row r="354" spans="1:13" hidden="1" x14ac:dyDescent="0.3">
      <c r="A354" s="6" t="s">
        <v>3143</v>
      </c>
      <c r="B354" s="6" t="str">
        <f>VLOOKUP(LD_01[[#This Row],[DOCUMENTO]],_xlfn.SORTBY(ARQUIVOS_RECEBIDOS!$E$2:$F$5010,ARQUIVOS_RECEBIDOS!$F$2:$F$5010,-1),2,)</f>
        <v>R01</v>
      </c>
      <c r="C354" s="15" t="s">
        <v>5987</v>
      </c>
      <c r="D354" s="6" t="s">
        <v>4312</v>
      </c>
      <c r="E354" s="8" t="s">
        <v>4979</v>
      </c>
      <c r="F354" s="8" t="s">
        <v>4143</v>
      </c>
      <c r="G354" s="6" t="str">
        <f>_xlfn.XLOOKUP(LD_01[[#This Row],[DISCIPLINA]],'CLASSES DE PROJETOS'!$F$3:$F$37,'CLASSES DE PROJETOS'!$C$3:$C$37)</f>
        <v>PV</v>
      </c>
      <c r="H354" t="str">
        <f>_xlfn.TEXTJOIN("/",TRUE,"MSV-163MS-"&amp;LD_01[[#This Row],[TRECHO]],_xlfn.XLOOKUP(LD_01[[#This Row],[SIGLA]],'CLASSES DE PROJETOS'!$C$3:$C$37,'CLASSES DE PROJETOS'!$E$3:$E$37))</f>
        <v>MSV-163MS-515-NORTE/28.PV</v>
      </c>
      <c r="I354" s="6" t="str" cm="1">
        <f t="array" ref="I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J354" s="6" t="str" cm="1">
        <f t="array" ref="J354">_xlfn.TEXTJOIN(", ",TRUE,_xlfn.UNIQUE(_xlfn._xlws.FILTER(ARQUIVOS_RECEBIDOS!$F$2:$F$5010,ARQUIVOS_RECEBIDOS!$E$2:$E$5010=LD_01[[#This Row],[DOCUMENTO]])))</f>
        <v>R01</v>
      </c>
      <c r="K354" s="12" cm="1">
        <f t="array" ref="K354">_xlfn.UNIQUE(_xlfn._xlws.FILTER(ARQUIVOS[DATA RECEBIMENTO],(ARQUIVOS[DOCUMENTO]=LD_01[[#This Row],[DOCUMENTO]])*(ARQUIVOS[REVISÃO]=LD_01[[#This Row],[REVISÃO]])))</f>
        <v>45838</v>
      </c>
      <c r="L3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M354" s="6" t="str">
        <f>LD_01[[#This Row],[PASTA]]&amp;"/"&amp;LD_01[[#This Row],[ARQUIVO]]</f>
        <v>MSV-163MS-515-NORTE/28.PV/MSV-163MS-515+630-ACE-EXE-DE-I2-001-R01.pdf</v>
      </c>
    </row>
    <row r="355" spans="1:13" hidden="1" x14ac:dyDescent="0.3">
      <c r="A355" s="6" t="s">
        <v>3144</v>
      </c>
      <c r="B355" s="6" t="str">
        <f>VLOOKUP(LD_01[[#This Row],[DOCUMENTO]],_xlfn.SORTBY(ARQUIVOS_RECEBIDOS!$E$2:$F$5010,ARQUIVOS_RECEBIDOS!$F$2:$F$5010,-1),2,)</f>
        <v>R02</v>
      </c>
      <c r="C355" s="15" t="s">
        <v>5987</v>
      </c>
      <c r="D355" s="6" t="s">
        <v>4312</v>
      </c>
      <c r="E355" s="8" t="s">
        <v>4980</v>
      </c>
      <c r="F355" s="8" t="s">
        <v>4143</v>
      </c>
      <c r="G355" s="6" t="str">
        <f>_xlfn.XLOOKUP(LD_01[[#This Row],[DISCIPLINA]],'CLASSES DE PROJETOS'!$F$3:$F$37,'CLASSES DE PROJETOS'!$C$3:$C$37)</f>
        <v>PV</v>
      </c>
      <c r="H355" t="str">
        <f>_xlfn.TEXTJOIN("/",TRUE,"MSV-163MS-"&amp;LD_01[[#This Row],[TRECHO]],_xlfn.XLOOKUP(LD_01[[#This Row],[SIGLA]],'CLASSES DE PROJETOS'!$C$3:$C$37,'CLASSES DE PROJETOS'!$E$3:$E$37))</f>
        <v>MSV-163MS-515-NORTE/28.PV</v>
      </c>
      <c r="I355" s="6" t="str" cm="1">
        <f t="array" ref="I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J355" s="6" t="str" cm="1">
        <f t="array" ref="J355">_xlfn.TEXTJOIN(", ",TRUE,_xlfn.UNIQUE(_xlfn._xlws.FILTER(ARQUIVOS_RECEBIDOS!$F$2:$F$5010,ARQUIVOS_RECEBIDOS!$E$2:$E$5010=LD_01[[#This Row],[DOCUMENTO]])))</f>
        <v>R02</v>
      </c>
      <c r="K355" s="12" cm="1">
        <f t="array" ref="K355">_xlfn.UNIQUE(_xlfn._xlws.FILTER(ARQUIVOS[DATA RECEBIMENTO],(ARQUIVOS[DOCUMENTO]=LD_01[[#This Row],[DOCUMENTO]])*(ARQUIVOS[REVISÃO]=LD_01[[#This Row],[REVISÃO]])))</f>
        <v>45838</v>
      </c>
      <c r="L3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M355" s="6" t="str">
        <f>LD_01[[#This Row],[PASTA]]&amp;"/"&amp;LD_01[[#This Row],[ARQUIVO]]</f>
        <v>MSV-163MS-515-NORTE/28.PV/MSV-163MS-515+630-ACE-EXE-DE-I2-002-R02.pdf</v>
      </c>
    </row>
    <row r="356" spans="1:13" hidden="1" x14ac:dyDescent="0.3">
      <c r="A356" s="6" t="s">
        <v>3175</v>
      </c>
      <c r="B356" s="6" t="str">
        <f>VLOOKUP(LD_01[[#This Row],[DOCUMENTO]],_xlfn.SORTBY(ARQUIVOS_RECEBIDOS!$E$2:$F$5010,ARQUIVOS_RECEBIDOS!$F$2:$F$5010,-1),2,)</f>
        <v>R01</v>
      </c>
      <c r="C356" s="15" t="s">
        <v>5987</v>
      </c>
      <c r="D356" s="6" t="s">
        <v>4313</v>
      </c>
      <c r="E356" s="8" t="s">
        <v>4076</v>
      </c>
      <c r="F356" s="8" t="s">
        <v>4143</v>
      </c>
      <c r="G356" s="6" t="str">
        <f>_xlfn.XLOOKUP(LD_01[[#This Row],[DISCIPLINA]],'CLASSES DE PROJETOS'!$F$3:$F$37,'CLASSES DE PROJETOS'!$C$3:$C$37)</f>
        <v>PV</v>
      </c>
      <c r="H356" t="str">
        <f>_xlfn.TEXTJOIN("/",TRUE,"MSV-163MS-"&amp;LD_01[[#This Row],[TRECHO]],_xlfn.XLOOKUP(LD_01[[#This Row],[SIGLA]],'CLASSES DE PROJETOS'!$C$3:$C$37,'CLASSES DE PROJETOS'!$E$3:$E$37))</f>
        <v>MSV-163MS-515-SUL/28.PV</v>
      </c>
      <c r="I356" s="6" t="str" cm="1">
        <f t="array" ref="I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J356" s="6" t="str" cm="1">
        <f t="array" ref="J356">_xlfn.TEXTJOIN(", ",TRUE,_xlfn.UNIQUE(_xlfn._xlws.FILTER(ARQUIVOS_RECEBIDOS!$F$2:$F$5010,ARQUIVOS_RECEBIDOS!$E$2:$E$5010=LD_01[[#This Row],[DOCUMENTO]])))</f>
        <v>R01</v>
      </c>
      <c r="K356" s="12" cm="1">
        <f t="array" ref="K356">_xlfn.UNIQUE(_xlfn._xlws.FILTER(ARQUIVOS[DATA RECEBIMENTO],(ARQUIVOS[DOCUMENTO]=LD_01[[#This Row],[DOCUMENTO]])*(ARQUIVOS[REVISÃO]=LD_01[[#This Row],[REVISÃO]])))</f>
        <v>45838</v>
      </c>
      <c r="L3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M356" s="6" t="str">
        <f>LD_01[[#This Row],[PASTA]]&amp;"/"&amp;LD_01[[#This Row],[ARQUIVO]]</f>
        <v>MSV-163MS-515-SUL/28.PV/MSV-163MS-515+630-ACE-EXE-DE-I2-101-R01.pdf</v>
      </c>
    </row>
    <row r="357" spans="1:13" hidden="1" x14ac:dyDescent="0.3">
      <c r="A357" s="6" t="s">
        <v>3176</v>
      </c>
      <c r="B357" s="6" t="str">
        <f>VLOOKUP(LD_01[[#This Row],[DOCUMENTO]],_xlfn.SORTBY(ARQUIVOS_RECEBIDOS!$E$2:$F$5010,ARQUIVOS_RECEBIDOS!$F$2:$F$5010,-1),2,)</f>
        <v>R02</v>
      </c>
      <c r="C357" s="15" t="s">
        <v>5987</v>
      </c>
      <c r="D357" s="6" t="s">
        <v>4313</v>
      </c>
      <c r="E357" s="8" t="s">
        <v>4980</v>
      </c>
      <c r="F357" s="8" t="s">
        <v>4143</v>
      </c>
      <c r="G357" s="6" t="str">
        <f>_xlfn.XLOOKUP(LD_01[[#This Row],[DISCIPLINA]],'CLASSES DE PROJETOS'!$F$3:$F$37,'CLASSES DE PROJETOS'!$C$3:$C$37)</f>
        <v>PV</v>
      </c>
      <c r="H357" t="str">
        <f>_xlfn.TEXTJOIN("/",TRUE,"MSV-163MS-"&amp;LD_01[[#This Row],[TRECHO]],_xlfn.XLOOKUP(LD_01[[#This Row],[SIGLA]],'CLASSES DE PROJETOS'!$C$3:$C$37,'CLASSES DE PROJETOS'!$E$3:$E$37))</f>
        <v>MSV-163MS-515-SUL/28.PV</v>
      </c>
      <c r="I357" s="6" t="str" cm="1">
        <f t="array" ref="I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J357" s="6" t="str" cm="1">
        <f t="array" ref="J357">_xlfn.TEXTJOIN(", ",TRUE,_xlfn.UNIQUE(_xlfn._xlws.FILTER(ARQUIVOS_RECEBIDOS!$F$2:$F$5010,ARQUIVOS_RECEBIDOS!$E$2:$E$5010=LD_01[[#This Row],[DOCUMENTO]])))</f>
        <v>R02</v>
      </c>
      <c r="K357" s="12" cm="1">
        <f t="array" ref="K357">_xlfn.UNIQUE(_xlfn._xlws.FILTER(ARQUIVOS[DATA RECEBIMENTO],(ARQUIVOS[DOCUMENTO]=LD_01[[#This Row],[DOCUMENTO]])*(ARQUIVOS[REVISÃO]=LD_01[[#This Row],[REVISÃO]])))</f>
        <v>45838</v>
      </c>
      <c r="L3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M357" s="6" t="str">
        <f>LD_01[[#This Row],[PASTA]]&amp;"/"&amp;LD_01[[#This Row],[ARQUIVO]]</f>
        <v>MSV-163MS-515-SUL/28.PV/MSV-163MS-515+630-ACE-EXE-DE-I2-102-R02.pdf</v>
      </c>
    </row>
    <row r="358" spans="1:13" hidden="1" x14ac:dyDescent="0.3">
      <c r="A358" s="6" t="s">
        <v>3139</v>
      </c>
      <c r="B358" s="6" t="str">
        <f>VLOOKUP(LD_01[[#This Row],[DOCUMENTO]],_xlfn.SORTBY(ARQUIVOS_RECEBIDOS!$E$2:$F$5010,ARQUIVOS_RECEBIDOS!$F$2:$F$5010,-1),2,)</f>
        <v>R02</v>
      </c>
      <c r="C358" s="15" t="s">
        <v>5987</v>
      </c>
      <c r="D358" s="6" t="s">
        <v>4312</v>
      </c>
      <c r="E358" s="8" t="s">
        <v>4087</v>
      </c>
      <c r="F358" s="8" t="s">
        <v>4331</v>
      </c>
      <c r="G358" s="6" t="str">
        <f>_xlfn.XLOOKUP(LD_01[[#This Row],[DISCIPLINA]],'CLASSES DE PROJETOS'!$F$3:$F$37,'CLASSES DE PROJETOS'!$C$3:$C$37)</f>
        <v>SI</v>
      </c>
      <c r="H358" t="str">
        <f>_xlfn.TEXTJOIN("/",TRUE,"MSV-163MS-"&amp;LD_01[[#This Row],[TRECHO]],_xlfn.XLOOKUP(LD_01[[#This Row],[SIGLA]],'CLASSES DE PROJETOS'!$C$3:$C$37,'CLASSES DE PROJETOS'!$E$3:$E$37))</f>
        <v>MSV-163MS-515-NORTE/31.SI</v>
      </c>
      <c r="I358" s="6" t="str" cm="1">
        <f t="array" ref="I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J358" s="6" t="str" cm="1">
        <f t="array" ref="J358">_xlfn.TEXTJOIN(", ",TRUE,_xlfn.UNIQUE(_xlfn._xlws.FILTER(ARQUIVOS_RECEBIDOS!$F$2:$F$5010,ARQUIVOS_RECEBIDOS!$E$2:$E$5010=LD_01[[#This Row],[DOCUMENTO]])))</f>
        <v>R02</v>
      </c>
      <c r="K358" s="12" cm="1">
        <f t="array" ref="K358">_xlfn.UNIQUE(_xlfn._xlws.FILTER(ARQUIVOS[DATA RECEBIMENTO],(ARQUIVOS[DOCUMENTO]=LD_01[[#This Row],[DOCUMENTO]])*(ARQUIVOS[REVISÃO]=LD_01[[#This Row],[REVISÃO]])))</f>
        <v>45838</v>
      </c>
      <c r="L3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M358" s="6" t="str">
        <f>LD_01[[#This Row],[PASTA]]&amp;"/"&amp;LD_01[[#This Row],[ARQUIVO]]</f>
        <v>MSV-163MS-515-NORTE/31.SI/MSV-163MS-515+630-ACE-EXE-DE-J1-001-R02.pdf</v>
      </c>
    </row>
    <row r="359" spans="1:13" hidden="1" x14ac:dyDescent="0.3">
      <c r="A359" s="6" t="s">
        <v>3140</v>
      </c>
      <c r="B359" s="6" t="str">
        <f>VLOOKUP(LD_01[[#This Row],[DOCUMENTO]],_xlfn.SORTBY(ARQUIVOS_RECEBIDOS!$E$2:$F$5010,ARQUIVOS_RECEBIDOS!$F$2:$F$5010,-1),2,)</f>
        <v>R00</v>
      </c>
      <c r="C359" s="15" t="s">
        <v>5987</v>
      </c>
      <c r="D359" s="6" t="s">
        <v>4312</v>
      </c>
      <c r="E359" s="8" t="s">
        <v>4979</v>
      </c>
      <c r="F359" s="8" t="s">
        <v>4331</v>
      </c>
      <c r="G359" s="6" t="str">
        <f>_xlfn.XLOOKUP(LD_01[[#This Row],[DISCIPLINA]],'CLASSES DE PROJETOS'!$F$3:$F$37,'CLASSES DE PROJETOS'!$C$3:$C$37)</f>
        <v>SI</v>
      </c>
      <c r="H359" t="str">
        <f>_xlfn.TEXTJOIN("/",TRUE,"MSV-163MS-"&amp;LD_01[[#This Row],[TRECHO]],_xlfn.XLOOKUP(LD_01[[#This Row],[SIGLA]],'CLASSES DE PROJETOS'!$C$3:$C$37,'CLASSES DE PROJETOS'!$E$3:$E$37))</f>
        <v>MSV-163MS-515-NORTE/31.SI</v>
      </c>
      <c r="I359" s="6" t="str" cm="1">
        <f t="array" ref="I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J359" s="6" t="str" cm="1">
        <f t="array" ref="J359">_xlfn.TEXTJOIN(", ",TRUE,_xlfn.UNIQUE(_xlfn._xlws.FILTER(ARQUIVOS_RECEBIDOS!$F$2:$F$5010,ARQUIVOS_RECEBIDOS!$E$2:$E$5010=LD_01[[#This Row],[DOCUMENTO]])))</f>
        <v>R00</v>
      </c>
      <c r="K359" s="12" cm="1">
        <f t="array" ref="K359">_xlfn.UNIQUE(_xlfn._xlws.FILTER(ARQUIVOS[DATA RECEBIMENTO],(ARQUIVOS[DOCUMENTO]=LD_01[[#This Row],[DOCUMENTO]])*(ARQUIVOS[REVISÃO]=LD_01[[#This Row],[REVISÃO]])))</f>
        <v>45838</v>
      </c>
      <c r="L3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M359" s="6" t="str">
        <f>LD_01[[#This Row],[PASTA]]&amp;"/"&amp;LD_01[[#This Row],[ARQUIVO]]</f>
        <v>MSV-163MS-515-NORTE/31.SI/MSV-163MS-515+630-ACE-EXE-DE-J1-002-R00.pdf</v>
      </c>
    </row>
    <row r="360" spans="1:13" hidden="1" x14ac:dyDescent="0.3">
      <c r="A360" s="6" t="s">
        <v>3141</v>
      </c>
      <c r="B360" s="6" t="str">
        <f>VLOOKUP(LD_01[[#This Row],[DOCUMENTO]],_xlfn.SORTBY(ARQUIVOS_RECEBIDOS!$E$2:$F$5010,ARQUIVOS_RECEBIDOS!$F$2:$F$5010,-1),2,)</f>
        <v>R00</v>
      </c>
      <c r="C360" s="15" t="s">
        <v>5987</v>
      </c>
      <c r="D360" s="6" t="s">
        <v>4312</v>
      </c>
      <c r="E360" s="8" t="s">
        <v>4979</v>
      </c>
      <c r="F360" s="8" t="s">
        <v>4331</v>
      </c>
      <c r="G360" s="6" t="str">
        <f>_xlfn.XLOOKUP(LD_01[[#This Row],[DISCIPLINA]],'CLASSES DE PROJETOS'!$F$3:$F$37,'CLASSES DE PROJETOS'!$C$3:$C$37)</f>
        <v>SI</v>
      </c>
      <c r="H360" t="str">
        <f>_xlfn.TEXTJOIN("/",TRUE,"MSV-163MS-"&amp;LD_01[[#This Row],[TRECHO]],_xlfn.XLOOKUP(LD_01[[#This Row],[SIGLA]],'CLASSES DE PROJETOS'!$C$3:$C$37,'CLASSES DE PROJETOS'!$E$3:$E$37))</f>
        <v>MSV-163MS-515-NORTE/31.SI</v>
      </c>
      <c r="I360" s="6" t="str" cm="1">
        <f t="array" ref="I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J360" s="6" t="str" cm="1">
        <f t="array" ref="J360">_xlfn.TEXTJOIN(", ",TRUE,_xlfn.UNIQUE(_xlfn._xlws.FILTER(ARQUIVOS_RECEBIDOS!$F$2:$F$5010,ARQUIVOS_RECEBIDOS!$E$2:$E$5010=LD_01[[#This Row],[DOCUMENTO]])))</f>
        <v>R00</v>
      </c>
      <c r="K360" s="12" cm="1">
        <f t="array" ref="K360">_xlfn.UNIQUE(_xlfn._xlws.FILTER(ARQUIVOS[DATA RECEBIMENTO],(ARQUIVOS[DOCUMENTO]=LD_01[[#This Row],[DOCUMENTO]])*(ARQUIVOS[REVISÃO]=LD_01[[#This Row],[REVISÃO]])))</f>
        <v>45838</v>
      </c>
      <c r="L3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M360" s="6" t="str">
        <f>LD_01[[#This Row],[PASTA]]&amp;"/"&amp;LD_01[[#This Row],[ARQUIVO]]</f>
        <v>MSV-163MS-515-NORTE/31.SI/MSV-163MS-515+630-ACE-EXE-DE-J1-003-R00.pdf</v>
      </c>
    </row>
    <row r="361" spans="1:13" hidden="1" x14ac:dyDescent="0.3">
      <c r="A361" s="6" t="s">
        <v>3142</v>
      </c>
      <c r="B361" s="6" t="str">
        <f>VLOOKUP(LD_01[[#This Row],[DOCUMENTO]],_xlfn.SORTBY(ARQUIVOS_RECEBIDOS!$E$2:$F$5010,ARQUIVOS_RECEBIDOS!$F$2:$F$5010,-1),2,)</f>
        <v>R00</v>
      </c>
      <c r="C361" s="15" t="s">
        <v>5987</v>
      </c>
      <c r="D361" s="6" t="s">
        <v>4312</v>
      </c>
      <c r="E361" s="8" t="s">
        <v>4983</v>
      </c>
      <c r="F361" s="8" t="s">
        <v>4331</v>
      </c>
      <c r="G361" s="6" t="str">
        <f>_xlfn.XLOOKUP(LD_01[[#This Row],[DISCIPLINA]],'CLASSES DE PROJETOS'!$F$3:$F$37,'CLASSES DE PROJETOS'!$C$3:$C$37)</f>
        <v>SI</v>
      </c>
      <c r="H361" t="str">
        <f>_xlfn.TEXTJOIN("/",TRUE,"MSV-163MS-"&amp;LD_01[[#This Row],[TRECHO]],_xlfn.XLOOKUP(LD_01[[#This Row],[SIGLA]],'CLASSES DE PROJETOS'!$C$3:$C$37,'CLASSES DE PROJETOS'!$E$3:$E$37))</f>
        <v>MSV-163MS-515-NORTE/31.SI</v>
      </c>
      <c r="I361" s="6" t="str" cm="1">
        <f t="array" ref="I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J361" s="6" t="str" cm="1">
        <f t="array" ref="J361">_xlfn.TEXTJOIN(", ",TRUE,_xlfn.UNIQUE(_xlfn._xlws.FILTER(ARQUIVOS_RECEBIDOS!$F$2:$F$5010,ARQUIVOS_RECEBIDOS!$E$2:$E$5010=LD_01[[#This Row],[DOCUMENTO]])))</f>
        <v>R00</v>
      </c>
      <c r="K361" s="12" cm="1">
        <f t="array" ref="K361">_xlfn.UNIQUE(_xlfn._xlws.FILTER(ARQUIVOS[DATA RECEBIMENTO],(ARQUIVOS[DOCUMENTO]=LD_01[[#This Row],[DOCUMENTO]])*(ARQUIVOS[REVISÃO]=LD_01[[#This Row],[REVISÃO]])))</f>
        <v>45838</v>
      </c>
      <c r="L3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M361" s="6" t="str">
        <f>LD_01[[#This Row],[PASTA]]&amp;"/"&amp;LD_01[[#This Row],[ARQUIVO]]</f>
        <v>MSV-163MS-515-NORTE/31.SI/MSV-163MS-515+630-ACE-EXE-DE-J1-004-R00.pdf</v>
      </c>
    </row>
    <row r="362" spans="1:13" hidden="1" x14ac:dyDescent="0.3">
      <c r="A362" s="6" t="s">
        <v>3171</v>
      </c>
      <c r="B362" s="6" t="str">
        <f>VLOOKUP(LD_01[[#This Row],[DOCUMENTO]],_xlfn.SORTBY(ARQUIVOS_RECEBIDOS!$E$2:$F$5010,ARQUIVOS_RECEBIDOS!$F$2:$F$5010,-1),2,)</f>
        <v>R02</v>
      </c>
      <c r="C362" s="15" t="s">
        <v>5987</v>
      </c>
      <c r="D362" s="6" t="s">
        <v>4313</v>
      </c>
      <c r="E362" s="8" t="s">
        <v>4087</v>
      </c>
      <c r="F362" s="8" t="s">
        <v>4331</v>
      </c>
      <c r="G362" s="6" t="str">
        <f>_xlfn.XLOOKUP(LD_01[[#This Row],[DISCIPLINA]],'CLASSES DE PROJETOS'!$F$3:$F$37,'CLASSES DE PROJETOS'!$C$3:$C$37)</f>
        <v>SI</v>
      </c>
      <c r="H362" t="str">
        <f>_xlfn.TEXTJOIN("/",TRUE,"MSV-163MS-"&amp;LD_01[[#This Row],[TRECHO]],_xlfn.XLOOKUP(LD_01[[#This Row],[SIGLA]],'CLASSES DE PROJETOS'!$C$3:$C$37,'CLASSES DE PROJETOS'!$E$3:$E$37))</f>
        <v>MSV-163MS-515-SUL/31.SI</v>
      </c>
      <c r="I362" s="6" t="str" cm="1">
        <f t="array" ref="I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J362" s="6" t="str" cm="1">
        <f t="array" ref="J362">_xlfn.TEXTJOIN(", ",TRUE,_xlfn.UNIQUE(_xlfn._xlws.FILTER(ARQUIVOS_RECEBIDOS!$F$2:$F$5010,ARQUIVOS_RECEBIDOS!$E$2:$E$5010=LD_01[[#This Row],[DOCUMENTO]])))</f>
        <v>R02</v>
      </c>
      <c r="K362" s="12" cm="1">
        <f t="array" ref="K362">_xlfn.UNIQUE(_xlfn._xlws.FILTER(ARQUIVOS[DATA RECEBIMENTO],(ARQUIVOS[DOCUMENTO]=LD_01[[#This Row],[DOCUMENTO]])*(ARQUIVOS[REVISÃO]=LD_01[[#This Row],[REVISÃO]])))</f>
        <v>45838</v>
      </c>
      <c r="L3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M362" s="6" t="str">
        <f>LD_01[[#This Row],[PASTA]]&amp;"/"&amp;LD_01[[#This Row],[ARQUIVO]]</f>
        <v>MSV-163MS-515-SUL/31.SI/MSV-163MS-515+630-ACE-EXE-DE-J1-101-R02.pdf</v>
      </c>
    </row>
    <row r="363" spans="1:13" hidden="1" x14ac:dyDescent="0.3">
      <c r="A363" s="6" t="s">
        <v>3172</v>
      </c>
      <c r="B363" s="6" t="str">
        <f>VLOOKUP(LD_01[[#This Row],[DOCUMENTO]],_xlfn.SORTBY(ARQUIVOS_RECEBIDOS!$E$2:$F$5010,ARQUIVOS_RECEBIDOS!$F$2:$F$5010,-1),2,)</f>
        <v>R00</v>
      </c>
      <c r="C363" s="15" t="s">
        <v>5987</v>
      </c>
      <c r="D363" s="6" t="s">
        <v>4313</v>
      </c>
      <c r="E363" s="8" t="s">
        <v>4985</v>
      </c>
      <c r="F363" s="8" t="s">
        <v>4331</v>
      </c>
      <c r="G363" s="6" t="str">
        <f>_xlfn.XLOOKUP(LD_01[[#This Row],[DISCIPLINA]],'CLASSES DE PROJETOS'!$F$3:$F$37,'CLASSES DE PROJETOS'!$C$3:$C$37)</f>
        <v>SI</v>
      </c>
      <c r="H363" t="str">
        <f>_xlfn.TEXTJOIN("/",TRUE,"MSV-163MS-"&amp;LD_01[[#This Row],[TRECHO]],_xlfn.XLOOKUP(LD_01[[#This Row],[SIGLA]],'CLASSES DE PROJETOS'!$C$3:$C$37,'CLASSES DE PROJETOS'!$E$3:$E$37))</f>
        <v>MSV-163MS-515-SUL/31.SI</v>
      </c>
      <c r="I363" s="6" t="str" cm="1">
        <f t="array" ref="I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J363" s="6" t="str" cm="1">
        <f t="array" ref="J363">_xlfn.TEXTJOIN(", ",TRUE,_xlfn.UNIQUE(_xlfn._xlws.FILTER(ARQUIVOS_RECEBIDOS!$F$2:$F$5010,ARQUIVOS_RECEBIDOS!$E$2:$E$5010=LD_01[[#This Row],[DOCUMENTO]])))</f>
        <v>R00</v>
      </c>
      <c r="K363" s="12" cm="1">
        <f t="array" ref="K363">_xlfn.UNIQUE(_xlfn._xlws.FILTER(ARQUIVOS[DATA RECEBIMENTO],(ARQUIVOS[DOCUMENTO]=LD_01[[#This Row],[DOCUMENTO]])*(ARQUIVOS[REVISÃO]=LD_01[[#This Row],[REVISÃO]])))</f>
        <v>45838</v>
      </c>
      <c r="L3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M363" s="6" t="str">
        <f>LD_01[[#This Row],[PASTA]]&amp;"/"&amp;LD_01[[#This Row],[ARQUIVO]]</f>
        <v>MSV-163MS-515-SUL/31.SI/MSV-163MS-515+630-ACE-EXE-DE-J1-102-R00.pdf</v>
      </c>
    </row>
    <row r="364" spans="1:13" hidden="1" x14ac:dyDescent="0.3">
      <c r="A364" s="6" t="s">
        <v>3173</v>
      </c>
      <c r="B364" s="6" t="str">
        <f>VLOOKUP(LD_01[[#This Row],[DOCUMENTO]],_xlfn.SORTBY(ARQUIVOS_RECEBIDOS!$E$2:$F$5010,ARQUIVOS_RECEBIDOS!$F$2:$F$5010,-1),2,)</f>
        <v>R00</v>
      </c>
      <c r="C364" s="15" t="s">
        <v>5987</v>
      </c>
      <c r="D364" s="6" t="s">
        <v>4313</v>
      </c>
      <c r="E364" s="8" t="s">
        <v>4986</v>
      </c>
      <c r="F364" s="8" t="s">
        <v>4331</v>
      </c>
      <c r="G364" s="6" t="str">
        <f>_xlfn.XLOOKUP(LD_01[[#This Row],[DISCIPLINA]],'CLASSES DE PROJETOS'!$F$3:$F$37,'CLASSES DE PROJETOS'!$C$3:$C$37)</f>
        <v>SI</v>
      </c>
      <c r="H364" t="str">
        <f>_xlfn.TEXTJOIN("/",TRUE,"MSV-163MS-"&amp;LD_01[[#This Row],[TRECHO]],_xlfn.XLOOKUP(LD_01[[#This Row],[SIGLA]],'CLASSES DE PROJETOS'!$C$3:$C$37,'CLASSES DE PROJETOS'!$E$3:$E$37))</f>
        <v>MSV-163MS-515-SUL/31.SI</v>
      </c>
      <c r="I364" s="6" t="str" cm="1">
        <f t="array" ref="I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J364" s="6" t="str" cm="1">
        <f t="array" ref="J364">_xlfn.TEXTJOIN(", ",TRUE,_xlfn.UNIQUE(_xlfn._xlws.FILTER(ARQUIVOS_RECEBIDOS!$F$2:$F$5010,ARQUIVOS_RECEBIDOS!$E$2:$E$5010=LD_01[[#This Row],[DOCUMENTO]])))</f>
        <v>R00</v>
      </c>
      <c r="K364" s="12" cm="1">
        <f t="array" ref="K364">_xlfn.UNIQUE(_xlfn._xlws.FILTER(ARQUIVOS[DATA RECEBIMENTO],(ARQUIVOS[DOCUMENTO]=LD_01[[#This Row],[DOCUMENTO]])*(ARQUIVOS[REVISÃO]=LD_01[[#This Row],[REVISÃO]])))</f>
        <v>45838</v>
      </c>
      <c r="L3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M364" s="6" t="str">
        <f>LD_01[[#This Row],[PASTA]]&amp;"/"&amp;LD_01[[#This Row],[ARQUIVO]]</f>
        <v>MSV-163MS-515-SUL/31.SI/MSV-163MS-515+630-ACE-EXE-DE-J1-103-R00.pdf</v>
      </c>
    </row>
    <row r="365" spans="1:13" hidden="1" x14ac:dyDescent="0.3">
      <c r="A365" s="6" t="s">
        <v>3174</v>
      </c>
      <c r="B365" s="6" t="str">
        <f>VLOOKUP(LD_01[[#This Row],[DOCUMENTO]],_xlfn.SORTBY(ARQUIVOS_RECEBIDOS!$E$2:$F$5010,ARQUIVOS_RECEBIDOS!$F$2:$F$5010,-1),2,)</f>
        <v>R00</v>
      </c>
      <c r="C365" s="15" t="s">
        <v>5987</v>
      </c>
      <c r="D365" s="6" t="s">
        <v>4313</v>
      </c>
      <c r="E365" s="8" t="s">
        <v>4987</v>
      </c>
      <c r="F365" s="8" t="s">
        <v>4331</v>
      </c>
      <c r="G365" s="6" t="str">
        <f>_xlfn.XLOOKUP(LD_01[[#This Row],[DISCIPLINA]],'CLASSES DE PROJETOS'!$F$3:$F$37,'CLASSES DE PROJETOS'!$C$3:$C$37)</f>
        <v>SI</v>
      </c>
      <c r="H365" t="str">
        <f>_xlfn.TEXTJOIN("/",TRUE,"MSV-163MS-"&amp;LD_01[[#This Row],[TRECHO]],_xlfn.XLOOKUP(LD_01[[#This Row],[SIGLA]],'CLASSES DE PROJETOS'!$C$3:$C$37,'CLASSES DE PROJETOS'!$E$3:$E$37))</f>
        <v>MSV-163MS-515-SUL/31.SI</v>
      </c>
      <c r="I365" s="6" t="str" cm="1">
        <f t="array" ref="I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J365" s="6" t="str" cm="1">
        <f t="array" ref="J365">_xlfn.TEXTJOIN(", ",TRUE,_xlfn.UNIQUE(_xlfn._xlws.FILTER(ARQUIVOS_RECEBIDOS!$F$2:$F$5010,ARQUIVOS_RECEBIDOS!$E$2:$E$5010=LD_01[[#This Row],[DOCUMENTO]])))</f>
        <v>R00</v>
      </c>
      <c r="K365" s="12" cm="1">
        <f t="array" ref="K365">_xlfn.UNIQUE(_xlfn._xlws.FILTER(ARQUIVOS[DATA RECEBIMENTO],(ARQUIVOS[DOCUMENTO]=LD_01[[#This Row],[DOCUMENTO]])*(ARQUIVOS[REVISÃO]=LD_01[[#This Row],[REVISÃO]])))</f>
        <v>45838</v>
      </c>
      <c r="L3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M365" s="6" t="str">
        <f>LD_01[[#This Row],[PASTA]]&amp;"/"&amp;LD_01[[#This Row],[ARQUIVO]]</f>
        <v>MSV-163MS-515-SUL/31.SI/MSV-163MS-515+630-ACE-EXE-DE-J1-104-R00.pdf</v>
      </c>
    </row>
    <row r="366" spans="1:13" ht="43.2" hidden="1" x14ac:dyDescent="0.3">
      <c r="A366" s="6" t="s">
        <v>3150</v>
      </c>
      <c r="B366" s="6" t="str">
        <f>VLOOKUP(LD_01[[#This Row],[DOCUMENTO]],_xlfn.SORTBY(ARQUIVOS_RECEBIDOS!$E$2:$F$5010,ARQUIVOS_RECEBIDOS!$F$2:$F$5010,-1),2,)</f>
        <v>R01</v>
      </c>
      <c r="C366" s="15" t="s">
        <v>5987</v>
      </c>
      <c r="D366" s="6" t="s">
        <v>4312</v>
      </c>
      <c r="E366" s="8" t="s">
        <v>4087</v>
      </c>
      <c r="F366" s="8" t="s">
        <v>4333</v>
      </c>
      <c r="G366" s="6" t="str">
        <f>_xlfn.XLOOKUP(LD_01[[#This Row],[DISCIPLINA]],'CLASSES DE PROJETOS'!$F$3:$F$37,'CLASSES DE PROJETOS'!$C$3:$C$37)</f>
        <v>IN</v>
      </c>
      <c r="H366" t="str">
        <f>_xlfn.TEXTJOIN("/",TRUE,"MSV-163MS-"&amp;LD_01[[#This Row],[TRECHO]],_xlfn.XLOOKUP(LD_01[[#This Row],[SIGLA]],'CLASSES DE PROJETOS'!$C$3:$C$37,'CLASSES DE PROJETOS'!$E$3:$E$37))</f>
        <v>MSV-163MS-515-NORTE/23.IN</v>
      </c>
      <c r="I366" s="6" t="str" cm="1">
        <f t="array" ref="I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J366" s="6" t="str" cm="1">
        <f t="array" ref="J366">_xlfn.TEXTJOIN(", ",TRUE,_xlfn.UNIQUE(_xlfn._xlws.FILTER(ARQUIVOS_RECEBIDOS!$F$2:$F$5010,ARQUIVOS_RECEBIDOS!$E$2:$E$5010=LD_01[[#This Row],[DOCUMENTO]])))</f>
        <v>R01</v>
      </c>
      <c r="K366" s="12" cm="1">
        <f t="array" ref="K366">_xlfn.UNIQUE(_xlfn._xlws.FILTER(ARQUIVOS[DATA RECEBIMENTO],(ARQUIVOS[DOCUMENTO]=LD_01[[#This Row],[DOCUMENTO]])*(ARQUIVOS[REVISÃO]=LD_01[[#This Row],[REVISÃO]])))</f>
        <v>45838</v>
      </c>
      <c r="L3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M366" s="6" t="str">
        <f>LD_01[[#This Row],[PASTA]]&amp;"/"&amp;LD_01[[#This Row],[ARQUIVO]]</f>
        <v>MSV-163MS-515-NORTE/23.IN/MSV-163MS-515+630-ACE-EXE-DE-M1-001-R01.pdf</v>
      </c>
    </row>
    <row r="367" spans="1:13" ht="43.2" hidden="1" x14ac:dyDescent="0.3">
      <c r="A367" s="6" t="s">
        <v>3182</v>
      </c>
      <c r="B367" s="6" t="str">
        <f>VLOOKUP(LD_01[[#This Row],[DOCUMENTO]],_xlfn.SORTBY(ARQUIVOS_RECEBIDOS!$E$2:$F$5010,ARQUIVOS_RECEBIDOS!$F$2:$F$5010,-1),2,)</f>
        <v>R01</v>
      </c>
      <c r="C367" s="15" t="s">
        <v>5987</v>
      </c>
      <c r="D367" s="6" t="s">
        <v>4313</v>
      </c>
      <c r="E367" s="8" t="s">
        <v>4979</v>
      </c>
      <c r="F367" s="8" t="s">
        <v>4333</v>
      </c>
      <c r="G367" s="6" t="str">
        <f>_xlfn.XLOOKUP(LD_01[[#This Row],[DISCIPLINA]],'CLASSES DE PROJETOS'!$F$3:$F$37,'CLASSES DE PROJETOS'!$C$3:$C$37)</f>
        <v>IN</v>
      </c>
      <c r="H367" t="str">
        <f>_xlfn.TEXTJOIN("/",TRUE,"MSV-163MS-"&amp;LD_01[[#This Row],[TRECHO]],_xlfn.XLOOKUP(LD_01[[#This Row],[SIGLA]],'CLASSES DE PROJETOS'!$C$3:$C$37,'CLASSES DE PROJETOS'!$E$3:$E$37))</f>
        <v>MSV-163MS-515-SUL/23.IN</v>
      </c>
      <c r="I367" s="6" t="str" cm="1">
        <f t="array" ref="I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J367" s="6" t="str" cm="1">
        <f t="array" ref="J367">_xlfn.TEXTJOIN(", ",TRUE,_xlfn.UNIQUE(_xlfn._xlws.FILTER(ARQUIVOS_RECEBIDOS!$F$2:$F$5010,ARQUIVOS_RECEBIDOS!$E$2:$E$5010=LD_01[[#This Row],[DOCUMENTO]])))</f>
        <v>R01</v>
      </c>
      <c r="K367" s="12" cm="1">
        <f t="array" ref="K367">_xlfn.UNIQUE(_xlfn._xlws.FILTER(ARQUIVOS[DATA RECEBIMENTO],(ARQUIVOS[DOCUMENTO]=LD_01[[#This Row],[DOCUMENTO]])*(ARQUIVOS[REVISÃO]=LD_01[[#This Row],[REVISÃO]])))</f>
        <v>45838</v>
      </c>
      <c r="L3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M367" s="6" t="str">
        <f>LD_01[[#This Row],[PASTA]]&amp;"/"&amp;LD_01[[#This Row],[ARQUIVO]]</f>
        <v>MSV-163MS-515-SUL/23.IN/MSV-163MS-515+630-ACE-EXE-DE-M1-101-R01.pdf</v>
      </c>
    </row>
    <row r="368" spans="1:13" hidden="1" x14ac:dyDescent="0.3">
      <c r="A368" s="6" t="s">
        <v>3155</v>
      </c>
      <c r="B368" s="6" t="str">
        <f>VLOOKUP(LD_01[[#This Row],[DOCUMENTO]],_xlfn.SORTBY(ARQUIVOS_RECEBIDOS!$E$2:$F$5010,ARQUIVOS_RECEBIDOS!$F$2:$F$5010,-1),2,)</f>
        <v>R01</v>
      </c>
      <c r="C368" s="15" t="s">
        <v>5987</v>
      </c>
      <c r="D368" s="6" t="s">
        <v>4312</v>
      </c>
      <c r="E368" s="8" t="s">
        <v>4087</v>
      </c>
      <c r="F368" s="8" t="s">
        <v>4334</v>
      </c>
      <c r="G368" s="6" t="str">
        <f>_xlfn.XLOOKUP(LD_01[[#This Row],[DISCIPLINA]],'CLASSES DE PROJETOS'!$F$3:$F$37,'CLASSES DE PROJETOS'!$C$3:$C$37)</f>
        <v>PA</v>
      </c>
      <c r="H368" t="str">
        <f>_xlfn.TEXTJOIN("/",TRUE,"MSV-163MS-"&amp;LD_01[[#This Row],[TRECHO]],_xlfn.XLOOKUP(LD_01[[#This Row],[SIGLA]],'CLASSES DE PROJETOS'!$C$3:$C$37,'CLASSES DE PROJETOS'!$E$3:$E$37))</f>
        <v>MSV-163MS-515-NORTE/27.PA</v>
      </c>
      <c r="I368" s="6" t="str" cm="1">
        <f t="array" ref="I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J368" s="6" t="str" cm="1">
        <f t="array" ref="J368">_xlfn.TEXTJOIN(", ",TRUE,_xlfn.UNIQUE(_xlfn._xlws.FILTER(ARQUIVOS_RECEBIDOS!$F$2:$F$5010,ARQUIVOS_RECEBIDOS!$E$2:$E$5010=LD_01[[#This Row],[DOCUMENTO]])))</f>
        <v>R01</v>
      </c>
      <c r="K368" s="12" cm="1">
        <f t="array" ref="K368">_xlfn.UNIQUE(_xlfn._xlws.FILTER(ARQUIVOS[DATA RECEBIMENTO],(ARQUIVOS[DOCUMENTO]=LD_01[[#This Row],[DOCUMENTO]])*(ARQUIVOS[REVISÃO]=LD_01[[#This Row],[REVISÃO]])))</f>
        <v>45838</v>
      </c>
      <c r="L3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M368" s="6" t="str">
        <f>LD_01[[#This Row],[PASTA]]&amp;"/"&amp;LD_01[[#This Row],[ARQUIVO]]</f>
        <v>MSV-163MS-515-NORTE/27.PA/MSV-163MS-515+630-ACE-EXE-DE-N2-001-R01.pdf</v>
      </c>
    </row>
    <row r="369" spans="1:13" hidden="1" x14ac:dyDescent="0.3">
      <c r="A369" s="6" t="s">
        <v>3187</v>
      </c>
      <c r="B369" s="6" t="str">
        <f>VLOOKUP(LD_01[[#This Row],[DOCUMENTO]],_xlfn.SORTBY(ARQUIVOS_RECEBIDOS!$E$2:$F$5010,ARQUIVOS_RECEBIDOS!$F$2:$F$5010,-1),2,)</f>
        <v>R01</v>
      </c>
      <c r="C369" s="15" t="s">
        <v>5987</v>
      </c>
      <c r="D369" s="6" t="s">
        <v>4313</v>
      </c>
      <c r="E369" s="8" t="s">
        <v>4087</v>
      </c>
      <c r="F369" s="8" t="s">
        <v>4334</v>
      </c>
      <c r="G369" s="6" t="str">
        <f>_xlfn.XLOOKUP(LD_01[[#This Row],[DISCIPLINA]],'CLASSES DE PROJETOS'!$F$3:$F$37,'CLASSES DE PROJETOS'!$C$3:$C$37)</f>
        <v>PA</v>
      </c>
      <c r="H369" t="str">
        <f>_xlfn.TEXTJOIN("/",TRUE,"MSV-163MS-"&amp;LD_01[[#This Row],[TRECHO]],_xlfn.XLOOKUP(LD_01[[#This Row],[SIGLA]],'CLASSES DE PROJETOS'!$C$3:$C$37,'CLASSES DE PROJETOS'!$E$3:$E$37))</f>
        <v>MSV-163MS-515-SUL/27.PA</v>
      </c>
      <c r="I369" s="6" t="str" cm="1">
        <f t="array" ref="I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J369" s="6" t="str" cm="1">
        <f t="array" ref="J369">_xlfn.TEXTJOIN(", ",TRUE,_xlfn.UNIQUE(_xlfn._xlws.FILTER(ARQUIVOS_RECEBIDOS!$F$2:$F$5010,ARQUIVOS_RECEBIDOS!$E$2:$E$5010=LD_01[[#This Row],[DOCUMENTO]])))</f>
        <v>R01</v>
      </c>
      <c r="K369" s="12" cm="1">
        <f t="array" ref="K369">_xlfn.UNIQUE(_xlfn._xlws.FILTER(ARQUIVOS[DATA RECEBIMENTO],(ARQUIVOS[DOCUMENTO]=LD_01[[#This Row],[DOCUMENTO]])*(ARQUIVOS[REVISÃO]=LD_01[[#This Row],[REVISÃO]])))</f>
        <v>45838</v>
      </c>
      <c r="L3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M369" s="6" t="str">
        <f>LD_01[[#This Row],[PASTA]]&amp;"/"&amp;LD_01[[#This Row],[ARQUIVO]]</f>
        <v>MSV-163MS-515-SUL/27.PA/MSV-163MS-515+630-ACE-EXE-DE-N2-101-R01.pdf</v>
      </c>
    </row>
    <row r="370" spans="1:13" ht="28.8" hidden="1" x14ac:dyDescent="0.3">
      <c r="A370" s="6" t="s">
        <v>3152</v>
      </c>
      <c r="B370" s="6" t="str">
        <f>VLOOKUP(LD_01[[#This Row],[DOCUMENTO]],_xlfn.SORTBY(ARQUIVOS_RECEBIDOS!$E$2:$F$5010,ARQUIVOS_RECEBIDOS!$F$2:$F$5010,-1),2,)</f>
        <v>R01</v>
      </c>
      <c r="C370" s="15" t="s">
        <v>5987</v>
      </c>
      <c r="D370" s="6" t="s">
        <v>4312</v>
      </c>
      <c r="E370" s="8" t="s">
        <v>4087</v>
      </c>
      <c r="F370" s="8" t="s">
        <v>4144</v>
      </c>
      <c r="G370" s="6" t="str">
        <f>_xlfn.XLOOKUP(LD_01[[#This Row],[DISCIPLINA]],'CLASSES DE PROJETOS'!$F$3:$F$37,'CLASSES DE PROJETOS'!$C$3:$C$37)</f>
        <v>DV</v>
      </c>
      <c r="H370" t="str">
        <f>_xlfn.TEXTJOIN("/",TRUE,"MSV-163MS-"&amp;LD_01[[#This Row],[TRECHO]],_xlfn.XLOOKUP(LD_01[[#This Row],[SIGLA]],'CLASSES DE PROJETOS'!$C$3:$C$37,'CLASSES DE PROJETOS'!$E$3:$E$37))</f>
        <v>MSV-163MS-515-NORTE/12.DV</v>
      </c>
      <c r="I370" s="6" t="str" cm="1">
        <f t="array" ref="I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J370" s="6" t="str" cm="1">
        <f t="array" ref="J370">_xlfn.TEXTJOIN(", ",TRUE,_xlfn.UNIQUE(_xlfn._xlws.FILTER(ARQUIVOS_RECEBIDOS!$F$2:$F$5010,ARQUIVOS_RECEBIDOS!$E$2:$E$5010=LD_01[[#This Row],[DOCUMENTO]])))</f>
        <v>R01</v>
      </c>
      <c r="K370" s="12" cm="1">
        <f t="array" ref="K370">_xlfn.UNIQUE(_xlfn._xlws.FILTER(ARQUIVOS[DATA RECEBIMENTO],(ARQUIVOS[DOCUMENTO]=LD_01[[#This Row],[DOCUMENTO]])*(ARQUIVOS[REVISÃO]=LD_01[[#This Row],[REVISÃO]])))</f>
        <v>45838</v>
      </c>
      <c r="L3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M370" s="6" t="str">
        <f>LD_01[[#This Row],[PASTA]]&amp;"/"&amp;LD_01[[#This Row],[ARQUIVO]]</f>
        <v>MSV-163MS-515-NORTE/12.DV/MSV-163MS-515+630-ACE-EXE-DE-O2-001-R01.pdf</v>
      </c>
    </row>
    <row r="371" spans="1:13" ht="28.8" hidden="1" x14ac:dyDescent="0.3">
      <c r="A371" s="6" t="s">
        <v>3153</v>
      </c>
      <c r="B371" s="6" t="str">
        <f>VLOOKUP(LD_01[[#This Row],[DOCUMENTO]],_xlfn.SORTBY(ARQUIVOS_RECEBIDOS!$E$2:$F$5010,ARQUIVOS_RECEBIDOS!$F$2:$F$5010,-1),2,)</f>
        <v>R00</v>
      </c>
      <c r="C371" s="15" t="s">
        <v>5987</v>
      </c>
      <c r="D371" s="6" t="s">
        <v>4312</v>
      </c>
      <c r="E371" s="8" t="s">
        <v>4087</v>
      </c>
      <c r="F371" s="8" t="s">
        <v>4144</v>
      </c>
      <c r="G371" s="6" t="str">
        <f>_xlfn.XLOOKUP(LD_01[[#This Row],[DISCIPLINA]],'CLASSES DE PROJETOS'!$F$3:$F$37,'CLASSES DE PROJETOS'!$C$3:$C$37)</f>
        <v>DV</v>
      </c>
      <c r="H371" t="str">
        <f>_xlfn.TEXTJOIN("/",TRUE,"MSV-163MS-"&amp;LD_01[[#This Row],[TRECHO]],_xlfn.XLOOKUP(LD_01[[#This Row],[SIGLA]],'CLASSES DE PROJETOS'!$C$3:$C$37,'CLASSES DE PROJETOS'!$E$3:$E$37))</f>
        <v>MSV-163MS-515-NORTE/12.DV</v>
      </c>
      <c r="I371" s="6" t="str" cm="1">
        <f t="array" ref="I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J371" s="6" t="str" cm="1">
        <f t="array" ref="J371">_xlfn.TEXTJOIN(", ",TRUE,_xlfn.UNIQUE(_xlfn._xlws.FILTER(ARQUIVOS_RECEBIDOS!$F$2:$F$5010,ARQUIVOS_RECEBIDOS!$E$2:$E$5010=LD_01[[#This Row],[DOCUMENTO]])))</f>
        <v>R00</v>
      </c>
      <c r="K371" s="12" cm="1">
        <f t="array" ref="K371">_xlfn.UNIQUE(_xlfn._xlws.FILTER(ARQUIVOS[DATA RECEBIMENTO],(ARQUIVOS[DOCUMENTO]=LD_01[[#This Row],[DOCUMENTO]])*(ARQUIVOS[REVISÃO]=LD_01[[#This Row],[REVISÃO]])))</f>
        <v>45838</v>
      </c>
      <c r="L3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M371" s="6" t="str">
        <f>LD_01[[#This Row],[PASTA]]&amp;"/"&amp;LD_01[[#This Row],[ARQUIVO]]</f>
        <v>MSV-163MS-515-NORTE/12.DV/MSV-163MS-515+630-ACE-EXE-DE-O2-002-R00.pdf</v>
      </c>
    </row>
    <row r="372" spans="1:13" ht="28.8" hidden="1" x14ac:dyDescent="0.3">
      <c r="A372" s="6" t="s">
        <v>3184</v>
      </c>
      <c r="B372" s="6" t="str">
        <f>VLOOKUP(LD_01[[#This Row],[DOCUMENTO]],_xlfn.SORTBY(ARQUIVOS_RECEBIDOS!$E$2:$F$5010,ARQUIVOS_RECEBIDOS!$F$2:$F$5010,-1),2,)</f>
        <v>R01</v>
      </c>
      <c r="C372" s="15" t="s">
        <v>5987</v>
      </c>
      <c r="D372" s="6" t="s">
        <v>4313</v>
      </c>
      <c r="E372" s="8" t="s">
        <v>4087</v>
      </c>
      <c r="F372" s="8" t="s">
        <v>4144</v>
      </c>
      <c r="G372" s="6" t="str">
        <f>_xlfn.XLOOKUP(LD_01[[#This Row],[DISCIPLINA]],'CLASSES DE PROJETOS'!$F$3:$F$37,'CLASSES DE PROJETOS'!$C$3:$C$37)</f>
        <v>DV</v>
      </c>
      <c r="H372" t="str">
        <f>_xlfn.TEXTJOIN("/",TRUE,"MSV-163MS-"&amp;LD_01[[#This Row],[TRECHO]],_xlfn.XLOOKUP(LD_01[[#This Row],[SIGLA]],'CLASSES DE PROJETOS'!$C$3:$C$37,'CLASSES DE PROJETOS'!$E$3:$E$37))</f>
        <v>MSV-163MS-515-SUL/12.DV</v>
      </c>
      <c r="I372" s="6" t="str" cm="1">
        <f t="array" ref="I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J372" s="6" t="str" cm="1">
        <f t="array" ref="J372">_xlfn.TEXTJOIN(", ",TRUE,_xlfn.UNIQUE(_xlfn._xlws.FILTER(ARQUIVOS_RECEBIDOS!$F$2:$F$5010,ARQUIVOS_RECEBIDOS!$E$2:$E$5010=LD_01[[#This Row],[DOCUMENTO]])))</f>
        <v>R01</v>
      </c>
      <c r="K372" s="12" cm="1">
        <f t="array" ref="K372">_xlfn.UNIQUE(_xlfn._xlws.FILTER(ARQUIVOS[DATA RECEBIMENTO],(ARQUIVOS[DOCUMENTO]=LD_01[[#This Row],[DOCUMENTO]])*(ARQUIVOS[REVISÃO]=LD_01[[#This Row],[REVISÃO]])))</f>
        <v>45838</v>
      </c>
      <c r="L3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M372" s="6" t="str">
        <f>LD_01[[#This Row],[PASTA]]&amp;"/"&amp;LD_01[[#This Row],[ARQUIVO]]</f>
        <v>MSV-163MS-515-SUL/12.DV/MSV-163MS-515+630-ACE-EXE-DE-O2-101-R01.pdf</v>
      </c>
    </row>
    <row r="373" spans="1:13" ht="28.8" hidden="1" x14ac:dyDescent="0.3">
      <c r="A373" s="6" t="s">
        <v>3185</v>
      </c>
      <c r="B373" s="6" t="str">
        <f>VLOOKUP(LD_01[[#This Row],[DOCUMENTO]],_xlfn.SORTBY(ARQUIVOS_RECEBIDOS!$E$2:$F$5010,ARQUIVOS_RECEBIDOS!$F$2:$F$5010,-1),2,)</f>
        <v>R00</v>
      </c>
      <c r="C373" s="15" t="s">
        <v>5987</v>
      </c>
      <c r="D373" s="6" t="s">
        <v>4313</v>
      </c>
      <c r="E373" s="8" t="s">
        <v>4089</v>
      </c>
      <c r="F373" s="8" t="s">
        <v>4144</v>
      </c>
      <c r="G373" s="6" t="str">
        <f>_xlfn.XLOOKUP(LD_01[[#This Row],[DISCIPLINA]],'CLASSES DE PROJETOS'!$F$3:$F$37,'CLASSES DE PROJETOS'!$C$3:$C$37)</f>
        <v>DV</v>
      </c>
      <c r="H373" t="str">
        <f>_xlfn.TEXTJOIN("/",TRUE,"MSV-163MS-"&amp;LD_01[[#This Row],[TRECHO]],_xlfn.XLOOKUP(LD_01[[#This Row],[SIGLA]],'CLASSES DE PROJETOS'!$C$3:$C$37,'CLASSES DE PROJETOS'!$E$3:$E$37))</f>
        <v>MSV-163MS-515-SUL/12.DV</v>
      </c>
      <c r="I373" s="6" t="str" cm="1">
        <f t="array" ref="I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J373" s="6" t="str" cm="1">
        <f t="array" ref="J373">_xlfn.TEXTJOIN(", ",TRUE,_xlfn.UNIQUE(_xlfn._xlws.FILTER(ARQUIVOS_RECEBIDOS!$F$2:$F$5010,ARQUIVOS_RECEBIDOS!$E$2:$E$5010=LD_01[[#This Row],[DOCUMENTO]])))</f>
        <v>R00</v>
      </c>
      <c r="K373" s="12" cm="1">
        <f t="array" ref="K373">_xlfn.UNIQUE(_xlfn._xlws.FILTER(ARQUIVOS[DATA RECEBIMENTO],(ARQUIVOS[DOCUMENTO]=LD_01[[#This Row],[DOCUMENTO]])*(ARQUIVOS[REVISÃO]=LD_01[[#This Row],[REVISÃO]])))</f>
        <v>45838</v>
      </c>
      <c r="L3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M373" s="6" t="str">
        <f>LD_01[[#This Row],[PASTA]]&amp;"/"&amp;LD_01[[#This Row],[ARQUIVO]]</f>
        <v>MSV-163MS-515-SUL/12.DV/MSV-163MS-515+630-ACE-EXE-DE-O2-102-R00.pdf</v>
      </c>
    </row>
    <row r="374" spans="1:13" ht="28.8" hidden="1" x14ac:dyDescent="0.3">
      <c r="A374" s="6" t="s">
        <v>3134</v>
      </c>
      <c r="B374" s="6" t="str">
        <f>VLOOKUP(LD_01[[#This Row],[DOCUMENTO]],_xlfn.SORTBY(ARQUIVOS_RECEBIDOS!$E$2:$F$5010,ARQUIVOS_RECEBIDOS!$F$2:$F$5010,-1),2,)</f>
        <v>R02</v>
      </c>
      <c r="C374" s="15" t="s">
        <v>5987</v>
      </c>
      <c r="D374" s="6" t="s">
        <v>4312</v>
      </c>
      <c r="E374" s="8" t="s">
        <v>4323</v>
      </c>
      <c r="F374" s="8" t="s">
        <v>4330</v>
      </c>
      <c r="G374" s="6" t="str">
        <f>_xlfn.XLOOKUP(LD_01[[#This Row],[DISCIPLINA]],'CLASSES DE PROJETOS'!$F$3:$F$37,'CLASSES DE PROJETOS'!$C$3:$C$37)</f>
        <v>TE</v>
      </c>
      <c r="H374" t="str">
        <f>_xlfn.TEXTJOIN("/",TRUE,"MSV-163MS-"&amp;LD_01[[#This Row],[TRECHO]],_xlfn.XLOOKUP(LD_01[[#This Row],[SIGLA]],'CLASSES DE PROJETOS'!$C$3:$C$37,'CLASSES DE PROJETOS'!$E$3:$E$37))</f>
        <v>MSV-163MS-515-NORTE/32.TE</v>
      </c>
      <c r="I374" s="6" t="str" cm="1">
        <f t="array" ref="I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J374" s="6" t="str" cm="1">
        <f t="array" ref="J374">_xlfn.TEXTJOIN(", ",TRUE,_xlfn.UNIQUE(_xlfn._xlws.FILTER(ARQUIVOS_RECEBIDOS!$F$2:$F$5010,ARQUIVOS_RECEBIDOS!$E$2:$E$5010=LD_01[[#This Row],[DOCUMENTO]])))</f>
        <v>R02</v>
      </c>
      <c r="K374" s="12" cm="1">
        <f t="array" ref="K374">_xlfn.UNIQUE(_xlfn._xlws.FILTER(ARQUIVOS[DATA RECEBIMENTO],(ARQUIVOS[DOCUMENTO]=LD_01[[#This Row],[DOCUMENTO]])*(ARQUIVOS[REVISÃO]=LD_01[[#This Row],[REVISÃO]])))</f>
        <v>45838</v>
      </c>
      <c r="L3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M374" s="6" t="str">
        <f>LD_01[[#This Row],[PASTA]]&amp;"/"&amp;LD_01[[#This Row],[ARQUIVO]]</f>
        <v>MSV-163MS-515-NORTE/32.TE/MSV-163MS-515+630-ACE-EXE-MC-G1-001-R02.pdf</v>
      </c>
    </row>
    <row r="375" spans="1:13" ht="28.8" hidden="1" x14ac:dyDescent="0.3">
      <c r="A375" s="6" t="s">
        <v>3166</v>
      </c>
      <c r="B375" s="6" t="str">
        <f>VLOOKUP(LD_01[[#This Row],[DOCUMENTO]],_xlfn.SORTBY(ARQUIVOS_RECEBIDOS!$E$2:$F$5010,ARQUIVOS_RECEBIDOS!$F$2:$F$5010,-1),2,)</f>
        <v>R02</v>
      </c>
      <c r="C375" s="15" t="s">
        <v>5987</v>
      </c>
      <c r="D375" s="6" t="s">
        <v>4313</v>
      </c>
      <c r="E375" s="8" t="s">
        <v>4323</v>
      </c>
      <c r="F375" s="8" t="s">
        <v>4330</v>
      </c>
      <c r="G375" s="6" t="str">
        <f>_xlfn.XLOOKUP(LD_01[[#This Row],[DISCIPLINA]],'CLASSES DE PROJETOS'!$F$3:$F$37,'CLASSES DE PROJETOS'!$C$3:$C$37)</f>
        <v>TE</v>
      </c>
      <c r="H375" t="str">
        <f>_xlfn.TEXTJOIN("/",TRUE,"MSV-163MS-"&amp;LD_01[[#This Row],[TRECHO]],_xlfn.XLOOKUP(LD_01[[#This Row],[SIGLA]],'CLASSES DE PROJETOS'!$C$3:$C$37,'CLASSES DE PROJETOS'!$E$3:$E$37))</f>
        <v>MSV-163MS-515-SUL/32.TE</v>
      </c>
      <c r="I375" s="6" t="str" cm="1">
        <f t="array" ref="I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J375" s="6" t="str" cm="1">
        <f t="array" ref="J375">_xlfn.TEXTJOIN(", ",TRUE,_xlfn.UNIQUE(_xlfn._xlws.FILTER(ARQUIVOS_RECEBIDOS!$F$2:$F$5010,ARQUIVOS_RECEBIDOS!$E$2:$E$5010=LD_01[[#This Row],[DOCUMENTO]])))</f>
        <v>R02</v>
      </c>
      <c r="K375" s="12" cm="1">
        <f t="array" ref="K375">_xlfn.UNIQUE(_xlfn._xlws.FILTER(ARQUIVOS[DATA RECEBIMENTO],(ARQUIVOS[DOCUMENTO]=LD_01[[#This Row],[DOCUMENTO]])*(ARQUIVOS[REVISÃO]=LD_01[[#This Row],[REVISÃO]])))</f>
        <v>45838</v>
      </c>
      <c r="L3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M375" s="6" t="str">
        <f>LD_01[[#This Row],[PASTA]]&amp;"/"&amp;LD_01[[#This Row],[ARQUIVO]]</f>
        <v>MSV-163MS-515-SUL/32.TE/MSV-163MS-515+630-ACE-EXE-MC-G1-101-R02.pdf</v>
      </c>
    </row>
    <row r="376" spans="1:13" ht="28.8" hidden="1" x14ac:dyDescent="0.3">
      <c r="A376" s="6" t="s">
        <v>3137</v>
      </c>
      <c r="B376" s="6" t="str">
        <f>VLOOKUP(LD_01[[#This Row],[DOCUMENTO]],_xlfn.SORTBY(ARQUIVOS_RECEBIDOS!$E$2:$F$5010,ARQUIVOS_RECEBIDOS!$F$2:$F$5010,-1),2,)</f>
        <v>R01</v>
      </c>
      <c r="C376" s="15" t="s">
        <v>5987</v>
      </c>
      <c r="D376" s="6" t="s">
        <v>4312</v>
      </c>
      <c r="E376" s="8" t="s">
        <v>4975</v>
      </c>
      <c r="F376" s="8" t="s">
        <v>4142</v>
      </c>
      <c r="G376" s="6" t="str">
        <f>_xlfn.XLOOKUP(LD_01[[#This Row],[DISCIPLINA]],'CLASSES DE PROJETOS'!$F$3:$F$37,'CLASSES DE PROJETOS'!$C$3:$C$37)</f>
        <v>DR</v>
      </c>
      <c r="H376" t="str">
        <f>_xlfn.TEXTJOIN("/",TRUE,"MSV-163MS-"&amp;LD_01[[#This Row],[TRECHO]],_xlfn.XLOOKUP(LD_01[[#This Row],[SIGLA]],'CLASSES DE PROJETOS'!$C$3:$C$37,'CLASSES DE PROJETOS'!$E$3:$E$37))</f>
        <v>MSV-163MS-515-NORTE/10.DR</v>
      </c>
      <c r="I376" s="6" t="str" cm="1">
        <f t="array" ref="I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J376" s="6" t="str" cm="1">
        <f t="array" ref="J376">_xlfn.TEXTJOIN(", ",TRUE,_xlfn.UNIQUE(_xlfn._xlws.FILTER(ARQUIVOS_RECEBIDOS!$F$2:$F$5010,ARQUIVOS_RECEBIDOS!$E$2:$E$5010=LD_01[[#This Row],[DOCUMENTO]])))</f>
        <v>R01</v>
      </c>
      <c r="K376" s="12" cm="1">
        <f t="array" ref="K376">_xlfn.UNIQUE(_xlfn._xlws.FILTER(ARQUIVOS[DATA RECEBIMENTO],(ARQUIVOS[DOCUMENTO]=LD_01[[#This Row],[DOCUMENTO]])*(ARQUIVOS[REVISÃO]=LD_01[[#This Row],[REVISÃO]])))</f>
        <v>45838</v>
      </c>
      <c r="L3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M376" s="6" t="str">
        <f>LD_01[[#This Row],[PASTA]]&amp;"/"&amp;LD_01[[#This Row],[ARQUIVO]]</f>
        <v>MSV-163MS-515-NORTE/10.DR/MSV-163MS-515+630-ACE-EXE-MC-H2-001-R01.pdf</v>
      </c>
    </row>
    <row r="377" spans="1:13" ht="28.8" hidden="1" x14ac:dyDescent="0.3">
      <c r="A377" s="6" t="s">
        <v>3169</v>
      </c>
      <c r="B377" s="6" t="str">
        <f>VLOOKUP(LD_01[[#This Row],[DOCUMENTO]],_xlfn.SORTBY(ARQUIVOS_RECEBIDOS!$E$2:$F$5010,ARQUIVOS_RECEBIDOS!$F$2:$F$5010,-1),2,)</f>
        <v>R01</v>
      </c>
      <c r="C377" s="15" t="s">
        <v>5987</v>
      </c>
      <c r="D377" s="6" t="s">
        <v>4313</v>
      </c>
      <c r="E377" s="8" t="s">
        <v>4975</v>
      </c>
      <c r="F377" s="8" t="s">
        <v>4142</v>
      </c>
      <c r="G377" s="6" t="str">
        <f>_xlfn.XLOOKUP(LD_01[[#This Row],[DISCIPLINA]],'CLASSES DE PROJETOS'!$F$3:$F$37,'CLASSES DE PROJETOS'!$C$3:$C$37)</f>
        <v>DR</v>
      </c>
      <c r="H377" t="str">
        <f>_xlfn.TEXTJOIN("/",TRUE,"MSV-163MS-"&amp;LD_01[[#This Row],[TRECHO]],_xlfn.XLOOKUP(LD_01[[#This Row],[SIGLA]],'CLASSES DE PROJETOS'!$C$3:$C$37,'CLASSES DE PROJETOS'!$E$3:$E$37))</f>
        <v>MSV-163MS-515-SUL/10.DR</v>
      </c>
      <c r="I377" s="6" t="str" cm="1">
        <f t="array" ref="I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J377" s="6" t="str" cm="1">
        <f t="array" ref="J377">_xlfn.TEXTJOIN(", ",TRUE,_xlfn.UNIQUE(_xlfn._xlws.FILTER(ARQUIVOS_RECEBIDOS!$F$2:$F$5010,ARQUIVOS_RECEBIDOS!$E$2:$E$5010=LD_01[[#This Row],[DOCUMENTO]])))</f>
        <v>R01</v>
      </c>
      <c r="K377" s="12" cm="1">
        <f t="array" ref="K377">_xlfn.UNIQUE(_xlfn._xlws.FILTER(ARQUIVOS[DATA RECEBIMENTO],(ARQUIVOS[DOCUMENTO]=LD_01[[#This Row],[DOCUMENTO]])*(ARQUIVOS[REVISÃO]=LD_01[[#This Row],[REVISÃO]])))</f>
        <v>45838</v>
      </c>
      <c r="L3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M377" s="6" t="str">
        <f>LD_01[[#This Row],[PASTA]]&amp;"/"&amp;LD_01[[#This Row],[ARQUIVO]]</f>
        <v>MSV-163MS-515-SUL/10.DR/MSV-163MS-515+630-ACE-EXE-MC-H2-101-R01.pdf</v>
      </c>
    </row>
    <row r="378" spans="1:13" ht="28.8" hidden="1" x14ac:dyDescent="0.3">
      <c r="A378" s="6" t="s">
        <v>3138</v>
      </c>
      <c r="B378" s="6" t="str">
        <f>VLOOKUP(LD_01[[#This Row],[DOCUMENTO]],_xlfn.SORTBY(ARQUIVOS_RECEBIDOS!$E$2:$F$5010,ARQUIVOS_RECEBIDOS!$F$2:$F$5010,-1),2,)</f>
        <v>R01</v>
      </c>
      <c r="C378" s="15" t="s">
        <v>5987</v>
      </c>
      <c r="D378" s="6" t="s">
        <v>4312</v>
      </c>
      <c r="E378" s="8" t="s">
        <v>4976</v>
      </c>
      <c r="F378" s="8" t="s">
        <v>4142</v>
      </c>
      <c r="G378" s="6" t="str">
        <f>_xlfn.XLOOKUP(LD_01[[#This Row],[DISCIPLINA]],'CLASSES DE PROJETOS'!$F$3:$F$37,'CLASSES DE PROJETOS'!$C$3:$C$37)</f>
        <v>DR</v>
      </c>
      <c r="H378" t="str">
        <f>_xlfn.TEXTJOIN("/",TRUE,"MSV-163MS-"&amp;LD_01[[#This Row],[TRECHO]],_xlfn.XLOOKUP(LD_01[[#This Row],[SIGLA]],'CLASSES DE PROJETOS'!$C$3:$C$37,'CLASSES DE PROJETOS'!$E$3:$E$37))</f>
        <v>MSV-163MS-515-NORTE/10.DR</v>
      </c>
      <c r="I378" s="6" t="str" cm="1">
        <f t="array" ref="I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J378" s="6" t="str" cm="1">
        <f t="array" ref="J378">_xlfn.TEXTJOIN(", ",TRUE,_xlfn.UNIQUE(_xlfn._xlws.FILTER(ARQUIVOS_RECEBIDOS!$F$2:$F$5010,ARQUIVOS_RECEBIDOS!$E$2:$E$5010=LD_01[[#This Row],[DOCUMENTO]])))</f>
        <v>R01</v>
      </c>
      <c r="K378" s="12" cm="1">
        <f t="array" ref="K378">_xlfn.UNIQUE(_xlfn._xlws.FILTER(ARQUIVOS[DATA RECEBIMENTO],(ARQUIVOS[DOCUMENTO]=LD_01[[#This Row],[DOCUMENTO]])*(ARQUIVOS[REVISÃO]=LD_01[[#This Row],[REVISÃO]])))</f>
        <v>45838</v>
      </c>
      <c r="L3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M378" s="6" t="str">
        <f>LD_01[[#This Row],[PASTA]]&amp;"/"&amp;LD_01[[#This Row],[ARQUIVO]]</f>
        <v>MSV-163MS-515-NORTE/10.DR/MSV-163MS-515+630-ACE-EXE-MD-H1-001-R01.pdf</v>
      </c>
    </row>
    <row r="379" spans="1:13" ht="28.8" hidden="1" x14ac:dyDescent="0.3">
      <c r="A379" s="6" t="s">
        <v>3170</v>
      </c>
      <c r="B379" s="6" t="str">
        <f>VLOOKUP(LD_01[[#This Row],[DOCUMENTO]],_xlfn.SORTBY(ARQUIVOS_RECEBIDOS!$E$2:$F$5010,ARQUIVOS_RECEBIDOS!$F$2:$F$5010,-1),2,)</f>
        <v>R01</v>
      </c>
      <c r="C379" s="15" t="s">
        <v>5987</v>
      </c>
      <c r="D379" s="6" t="s">
        <v>4313</v>
      </c>
      <c r="E379" s="8" t="s">
        <v>4976</v>
      </c>
      <c r="F379" s="8" t="s">
        <v>4142</v>
      </c>
      <c r="G379" s="6" t="str">
        <f>_xlfn.XLOOKUP(LD_01[[#This Row],[DISCIPLINA]],'CLASSES DE PROJETOS'!$F$3:$F$37,'CLASSES DE PROJETOS'!$C$3:$C$37)</f>
        <v>DR</v>
      </c>
      <c r="H379" t="str">
        <f>_xlfn.TEXTJOIN("/",TRUE,"MSV-163MS-"&amp;LD_01[[#This Row],[TRECHO]],_xlfn.XLOOKUP(LD_01[[#This Row],[SIGLA]],'CLASSES DE PROJETOS'!$C$3:$C$37,'CLASSES DE PROJETOS'!$E$3:$E$37))</f>
        <v>MSV-163MS-515-SUL/10.DR</v>
      </c>
      <c r="I379" s="6" t="str" cm="1">
        <f t="array" ref="I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J379" s="6" t="str" cm="1">
        <f t="array" ref="J379">_xlfn.TEXTJOIN(", ",TRUE,_xlfn.UNIQUE(_xlfn._xlws.FILTER(ARQUIVOS_RECEBIDOS!$F$2:$F$5010,ARQUIVOS_RECEBIDOS!$E$2:$E$5010=LD_01[[#This Row],[DOCUMENTO]])))</f>
        <v>R01</v>
      </c>
      <c r="K379" s="12" cm="1">
        <f t="array" ref="K379">_xlfn.UNIQUE(_xlfn._xlws.FILTER(ARQUIVOS[DATA RECEBIMENTO],(ARQUIVOS[DOCUMENTO]=LD_01[[#This Row],[DOCUMENTO]])*(ARQUIVOS[REVISÃO]=LD_01[[#This Row],[REVISÃO]])))</f>
        <v>45838</v>
      </c>
      <c r="L3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M379" s="6" t="str">
        <f>LD_01[[#This Row],[PASTA]]&amp;"/"&amp;LD_01[[#This Row],[ARQUIVO]]</f>
        <v>MSV-163MS-515-SUL/10.DR/MSV-163MS-515+630-ACE-EXE-MD-H1-101-R01.pdf</v>
      </c>
    </row>
    <row r="380" spans="1:13" ht="28.8" hidden="1" x14ac:dyDescent="0.3">
      <c r="A380" s="6" t="s">
        <v>3145</v>
      </c>
      <c r="B380" s="6" t="str">
        <f>VLOOKUP(LD_01[[#This Row],[DOCUMENTO]],_xlfn.SORTBY(ARQUIVOS_RECEBIDOS!$E$2:$F$5010,ARQUIVOS_RECEBIDOS!$F$2:$F$5010,-1),2,)</f>
        <v>R01</v>
      </c>
      <c r="C380" s="15" t="s">
        <v>5987</v>
      </c>
      <c r="D380" s="6" t="s">
        <v>4312</v>
      </c>
      <c r="E380" s="8" t="s">
        <v>4981</v>
      </c>
      <c r="F380" s="8" t="s">
        <v>4143</v>
      </c>
      <c r="G380" s="6" t="str">
        <f>_xlfn.XLOOKUP(LD_01[[#This Row],[DISCIPLINA]],'CLASSES DE PROJETOS'!$F$3:$F$37,'CLASSES DE PROJETOS'!$C$3:$C$37)</f>
        <v>PV</v>
      </c>
      <c r="H380" t="str">
        <f>_xlfn.TEXTJOIN("/",TRUE,"MSV-163MS-"&amp;LD_01[[#This Row],[TRECHO]],_xlfn.XLOOKUP(LD_01[[#This Row],[SIGLA]],'CLASSES DE PROJETOS'!$C$3:$C$37,'CLASSES DE PROJETOS'!$E$3:$E$37))</f>
        <v>MSV-163MS-515-NORTE/28.PV</v>
      </c>
      <c r="I380" s="6" t="str" cm="1">
        <f t="array" ref="I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J380" s="6" t="str" cm="1">
        <f t="array" ref="J380">_xlfn.TEXTJOIN(", ",TRUE,_xlfn.UNIQUE(_xlfn._xlws.FILTER(ARQUIVOS_RECEBIDOS!$F$2:$F$5010,ARQUIVOS_RECEBIDOS!$E$2:$E$5010=LD_01[[#This Row],[DOCUMENTO]])))</f>
        <v>R01</v>
      </c>
      <c r="K380" s="12" cm="1">
        <f t="array" ref="K380">_xlfn.UNIQUE(_xlfn._xlws.FILTER(ARQUIVOS[DATA RECEBIMENTO],(ARQUIVOS[DOCUMENTO]=LD_01[[#This Row],[DOCUMENTO]])*(ARQUIVOS[REVISÃO]=LD_01[[#This Row],[REVISÃO]])))</f>
        <v>45838</v>
      </c>
      <c r="L3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M380" s="6" t="str">
        <f>LD_01[[#This Row],[PASTA]]&amp;"/"&amp;LD_01[[#This Row],[ARQUIVO]]</f>
        <v>MSV-163MS-515-NORTE/28.PV/MSV-163MS-515+630-ACE-EXE-MD-I2-001-R01.pdf</v>
      </c>
    </row>
    <row r="381" spans="1:13" ht="28.8" hidden="1" x14ac:dyDescent="0.3">
      <c r="A381" s="6" t="s">
        <v>3177</v>
      </c>
      <c r="B381" s="6" t="str">
        <f>VLOOKUP(LD_01[[#This Row],[DOCUMENTO]],_xlfn.SORTBY(ARQUIVOS_RECEBIDOS!$E$2:$F$5010,ARQUIVOS_RECEBIDOS!$F$2:$F$5010,-1),2,)</f>
        <v>R01</v>
      </c>
      <c r="C381" s="15" t="s">
        <v>5987</v>
      </c>
      <c r="D381" s="6" t="s">
        <v>4313</v>
      </c>
      <c r="E381" s="8" t="s">
        <v>4981</v>
      </c>
      <c r="F381" s="8" t="s">
        <v>4143</v>
      </c>
      <c r="G381" s="6" t="str">
        <f>_xlfn.XLOOKUP(LD_01[[#This Row],[DISCIPLINA]],'CLASSES DE PROJETOS'!$F$3:$F$37,'CLASSES DE PROJETOS'!$C$3:$C$37)</f>
        <v>PV</v>
      </c>
      <c r="H381" t="str">
        <f>_xlfn.TEXTJOIN("/",TRUE,"MSV-163MS-"&amp;LD_01[[#This Row],[TRECHO]],_xlfn.XLOOKUP(LD_01[[#This Row],[SIGLA]],'CLASSES DE PROJETOS'!$C$3:$C$37,'CLASSES DE PROJETOS'!$E$3:$E$37))</f>
        <v>MSV-163MS-515-SUL/28.PV</v>
      </c>
      <c r="I381" s="6" t="str" cm="1">
        <f t="array" ref="I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J381" s="6" t="str" cm="1">
        <f t="array" ref="J381">_xlfn.TEXTJOIN(", ",TRUE,_xlfn.UNIQUE(_xlfn._xlws.FILTER(ARQUIVOS_RECEBIDOS!$F$2:$F$5010,ARQUIVOS_RECEBIDOS!$E$2:$E$5010=LD_01[[#This Row],[DOCUMENTO]])))</f>
        <v>R01</v>
      </c>
      <c r="K381" s="12" cm="1">
        <f t="array" ref="K381">_xlfn.UNIQUE(_xlfn._xlws.FILTER(ARQUIVOS[DATA RECEBIMENTO],(ARQUIVOS[DOCUMENTO]=LD_01[[#This Row],[DOCUMENTO]])*(ARQUIVOS[REVISÃO]=LD_01[[#This Row],[REVISÃO]])))</f>
        <v>45838</v>
      </c>
      <c r="L3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M381" s="6" t="str">
        <f>LD_01[[#This Row],[PASTA]]&amp;"/"&amp;LD_01[[#This Row],[ARQUIVO]]</f>
        <v>MSV-163MS-515-SUL/28.PV/MSV-163MS-515+630-ACE-EXE-MD-I2-101-R01.pdf</v>
      </c>
    </row>
    <row r="382" spans="1:13" ht="28.8" hidden="1" x14ac:dyDescent="0.3">
      <c r="A382" s="6" t="s">
        <v>4063</v>
      </c>
      <c r="B382" s="6" t="str">
        <f>VLOOKUP(LD_01[[#This Row],[DOCUMENTO]],_xlfn.SORTBY(ARQUIVOS_RECEBIDOS!$E$2:$F$5010,ARQUIVOS_RECEBIDOS!$F$2:$F$5010,-1),2,)</f>
        <v>R00</v>
      </c>
      <c r="C382" s="15" t="s">
        <v>5987</v>
      </c>
      <c r="D382" s="6" t="s">
        <v>4312</v>
      </c>
      <c r="E382" s="8" t="s">
        <v>4245</v>
      </c>
      <c r="F382" s="8" t="s">
        <v>4331</v>
      </c>
      <c r="G382" s="6" t="str">
        <f>_xlfn.XLOOKUP(LD_01[[#This Row],[DISCIPLINA]],'CLASSES DE PROJETOS'!$F$3:$F$37,'CLASSES DE PROJETOS'!$C$3:$C$37)</f>
        <v>SI</v>
      </c>
      <c r="H382" t="str">
        <f>_xlfn.TEXTJOIN("/",TRUE,"MSV-163MS-"&amp;LD_01[[#This Row],[TRECHO]],_xlfn.XLOOKUP(LD_01[[#This Row],[SIGLA]],'CLASSES DE PROJETOS'!$C$3:$C$37,'CLASSES DE PROJETOS'!$E$3:$E$37))</f>
        <v>MSV-163MS-515-NORTE/31.SI</v>
      </c>
      <c r="I382" s="6" t="str" cm="1">
        <f t="array" ref="I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J382" s="6" t="str" cm="1">
        <f t="array" ref="J382">_xlfn.TEXTJOIN(", ",TRUE,_xlfn.UNIQUE(_xlfn._xlws.FILTER(ARQUIVOS_RECEBIDOS!$F$2:$F$5010,ARQUIVOS_RECEBIDOS!$E$2:$E$5010=LD_01[[#This Row],[DOCUMENTO]])))</f>
        <v>R00</v>
      </c>
      <c r="K382" s="12" cm="1">
        <f t="array" ref="K382">_xlfn.UNIQUE(_xlfn._xlws.FILTER(ARQUIVOS[DATA RECEBIMENTO],(ARQUIVOS[DOCUMENTO]=LD_01[[#This Row],[DOCUMENTO]])*(ARQUIVOS[REVISÃO]=LD_01[[#This Row],[REVISÃO]])))</f>
        <v>45895</v>
      </c>
      <c r="L3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M382" s="6" t="str">
        <f>LD_01[[#This Row],[PASTA]]&amp;"/"&amp;LD_01[[#This Row],[ARQUIVO]]</f>
        <v>MSV-163MS-515-NORTE/31.SI/MSV-163MS-515+630-ACE-EXE-MD-J1-001-R00.pdf</v>
      </c>
    </row>
    <row r="383" spans="1:13" ht="28.8" hidden="1" x14ac:dyDescent="0.3">
      <c r="A383" s="6" t="s">
        <v>4064</v>
      </c>
      <c r="B383" s="6" t="str">
        <f>VLOOKUP(LD_01[[#This Row],[DOCUMENTO]],_xlfn.SORTBY(ARQUIVOS_RECEBIDOS!$E$2:$F$5010,ARQUIVOS_RECEBIDOS!$F$2:$F$5010,-1),2,)</f>
        <v>R00</v>
      </c>
      <c r="C383" s="15" t="s">
        <v>5987</v>
      </c>
      <c r="D383" s="6" t="s">
        <v>4313</v>
      </c>
      <c r="E383" s="8" t="s">
        <v>4245</v>
      </c>
      <c r="F383" s="8" t="s">
        <v>4331</v>
      </c>
      <c r="G383" s="6" t="str">
        <f>_xlfn.XLOOKUP(LD_01[[#This Row],[DISCIPLINA]],'CLASSES DE PROJETOS'!$F$3:$F$37,'CLASSES DE PROJETOS'!$C$3:$C$37)</f>
        <v>SI</v>
      </c>
      <c r="H383" t="str">
        <f>_xlfn.TEXTJOIN("/",TRUE,"MSV-163MS-"&amp;LD_01[[#This Row],[TRECHO]],_xlfn.XLOOKUP(LD_01[[#This Row],[SIGLA]],'CLASSES DE PROJETOS'!$C$3:$C$37,'CLASSES DE PROJETOS'!$E$3:$E$37))</f>
        <v>MSV-163MS-515-SUL/31.SI</v>
      </c>
      <c r="I383" s="6" t="str" cm="1">
        <f t="array" ref="I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J383" s="6" t="str" cm="1">
        <f t="array" ref="J383">_xlfn.TEXTJOIN(", ",TRUE,_xlfn.UNIQUE(_xlfn._xlws.FILTER(ARQUIVOS_RECEBIDOS!$F$2:$F$5010,ARQUIVOS_RECEBIDOS!$E$2:$E$5010=LD_01[[#This Row],[DOCUMENTO]])))</f>
        <v>R00</v>
      </c>
      <c r="K383" s="12" cm="1">
        <f t="array" ref="K383">_xlfn.UNIQUE(_xlfn._xlws.FILTER(ARQUIVOS[DATA RECEBIMENTO],(ARQUIVOS[DOCUMENTO]=LD_01[[#This Row],[DOCUMENTO]])*(ARQUIVOS[REVISÃO]=LD_01[[#This Row],[REVISÃO]])))</f>
        <v>45895</v>
      </c>
      <c r="L3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M383" s="6" t="str">
        <f>LD_01[[#This Row],[PASTA]]&amp;"/"&amp;LD_01[[#This Row],[ARQUIVO]]</f>
        <v>MSV-163MS-515-SUL/31.SI/MSV-163MS-515+630-ACE-EXE-MD-J1-101-R00.pdf</v>
      </c>
    </row>
    <row r="384" spans="1:13" ht="28.8" hidden="1" x14ac:dyDescent="0.3">
      <c r="A384" s="6" t="s">
        <v>3156</v>
      </c>
      <c r="B384" s="6" t="str">
        <f>VLOOKUP(LD_01[[#This Row],[DOCUMENTO]],_xlfn.SORTBY(ARQUIVOS_RECEBIDOS!$E$2:$F$5010,ARQUIVOS_RECEBIDOS!$F$2:$F$5010,-1),2,)</f>
        <v>R00</v>
      </c>
      <c r="C384" s="15" t="s">
        <v>5987</v>
      </c>
      <c r="D384" s="6" t="s">
        <v>4312</v>
      </c>
      <c r="E384" s="8" t="s">
        <v>4169</v>
      </c>
      <c r="F384" s="8" t="s">
        <v>4334</v>
      </c>
      <c r="G384" s="6" t="str">
        <f>_xlfn.XLOOKUP(LD_01[[#This Row],[DISCIPLINA]],'CLASSES DE PROJETOS'!$F$3:$F$37,'CLASSES DE PROJETOS'!$C$3:$C$37)</f>
        <v>PA</v>
      </c>
      <c r="H384" t="str">
        <f>_xlfn.TEXTJOIN("/",TRUE,"MSV-163MS-"&amp;LD_01[[#This Row],[TRECHO]],_xlfn.XLOOKUP(LD_01[[#This Row],[SIGLA]],'CLASSES DE PROJETOS'!$C$3:$C$37,'CLASSES DE PROJETOS'!$E$3:$E$37))</f>
        <v>MSV-163MS-515-NORTE/27.PA</v>
      </c>
      <c r="I384" s="6" t="str" cm="1">
        <f t="array" ref="I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J384" s="6" t="str" cm="1">
        <f t="array" ref="J384">_xlfn.TEXTJOIN(", ",TRUE,_xlfn.UNIQUE(_xlfn._xlws.FILTER(ARQUIVOS_RECEBIDOS!$F$2:$F$5010,ARQUIVOS_RECEBIDOS!$E$2:$E$5010=LD_01[[#This Row],[DOCUMENTO]])))</f>
        <v>R00</v>
      </c>
      <c r="K384" s="12" cm="1">
        <f t="array" ref="K384">_xlfn.UNIQUE(_xlfn._xlws.FILTER(ARQUIVOS[DATA RECEBIMENTO],(ARQUIVOS[DOCUMENTO]=LD_01[[#This Row],[DOCUMENTO]])*(ARQUIVOS[REVISÃO]=LD_01[[#This Row],[REVISÃO]])))</f>
        <v>45838</v>
      </c>
      <c r="L3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M384" s="6" t="str">
        <f>LD_01[[#This Row],[PASTA]]&amp;"/"&amp;LD_01[[#This Row],[ARQUIVO]]</f>
        <v>MSV-163MS-515-NORTE/27.PA/MSV-163MS-515+630-ACE-EXE-MD-N2-001-R00.pdf</v>
      </c>
    </row>
    <row r="385" spans="1:13" ht="28.8" hidden="1" x14ac:dyDescent="0.3">
      <c r="A385" s="6" t="s">
        <v>3188</v>
      </c>
      <c r="B385" s="6" t="str">
        <f>VLOOKUP(LD_01[[#This Row],[DOCUMENTO]],_xlfn.SORTBY(ARQUIVOS_RECEBIDOS!$E$2:$F$5010,ARQUIVOS_RECEBIDOS!$F$2:$F$5010,-1),2,)</f>
        <v>R00</v>
      </c>
      <c r="C385" s="15" t="s">
        <v>5987</v>
      </c>
      <c r="D385" s="6" t="s">
        <v>4313</v>
      </c>
      <c r="E385" s="8" t="s">
        <v>4169</v>
      </c>
      <c r="F385" s="8" t="s">
        <v>4334</v>
      </c>
      <c r="G385" s="6" t="str">
        <f>_xlfn.XLOOKUP(LD_01[[#This Row],[DISCIPLINA]],'CLASSES DE PROJETOS'!$F$3:$F$37,'CLASSES DE PROJETOS'!$C$3:$C$37)</f>
        <v>PA</v>
      </c>
      <c r="H385" t="str">
        <f>_xlfn.TEXTJOIN("/",TRUE,"MSV-163MS-"&amp;LD_01[[#This Row],[TRECHO]],_xlfn.XLOOKUP(LD_01[[#This Row],[SIGLA]],'CLASSES DE PROJETOS'!$C$3:$C$37,'CLASSES DE PROJETOS'!$E$3:$E$37))</f>
        <v>MSV-163MS-515-SUL/27.PA</v>
      </c>
      <c r="I385" s="6" t="str" cm="1">
        <f t="array" ref="I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J385" s="6" t="str" cm="1">
        <f t="array" ref="J385">_xlfn.TEXTJOIN(", ",TRUE,_xlfn.UNIQUE(_xlfn._xlws.FILTER(ARQUIVOS_RECEBIDOS!$F$2:$F$5010,ARQUIVOS_RECEBIDOS!$E$2:$E$5010=LD_01[[#This Row],[DOCUMENTO]])))</f>
        <v>R00</v>
      </c>
      <c r="K385" s="12" cm="1">
        <f t="array" ref="K385">_xlfn.UNIQUE(_xlfn._xlws.FILTER(ARQUIVOS[DATA RECEBIMENTO],(ARQUIVOS[DOCUMENTO]=LD_01[[#This Row],[DOCUMENTO]])*(ARQUIVOS[REVISÃO]=LD_01[[#This Row],[REVISÃO]])))</f>
        <v>45838</v>
      </c>
      <c r="L3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M385" s="6" t="str">
        <f>LD_01[[#This Row],[PASTA]]&amp;"/"&amp;LD_01[[#This Row],[ARQUIVO]]</f>
        <v>MSV-163MS-515-SUL/27.PA/MSV-163MS-515+630-ACE-EXE-MD-N2-101-R00.pdf</v>
      </c>
    </row>
    <row r="386" spans="1:13" ht="28.8" hidden="1" x14ac:dyDescent="0.3">
      <c r="A386" s="6" t="s">
        <v>3154</v>
      </c>
      <c r="B386" s="6" t="str">
        <f>VLOOKUP(LD_01[[#This Row],[DOCUMENTO]],_xlfn.SORTBY(ARQUIVOS_RECEBIDOS!$E$2:$F$5010,ARQUIVOS_RECEBIDOS!$F$2:$F$5010,-1),2,)</f>
        <v>R00</v>
      </c>
      <c r="C386" s="15" t="s">
        <v>5987</v>
      </c>
      <c r="D386" s="6" t="s">
        <v>4312</v>
      </c>
      <c r="E386" s="8" t="s">
        <v>4167</v>
      </c>
      <c r="F386" s="8" t="s">
        <v>4144</v>
      </c>
      <c r="G386" s="6" t="str">
        <f>_xlfn.XLOOKUP(LD_01[[#This Row],[DISCIPLINA]],'CLASSES DE PROJETOS'!$F$3:$F$37,'CLASSES DE PROJETOS'!$C$3:$C$37)</f>
        <v>DV</v>
      </c>
      <c r="H386" t="str">
        <f>_xlfn.TEXTJOIN("/",TRUE,"MSV-163MS-"&amp;LD_01[[#This Row],[TRECHO]],_xlfn.XLOOKUP(LD_01[[#This Row],[SIGLA]],'CLASSES DE PROJETOS'!$C$3:$C$37,'CLASSES DE PROJETOS'!$E$3:$E$37))</f>
        <v>MSV-163MS-515-NORTE/12.DV</v>
      </c>
      <c r="I386" s="6" t="str" cm="1">
        <f t="array" ref="I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J386" s="6" t="str" cm="1">
        <f t="array" ref="J386">_xlfn.TEXTJOIN(", ",TRUE,_xlfn.UNIQUE(_xlfn._xlws.FILTER(ARQUIVOS_RECEBIDOS!$F$2:$F$5010,ARQUIVOS_RECEBIDOS!$E$2:$E$5010=LD_01[[#This Row],[DOCUMENTO]])))</f>
        <v>R00</v>
      </c>
      <c r="K386" s="12" cm="1">
        <f t="array" ref="K386">_xlfn.UNIQUE(_xlfn._xlws.FILTER(ARQUIVOS[DATA RECEBIMENTO],(ARQUIVOS[DOCUMENTO]=LD_01[[#This Row],[DOCUMENTO]])*(ARQUIVOS[REVISÃO]=LD_01[[#This Row],[REVISÃO]])))</f>
        <v>45838</v>
      </c>
      <c r="L3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M386" s="6" t="str">
        <f>LD_01[[#This Row],[PASTA]]&amp;"/"&amp;LD_01[[#This Row],[ARQUIVO]]</f>
        <v>MSV-163MS-515-NORTE/12.DV/MSV-163MS-515+630-ACE-EXE-MD-O2-001-R00.pdf</v>
      </c>
    </row>
    <row r="387" spans="1:13" ht="28.8" hidden="1" x14ac:dyDescent="0.3">
      <c r="A387" s="6" t="s">
        <v>3186</v>
      </c>
      <c r="B387" s="6" t="str">
        <f>VLOOKUP(LD_01[[#This Row],[DOCUMENTO]],_xlfn.SORTBY(ARQUIVOS_RECEBIDOS!$E$2:$F$5010,ARQUIVOS_RECEBIDOS!$F$2:$F$5010,-1),2,)</f>
        <v>R00</v>
      </c>
      <c r="C387" s="15" t="s">
        <v>5987</v>
      </c>
      <c r="D387" s="6" t="s">
        <v>4313</v>
      </c>
      <c r="E387" s="8" t="s">
        <v>4167</v>
      </c>
      <c r="F387" s="8" t="s">
        <v>4144</v>
      </c>
      <c r="G387" s="6" t="str">
        <f>_xlfn.XLOOKUP(LD_01[[#This Row],[DISCIPLINA]],'CLASSES DE PROJETOS'!$F$3:$F$37,'CLASSES DE PROJETOS'!$C$3:$C$37)</f>
        <v>DV</v>
      </c>
      <c r="H387" t="str">
        <f>_xlfn.TEXTJOIN("/",TRUE,"MSV-163MS-"&amp;LD_01[[#This Row],[TRECHO]],_xlfn.XLOOKUP(LD_01[[#This Row],[SIGLA]],'CLASSES DE PROJETOS'!$C$3:$C$37,'CLASSES DE PROJETOS'!$E$3:$E$37))</f>
        <v>MSV-163MS-515-SUL/12.DV</v>
      </c>
      <c r="I387" s="6" t="str" cm="1">
        <f t="array" ref="I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J387" s="6" t="str" cm="1">
        <f t="array" ref="J387">_xlfn.TEXTJOIN(", ",TRUE,_xlfn.UNIQUE(_xlfn._xlws.FILTER(ARQUIVOS_RECEBIDOS!$F$2:$F$5010,ARQUIVOS_RECEBIDOS!$E$2:$E$5010=LD_01[[#This Row],[DOCUMENTO]])))</f>
        <v>R00</v>
      </c>
      <c r="K387" s="12" cm="1">
        <f t="array" ref="K387">_xlfn.UNIQUE(_xlfn._xlws.FILTER(ARQUIVOS[DATA RECEBIMENTO],(ARQUIVOS[DOCUMENTO]=LD_01[[#This Row],[DOCUMENTO]])*(ARQUIVOS[REVISÃO]=LD_01[[#This Row],[REVISÃO]])))</f>
        <v>45838</v>
      </c>
      <c r="L3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M387" s="6" t="str">
        <f>LD_01[[#This Row],[PASTA]]&amp;"/"&amp;LD_01[[#This Row],[ARQUIVO]]</f>
        <v>MSV-163MS-515-SUL/12.DV/MSV-163MS-515+630-ACE-EXE-MD-O2-101-R00.pdf</v>
      </c>
    </row>
    <row r="388" spans="1:13" ht="28.8" hidden="1" x14ac:dyDescent="0.3">
      <c r="A388" s="6" t="s">
        <v>3146</v>
      </c>
      <c r="B388" s="6" t="str">
        <f>VLOOKUP(LD_01[[#This Row],[DOCUMENTO]],_xlfn.SORTBY(ARQUIVOS_RECEBIDOS!$E$2:$F$5010,ARQUIVOS_RECEBIDOS!$F$2:$F$5010,-1),2,)</f>
        <v>R01</v>
      </c>
      <c r="C388" s="15" t="s">
        <v>5987</v>
      </c>
      <c r="D388" s="6" t="s">
        <v>4312</v>
      </c>
      <c r="E388" s="8" t="s">
        <v>4982</v>
      </c>
      <c r="F388" s="8" t="s">
        <v>4143</v>
      </c>
      <c r="G388" s="6" t="str">
        <f>_xlfn.XLOOKUP(LD_01[[#This Row],[DISCIPLINA]],'CLASSES DE PROJETOS'!$F$3:$F$37,'CLASSES DE PROJETOS'!$C$3:$C$37)</f>
        <v>PV</v>
      </c>
      <c r="H388" t="str">
        <f>_xlfn.TEXTJOIN("/",TRUE,"MSV-163MS-"&amp;LD_01[[#This Row],[TRECHO]],_xlfn.XLOOKUP(LD_01[[#This Row],[SIGLA]],'CLASSES DE PROJETOS'!$C$3:$C$37,'CLASSES DE PROJETOS'!$E$3:$E$37))</f>
        <v>MSV-163MS-515-NORTE/28.PV</v>
      </c>
      <c r="I388" s="6" t="str" cm="1">
        <f t="array" ref="I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J388" s="6" t="str" cm="1">
        <f t="array" ref="J388">_xlfn.TEXTJOIN(", ",TRUE,_xlfn.UNIQUE(_xlfn._xlws.FILTER(ARQUIVOS_RECEBIDOS!$F$2:$F$5010,ARQUIVOS_RECEBIDOS!$E$2:$E$5010=LD_01[[#This Row],[DOCUMENTO]])))</f>
        <v>R01</v>
      </c>
      <c r="K388" s="12" cm="1">
        <f t="array" ref="K388">_xlfn.UNIQUE(_xlfn._xlws.FILTER(ARQUIVOS[DATA RECEBIMENTO],(ARQUIVOS[DOCUMENTO]=LD_01[[#This Row],[DOCUMENTO]])*(ARQUIVOS[REVISÃO]=LD_01[[#This Row],[REVISÃO]])))</f>
        <v>45838</v>
      </c>
      <c r="L3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M388" s="6" t="str">
        <f>LD_01[[#This Row],[PASTA]]&amp;"/"&amp;LD_01[[#This Row],[ARQUIVO]]</f>
        <v>MSV-163MS-515-NORTE/28.PV/MSV-163MS-515+630-ACE-EXE-NS-C3-001-R01.pdf</v>
      </c>
    </row>
    <row r="389" spans="1:13" ht="28.8" hidden="1" x14ac:dyDescent="0.3">
      <c r="A389" s="6" t="s">
        <v>3178</v>
      </c>
      <c r="B389" s="6" t="str">
        <f>VLOOKUP(LD_01[[#This Row],[DOCUMENTO]],_xlfn.SORTBY(ARQUIVOS_RECEBIDOS!$E$2:$F$5010,ARQUIVOS_RECEBIDOS!$F$2:$F$5010,-1),2,)</f>
        <v>R01</v>
      </c>
      <c r="C389" s="15" t="s">
        <v>5987</v>
      </c>
      <c r="D389" s="6" t="s">
        <v>4313</v>
      </c>
      <c r="E389" s="8" t="s">
        <v>4982</v>
      </c>
      <c r="F389" s="8" t="s">
        <v>4143</v>
      </c>
      <c r="G389" s="6" t="str">
        <f>_xlfn.XLOOKUP(LD_01[[#This Row],[DISCIPLINA]],'CLASSES DE PROJETOS'!$F$3:$F$37,'CLASSES DE PROJETOS'!$C$3:$C$37)</f>
        <v>PV</v>
      </c>
      <c r="H389" t="str">
        <f>_xlfn.TEXTJOIN("/",TRUE,"MSV-163MS-"&amp;LD_01[[#This Row],[TRECHO]],_xlfn.XLOOKUP(LD_01[[#This Row],[SIGLA]],'CLASSES DE PROJETOS'!$C$3:$C$37,'CLASSES DE PROJETOS'!$E$3:$E$37))</f>
        <v>MSV-163MS-515-SUL/28.PV</v>
      </c>
      <c r="I389" s="6" t="str" cm="1">
        <f t="array" ref="I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J389" s="6" t="str" cm="1">
        <f t="array" ref="J389">_xlfn.TEXTJOIN(", ",TRUE,_xlfn.UNIQUE(_xlfn._xlws.FILTER(ARQUIVOS_RECEBIDOS!$F$2:$F$5010,ARQUIVOS_RECEBIDOS!$E$2:$E$5010=LD_01[[#This Row],[DOCUMENTO]])))</f>
        <v>R01</v>
      </c>
      <c r="K389" s="12" cm="1">
        <f t="array" ref="K389">_xlfn.UNIQUE(_xlfn._xlws.FILTER(ARQUIVOS[DATA RECEBIMENTO],(ARQUIVOS[DOCUMENTO]=LD_01[[#This Row],[DOCUMENTO]])*(ARQUIVOS[REVISÃO]=LD_01[[#This Row],[REVISÃO]])))</f>
        <v>45838</v>
      </c>
      <c r="L3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M389" s="6" t="str">
        <f>LD_01[[#This Row],[PASTA]]&amp;"/"&amp;LD_01[[#This Row],[ARQUIVO]]</f>
        <v>MSV-163MS-515-SUL/28.PV/MSV-163MS-515+630-ACE-EXE-NS-C3-101-R01.pdf</v>
      </c>
    </row>
    <row r="390" spans="1:13" hidden="1" x14ac:dyDescent="0.3">
      <c r="A390" s="6" t="s">
        <v>3127</v>
      </c>
      <c r="B390" s="6" t="str">
        <f>VLOOKUP(LD_01[[#This Row],[DOCUMENTO]],_xlfn.SORTBY(ARQUIVOS_RECEBIDOS!$E$2:$F$5010,ARQUIVOS_RECEBIDOS!$F$2:$F$5010,-1),2,)</f>
        <v>R00</v>
      </c>
      <c r="C390" s="15" t="s">
        <v>5987</v>
      </c>
      <c r="D390" s="6" t="s">
        <v>4312</v>
      </c>
      <c r="E390" s="8" t="s">
        <v>4165</v>
      </c>
      <c r="F390" s="8" t="s">
        <v>4163</v>
      </c>
      <c r="G390" s="6" t="str">
        <f>_xlfn.XLOOKUP(LD_01[[#This Row],[DISCIPLINA]],'CLASSES DE PROJETOS'!$F$3:$F$37,'CLASSES DE PROJETOS'!$C$3:$C$37)</f>
        <v>TO</v>
      </c>
      <c r="H390" t="str">
        <f>_xlfn.TEXTJOIN("/",TRUE,"MSV-163MS-"&amp;LD_01[[#This Row],[TRECHO]],_xlfn.XLOOKUP(LD_01[[#This Row],[SIGLA]],'CLASSES DE PROJETOS'!$C$3:$C$37,'CLASSES DE PROJETOS'!$E$3:$E$37))</f>
        <v>MSV-163MS-515-NORTE/33.TO</v>
      </c>
      <c r="I390" s="6" t="str" cm="1">
        <f t="array" ref="I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J390" s="6" t="str" cm="1">
        <f t="array" ref="J390">_xlfn.TEXTJOIN(", ",TRUE,_xlfn.UNIQUE(_xlfn._xlws.FILTER(ARQUIVOS_RECEBIDOS!$F$2:$F$5010,ARQUIVOS_RECEBIDOS!$E$2:$E$5010=LD_01[[#This Row],[DOCUMENTO]])))</f>
        <v>R00</v>
      </c>
      <c r="K390" s="12" cm="1">
        <f t="array" ref="K390">_xlfn.UNIQUE(_xlfn._xlws.FILTER(ARQUIVOS[DATA RECEBIMENTO],(ARQUIVOS[DOCUMENTO]=LD_01[[#This Row],[DOCUMENTO]])*(ARQUIVOS[REVISÃO]=LD_01[[#This Row],[REVISÃO]])))</f>
        <v>45838</v>
      </c>
      <c r="L3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M390" s="6" t="str">
        <f>LD_01[[#This Row],[PASTA]]&amp;"/"&amp;LD_01[[#This Row],[ARQUIVO]]</f>
        <v>MSV-163MS-515-NORTE/33.TO/MSV-163MS-515+630-ACE-EXE-RT-C1-001-R00.pdf</v>
      </c>
    </row>
    <row r="391" spans="1:13" hidden="1" x14ac:dyDescent="0.3">
      <c r="A391" s="6" t="s">
        <v>3159</v>
      </c>
      <c r="B391" s="6" t="str">
        <f>VLOOKUP(LD_01[[#This Row],[DOCUMENTO]],_xlfn.SORTBY(ARQUIVOS_RECEBIDOS!$E$2:$F$5010,ARQUIVOS_RECEBIDOS!$F$2:$F$5010,-1),2,)</f>
        <v>R00</v>
      </c>
      <c r="C391" s="15" t="s">
        <v>5987</v>
      </c>
      <c r="D391" s="6" t="s">
        <v>4313</v>
      </c>
      <c r="E391" s="8" t="s">
        <v>4165</v>
      </c>
      <c r="F391" s="8" t="s">
        <v>4163</v>
      </c>
      <c r="G391" s="6" t="str">
        <f>_xlfn.XLOOKUP(LD_01[[#This Row],[DISCIPLINA]],'CLASSES DE PROJETOS'!$F$3:$F$37,'CLASSES DE PROJETOS'!$C$3:$C$37)</f>
        <v>TO</v>
      </c>
      <c r="H391" t="str">
        <f>_xlfn.TEXTJOIN("/",TRUE,"MSV-163MS-"&amp;LD_01[[#This Row],[TRECHO]],_xlfn.XLOOKUP(LD_01[[#This Row],[SIGLA]],'CLASSES DE PROJETOS'!$C$3:$C$37,'CLASSES DE PROJETOS'!$E$3:$E$37))</f>
        <v>MSV-163MS-515-SUL/33.TO</v>
      </c>
      <c r="I391" s="6" t="str" cm="1">
        <f t="array" ref="I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J391" s="6" t="str" cm="1">
        <f t="array" ref="J391">_xlfn.TEXTJOIN(", ",TRUE,_xlfn.UNIQUE(_xlfn._xlws.FILTER(ARQUIVOS_RECEBIDOS!$F$2:$F$5010,ARQUIVOS_RECEBIDOS!$E$2:$E$5010=LD_01[[#This Row],[DOCUMENTO]])))</f>
        <v>R00</v>
      </c>
      <c r="K391" s="12" cm="1">
        <f t="array" ref="K391">_xlfn.UNIQUE(_xlfn._xlws.FILTER(ARQUIVOS[DATA RECEBIMENTO],(ARQUIVOS[DOCUMENTO]=LD_01[[#This Row],[DOCUMENTO]])*(ARQUIVOS[REVISÃO]=LD_01[[#This Row],[REVISÃO]])))</f>
        <v>45838</v>
      </c>
      <c r="L3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M391" s="6" t="str">
        <f>LD_01[[#This Row],[PASTA]]&amp;"/"&amp;LD_01[[#This Row],[ARQUIVO]]</f>
        <v>MSV-163MS-515-SUL/33.TO/MSV-163MS-515+630-ACE-EXE-RT-C1-101-R00.pdf</v>
      </c>
    </row>
    <row r="392" spans="1:13" ht="28.8" hidden="1" x14ac:dyDescent="0.3">
      <c r="A392" s="6" t="s">
        <v>3148</v>
      </c>
      <c r="B392" s="6" t="str">
        <f>VLOOKUP(LD_01[[#This Row],[DOCUMENTO]],_xlfn.SORTBY(ARQUIVOS_RECEBIDOS!$E$2:$F$5010,ARQUIVOS_RECEBIDOS!$F$2:$F$5010,-1),2,)</f>
        <v>R01</v>
      </c>
      <c r="C392" s="15" t="s">
        <v>5987</v>
      </c>
      <c r="D392" s="6" t="s">
        <v>4312</v>
      </c>
      <c r="E392" s="8" t="s">
        <v>4076</v>
      </c>
      <c r="F392" s="8" t="s">
        <v>4332</v>
      </c>
      <c r="G392" s="6" t="str">
        <f>_xlfn.XLOOKUP(LD_01[[#This Row],[DISCIPLINA]],'CLASSES DE PROJETOS'!$F$3:$F$37,'CLASSES DE PROJETOS'!$C$3:$C$37)</f>
        <v>GG</v>
      </c>
      <c r="H392" t="str">
        <f>_xlfn.TEXTJOIN("/",TRUE,"MSV-163MS-"&amp;LD_01[[#This Row],[TRECHO]],_xlfn.XLOOKUP(LD_01[[#This Row],[SIGLA]],'CLASSES DE PROJETOS'!$C$3:$C$37,'CLASSES DE PROJETOS'!$E$3:$E$37))</f>
        <v>MSV-163MS-515-NORTE/19.GG</v>
      </c>
      <c r="I392" s="6" t="str" cm="1">
        <f t="array" ref="I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J392" s="6" t="str" cm="1">
        <f t="array" ref="J392">_xlfn.TEXTJOIN(", ",TRUE,_xlfn.UNIQUE(_xlfn._xlws.FILTER(ARQUIVOS_RECEBIDOS!$F$2:$F$5010,ARQUIVOS_RECEBIDOS!$E$2:$E$5010=LD_01[[#This Row],[DOCUMENTO]])))</f>
        <v>R01</v>
      </c>
      <c r="K392" s="12" cm="1">
        <f t="array" ref="K392">_xlfn.UNIQUE(_xlfn._xlws.FILTER(ARQUIVOS[DATA RECEBIMENTO],(ARQUIVOS[DOCUMENTO]=LD_01[[#This Row],[DOCUMENTO]])*(ARQUIVOS[REVISÃO]=LD_01[[#This Row],[REVISÃO]])))</f>
        <v>45838</v>
      </c>
      <c r="L3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M392" s="6" t="str">
        <f>LD_01[[#This Row],[PASTA]]&amp;"/"&amp;LD_01[[#This Row],[ARQUIVO]]</f>
        <v>MSV-163MS-515-NORTE/19.GG/MSV-163MS-515+630-ACE-EXE-RT-D3-001-R01.pdf</v>
      </c>
    </row>
    <row r="393" spans="1:13" ht="28.8" hidden="1" x14ac:dyDescent="0.3">
      <c r="A393" s="6" t="s">
        <v>3149</v>
      </c>
      <c r="B393" s="6" t="str">
        <f>VLOOKUP(LD_01[[#This Row],[DOCUMENTO]],_xlfn.SORTBY(ARQUIVOS_RECEBIDOS!$E$2:$F$5010,ARQUIVOS_RECEBIDOS!$F$2:$F$5010,-1),2,)</f>
        <v>R00</v>
      </c>
      <c r="C393" s="15" t="s">
        <v>5987</v>
      </c>
      <c r="D393" s="6" t="s">
        <v>4312</v>
      </c>
      <c r="E393" s="8" t="s">
        <v>4103</v>
      </c>
      <c r="F393" s="8" t="s">
        <v>4332</v>
      </c>
      <c r="G393" s="6" t="str">
        <f>_xlfn.XLOOKUP(LD_01[[#This Row],[DISCIPLINA]],'CLASSES DE PROJETOS'!$F$3:$F$37,'CLASSES DE PROJETOS'!$C$3:$C$37)</f>
        <v>GG</v>
      </c>
      <c r="H393" t="str">
        <f>_xlfn.TEXTJOIN("/",TRUE,"MSV-163MS-"&amp;LD_01[[#This Row],[TRECHO]],_xlfn.XLOOKUP(LD_01[[#This Row],[SIGLA]],'CLASSES DE PROJETOS'!$C$3:$C$37,'CLASSES DE PROJETOS'!$E$3:$E$37))</f>
        <v>MSV-163MS-515-NORTE/19.GG</v>
      </c>
      <c r="I393" s="6" t="str" cm="1">
        <f t="array" ref="I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J393" s="6" t="str" cm="1">
        <f t="array" ref="J393">_xlfn.TEXTJOIN(", ",TRUE,_xlfn.UNIQUE(_xlfn._xlws.FILTER(ARQUIVOS_RECEBIDOS!$F$2:$F$5010,ARQUIVOS_RECEBIDOS!$E$2:$E$5010=LD_01[[#This Row],[DOCUMENTO]])))</f>
        <v>R00</v>
      </c>
      <c r="K393" s="12" cm="1">
        <f t="array" ref="K393">_xlfn.UNIQUE(_xlfn._xlws.FILTER(ARQUIVOS[DATA RECEBIMENTO],(ARQUIVOS[DOCUMENTO]=LD_01[[#This Row],[DOCUMENTO]])*(ARQUIVOS[REVISÃO]=LD_01[[#This Row],[REVISÃO]])))</f>
        <v>45838</v>
      </c>
      <c r="L3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M393" s="6" t="str">
        <f>LD_01[[#This Row],[PASTA]]&amp;"/"&amp;LD_01[[#This Row],[ARQUIVO]]</f>
        <v>MSV-163MS-515-NORTE/19.GG/MSV-163MS-515+630-ACE-EXE-RT-D3-002-R00.pdf</v>
      </c>
    </row>
    <row r="394" spans="1:13" ht="28.8" hidden="1" x14ac:dyDescent="0.3">
      <c r="A394" s="6" t="s">
        <v>3180</v>
      </c>
      <c r="B394" s="6" t="str">
        <f>VLOOKUP(LD_01[[#This Row],[DOCUMENTO]],_xlfn.SORTBY(ARQUIVOS_RECEBIDOS!$E$2:$F$5010,ARQUIVOS_RECEBIDOS!$F$2:$F$5010,-1),2,)</f>
        <v>R01</v>
      </c>
      <c r="C394" s="15" t="s">
        <v>5987</v>
      </c>
      <c r="D394" s="6" t="s">
        <v>4313</v>
      </c>
      <c r="E394" s="8" t="s">
        <v>4092</v>
      </c>
      <c r="F394" s="8" t="s">
        <v>4332</v>
      </c>
      <c r="G394" s="6" t="str">
        <f>_xlfn.XLOOKUP(LD_01[[#This Row],[DISCIPLINA]],'CLASSES DE PROJETOS'!$F$3:$F$37,'CLASSES DE PROJETOS'!$C$3:$C$37)</f>
        <v>GG</v>
      </c>
      <c r="H394" t="str">
        <f>_xlfn.TEXTJOIN("/",TRUE,"MSV-163MS-"&amp;LD_01[[#This Row],[TRECHO]],_xlfn.XLOOKUP(LD_01[[#This Row],[SIGLA]],'CLASSES DE PROJETOS'!$C$3:$C$37,'CLASSES DE PROJETOS'!$E$3:$E$37))</f>
        <v>MSV-163MS-515-SUL/19.GG</v>
      </c>
      <c r="I394" s="6" t="str" cm="1">
        <f t="array" ref="I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J394" s="6" t="str" cm="1">
        <f t="array" ref="J394">_xlfn.TEXTJOIN(", ",TRUE,_xlfn.UNIQUE(_xlfn._xlws.FILTER(ARQUIVOS_RECEBIDOS!$F$2:$F$5010,ARQUIVOS_RECEBIDOS!$E$2:$E$5010=LD_01[[#This Row],[DOCUMENTO]])))</f>
        <v>R01</v>
      </c>
      <c r="K394" s="12" cm="1">
        <f t="array" ref="K394">_xlfn.UNIQUE(_xlfn._xlws.FILTER(ARQUIVOS[DATA RECEBIMENTO],(ARQUIVOS[DOCUMENTO]=LD_01[[#This Row],[DOCUMENTO]])*(ARQUIVOS[REVISÃO]=LD_01[[#This Row],[REVISÃO]])))</f>
        <v>45838</v>
      </c>
      <c r="L3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M394" s="6" t="str">
        <f>LD_01[[#This Row],[PASTA]]&amp;"/"&amp;LD_01[[#This Row],[ARQUIVO]]</f>
        <v>MSV-163MS-515-SUL/19.GG/MSV-163MS-515+630-ACE-EXE-RT-D3-101-R01.pdf</v>
      </c>
    </row>
    <row r="395" spans="1:13" ht="28.8" hidden="1" x14ac:dyDescent="0.3">
      <c r="A395" s="6" t="s">
        <v>3181</v>
      </c>
      <c r="B395" s="6" t="str">
        <f>VLOOKUP(LD_01[[#This Row],[DOCUMENTO]],_xlfn.SORTBY(ARQUIVOS_RECEBIDOS!$E$2:$F$5010,ARQUIVOS_RECEBIDOS!$F$2:$F$5010,-1),2,)</f>
        <v>R00</v>
      </c>
      <c r="C395" s="15" t="s">
        <v>5987</v>
      </c>
      <c r="D395" s="6" t="s">
        <v>4313</v>
      </c>
      <c r="E395" s="8" t="s">
        <v>4103</v>
      </c>
      <c r="F395" s="8" t="s">
        <v>4332</v>
      </c>
      <c r="G395" s="6" t="str">
        <f>_xlfn.XLOOKUP(LD_01[[#This Row],[DISCIPLINA]],'CLASSES DE PROJETOS'!$F$3:$F$37,'CLASSES DE PROJETOS'!$C$3:$C$37)</f>
        <v>GG</v>
      </c>
      <c r="H395" t="str">
        <f>_xlfn.TEXTJOIN("/",TRUE,"MSV-163MS-"&amp;LD_01[[#This Row],[TRECHO]],_xlfn.XLOOKUP(LD_01[[#This Row],[SIGLA]],'CLASSES DE PROJETOS'!$C$3:$C$37,'CLASSES DE PROJETOS'!$E$3:$E$37))</f>
        <v>MSV-163MS-515-SUL/19.GG</v>
      </c>
      <c r="I395" s="6" t="str" cm="1">
        <f t="array" ref="I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J395" s="6" t="str" cm="1">
        <f t="array" ref="J395">_xlfn.TEXTJOIN(", ",TRUE,_xlfn.UNIQUE(_xlfn._xlws.FILTER(ARQUIVOS_RECEBIDOS!$F$2:$F$5010,ARQUIVOS_RECEBIDOS!$E$2:$E$5010=LD_01[[#This Row],[DOCUMENTO]])))</f>
        <v>R00</v>
      </c>
      <c r="K395" s="12" cm="1">
        <f t="array" ref="K395">_xlfn.UNIQUE(_xlfn._xlws.FILTER(ARQUIVOS[DATA RECEBIMENTO],(ARQUIVOS[DOCUMENTO]=LD_01[[#This Row],[DOCUMENTO]])*(ARQUIVOS[REVISÃO]=LD_01[[#This Row],[REVISÃO]])))</f>
        <v>45838</v>
      </c>
      <c r="L3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M395" s="6" t="str">
        <f>LD_01[[#This Row],[PASTA]]&amp;"/"&amp;LD_01[[#This Row],[ARQUIVO]]</f>
        <v>MSV-163MS-515-SUL/19.GG/MSV-163MS-515+630-ACE-EXE-RT-D3-102-R00.pdf</v>
      </c>
    </row>
    <row r="396" spans="1:13" ht="28.8" hidden="1" x14ac:dyDescent="0.3">
      <c r="A396" s="6" t="s">
        <v>3157</v>
      </c>
      <c r="B396" s="6" t="str">
        <f>VLOOKUP(LD_01[[#This Row],[DOCUMENTO]],_xlfn.SORTBY(ARQUIVOS_RECEBIDOS!$E$2:$F$5010,ARQUIVOS_RECEBIDOS!$F$2:$F$5010,-1),2,)</f>
        <v>R00</v>
      </c>
      <c r="C396" s="15" t="s">
        <v>5987</v>
      </c>
      <c r="D396" s="6" t="s">
        <v>4312</v>
      </c>
      <c r="E396" s="8" t="s">
        <v>4304</v>
      </c>
      <c r="F396" s="8" t="s">
        <v>4335</v>
      </c>
      <c r="G396" s="6" t="str">
        <f>_xlfn.XLOOKUP(LD_01[[#This Row],[DISCIPLINA]],'CLASSES DE PROJETOS'!$F$3:$F$37,'CLASSES DE PROJETOS'!$C$3:$C$37)</f>
        <v>TR</v>
      </c>
      <c r="H396" t="str">
        <f>_xlfn.TEXTJOIN("/",TRUE,"MSV-163MS-"&amp;LD_01[[#This Row],[TRECHO]],_xlfn.XLOOKUP(LD_01[[#This Row],[SIGLA]],'CLASSES DE PROJETOS'!$C$3:$C$37,'CLASSES DE PROJETOS'!$E$3:$E$37))</f>
        <v>MSV-163MS-515-NORTE/34.TR</v>
      </c>
      <c r="I396" s="6" t="str" cm="1">
        <f t="array" ref="I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J396" s="6" t="str" cm="1">
        <f t="array" ref="J396">_xlfn.TEXTJOIN(", ",TRUE,_xlfn.UNIQUE(_xlfn._xlws.FILTER(ARQUIVOS_RECEBIDOS!$F$2:$F$5010,ARQUIVOS_RECEBIDOS!$E$2:$E$5010=LD_01[[#This Row],[DOCUMENTO]])))</f>
        <v>R00</v>
      </c>
      <c r="K396" s="12" cm="1">
        <f t="array" ref="K396">_xlfn.UNIQUE(_xlfn._xlws.FILTER(ARQUIVOS[DATA RECEBIMENTO],(ARQUIVOS[DOCUMENTO]=LD_01[[#This Row],[DOCUMENTO]])*(ARQUIVOS[REVISÃO]=LD_01[[#This Row],[REVISÃO]])))</f>
        <v>45838</v>
      </c>
      <c r="L3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M396" s="6" t="str">
        <f>LD_01[[#This Row],[PASTA]]&amp;"/"&amp;LD_01[[#This Row],[ARQUIVO]]</f>
        <v>MSV-163MS-515-NORTE/34.TR/MSV-163MS-515+630-ACE-EXE-RT-E1-001-R00.pdf</v>
      </c>
    </row>
    <row r="397" spans="1:13" ht="28.8" hidden="1" x14ac:dyDescent="0.3">
      <c r="A397" s="6" t="s">
        <v>3189</v>
      </c>
      <c r="B397" s="6" t="str">
        <f>VLOOKUP(LD_01[[#This Row],[DOCUMENTO]],_xlfn.SORTBY(ARQUIVOS_RECEBIDOS!$E$2:$F$5010,ARQUIVOS_RECEBIDOS!$F$2:$F$5010,-1),2,)</f>
        <v>R00</v>
      </c>
      <c r="C397" s="15" t="s">
        <v>5987</v>
      </c>
      <c r="D397" s="6" t="s">
        <v>4313</v>
      </c>
      <c r="E397" s="8" t="s">
        <v>4304</v>
      </c>
      <c r="F397" s="8" t="s">
        <v>4335</v>
      </c>
      <c r="G397" s="6" t="str">
        <f>_xlfn.XLOOKUP(LD_01[[#This Row],[DISCIPLINA]],'CLASSES DE PROJETOS'!$F$3:$F$37,'CLASSES DE PROJETOS'!$C$3:$C$37)</f>
        <v>TR</v>
      </c>
      <c r="H397" t="str">
        <f>_xlfn.TEXTJOIN("/",TRUE,"MSV-163MS-"&amp;LD_01[[#This Row],[TRECHO]],_xlfn.XLOOKUP(LD_01[[#This Row],[SIGLA]],'CLASSES DE PROJETOS'!$C$3:$C$37,'CLASSES DE PROJETOS'!$E$3:$E$37))</f>
        <v>MSV-163MS-515-SUL/34.TR</v>
      </c>
      <c r="I397" s="6" t="str" cm="1">
        <f t="array" ref="I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J397" s="6" t="str" cm="1">
        <f t="array" ref="J397">_xlfn.TEXTJOIN(", ",TRUE,_xlfn.UNIQUE(_xlfn._xlws.FILTER(ARQUIVOS_RECEBIDOS!$F$2:$F$5010,ARQUIVOS_RECEBIDOS!$E$2:$E$5010=LD_01[[#This Row],[DOCUMENTO]])))</f>
        <v>R00</v>
      </c>
      <c r="K397" s="12" cm="1">
        <f t="array" ref="K397">_xlfn.UNIQUE(_xlfn._xlws.FILTER(ARQUIVOS[DATA RECEBIMENTO],(ARQUIVOS[DOCUMENTO]=LD_01[[#This Row],[DOCUMENTO]])*(ARQUIVOS[REVISÃO]=LD_01[[#This Row],[REVISÃO]])))</f>
        <v>45838</v>
      </c>
      <c r="L3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M397" s="6" t="str">
        <f>LD_01[[#This Row],[PASTA]]&amp;"/"&amp;LD_01[[#This Row],[ARQUIVO]]</f>
        <v>MSV-163MS-515-SUL/34.TR/MSV-163MS-515+630-ACE-EXE-RT-E1-101-R00.pdf</v>
      </c>
    </row>
    <row r="398" spans="1:13" ht="28.8" hidden="1" x14ac:dyDescent="0.3">
      <c r="A398" s="6" t="s">
        <v>3130</v>
      </c>
      <c r="B398" s="6" t="str">
        <f>VLOOKUP(LD_01[[#This Row],[DOCUMENTO]],_xlfn.SORTBY(ARQUIVOS_RECEBIDOS!$E$2:$F$5010,ARQUIVOS_RECEBIDOS!$F$2:$F$5010,-1),2,)</f>
        <v>R00</v>
      </c>
      <c r="C398" s="15" t="s">
        <v>5987</v>
      </c>
      <c r="D398" s="6" t="s">
        <v>4312</v>
      </c>
      <c r="E398" s="8" t="s">
        <v>4978</v>
      </c>
      <c r="F398" s="8" t="s">
        <v>4141</v>
      </c>
      <c r="G398" s="6" t="str">
        <f>_xlfn.XLOOKUP(LD_01[[#This Row],[DISCIPLINA]],'CLASSES DE PROJETOS'!$F$3:$F$37,'CLASSES DE PROJETOS'!$C$3:$C$37)</f>
        <v>GE</v>
      </c>
      <c r="H398" t="str">
        <f>_xlfn.TEXTJOIN("/",TRUE,"MSV-163MS-"&amp;LD_01[[#This Row],[TRECHO]],_xlfn.XLOOKUP(LD_01[[#This Row],[SIGLA]],'CLASSES DE PROJETOS'!$C$3:$C$37,'CLASSES DE PROJETOS'!$E$3:$E$37))</f>
        <v>MSV-163MS-515-NORTE/18.GE</v>
      </c>
      <c r="I398" s="6" t="str" cm="1">
        <f t="array" ref="I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J398" s="6" t="str" cm="1">
        <f t="array" ref="J398">_xlfn.TEXTJOIN(", ",TRUE,_xlfn.UNIQUE(_xlfn._xlws.FILTER(ARQUIVOS_RECEBIDOS!$F$2:$F$5010,ARQUIVOS_RECEBIDOS!$E$2:$E$5010=LD_01[[#This Row],[DOCUMENTO]])))</f>
        <v>R00</v>
      </c>
      <c r="K398" s="12" cm="1">
        <f t="array" ref="K398">_xlfn.UNIQUE(_xlfn._xlws.FILTER(ARQUIVOS[DATA RECEBIMENTO],(ARQUIVOS[DOCUMENTO]=LD_01[[#This Row],[DOCUMENTO]])*(ARQUIVOS[REVISÃO]=LD_01[[#This Row],[REVISÃO]])))</f>
        <v>45838</v>
      </c>
      <c r="L3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M398" s="6" t="str">
        <f>LD_01[[#This Row],[PASTA]]&amp;"/"&amp;LD_01[[#This Row],[ARQUIVO]]</f>
        <v>MSV-163MS-515-NORTE/18.GE/MSV-163MS-515+630-ACE-EXE-RT-F1-001-R00.pdf</v>
      </c>
    </row>
    <row r="399" spans="1:13" ht="28.8" hidden="1" x14ac:dyDescent="0.3">
      <c r="A399" s="6" t="s">
        <v>3162</v>
      </c>
      <c r="B399" s="6" t="str">
        <f>VLOOKUP(LD_01[[#This Row],[DOCUMENTO]],_xlfn.SORTBY(ARQUIVOS_RECEBIDOS!$E$2:$F$5010,ARQUIVOS_RECEBIDOS!$F$2:$F$5010,-1),2,)</f>
        <v>R00</v>
      </c>
      <c r="C399" s="15" t="s">
        <v>5987</v>
      </c>
      <c r="D399" s="6" t="s">
        <v>4313</v>
      </c>
      <c r="E399" s="8" t="s">
        <v>4978</v>
      </c>
      <c r="F399" s="8" t="s">
        <v>4141</v>
      </c>
      <c r="G399" s="6" t="str">
        <f>_xlfn.XLOOKUP(LD_01[[#This Row],[DISCIPLINA]],'CLASSES DE PROJETOS'!$F$3:$F$37,'CLASSES DE PROJETOS'!$C$3:$C$37)</f>
        <v>GE</v>
      </c>
      <c r="H399" t="str">
        <f>_xlfn.TEXTJOIN("/",TRUE,"MSV-163MS-"&amp;LD_01[[#This Row],[TRECHO]],_xlfn.XLOOKUP(LD_01[[#This Row],[SIGLA]],'CLASSES DE PROJETOS'!$C$3:$C$37,'CLASSES DE PROJETOS'!$E$3:$E$37))</f>
        <v>MSV-163MS-515-SUL/18.GE</v>
      </c>
      <c r="I399" s="6" t="str" cm="1">
        <f t="array" ref="I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J399" s="6" t="str" cm="1">
        <f t="array" ref="J399">_xlfn.TEXTJOIN(", ",TRUE,_xlfn.UNIQUE(_xlfn._xlws.FILTER(ARQUIVOS_RECEBIDOS!$F$2:$F$5010,ARQUIVOS_RECEBIDOS!$E$2:$E$5010=LD_01[[#This Row],[DOCUMENTO]])))</f>
        <v>R00</v>
      </c>
      <c r="K399" s="12" cm="1">
        <f t="array" ref="K399">_xlfn.UNIQUE(_xlfn._xlws.FILTER(ARQUIVOS[DATA RECEBIMENTO],(ARQUIVOS[DOCUMENTO]=LD_01[[#This Row],[DOCUMENTO]])*(ARQUIVOS[REVISÃO]=LD_01[[#This Row],[REVISÃO]])))</f>
        <v>45838</v>
      </c>
      <c r="L3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M399" s="6" t="str">
        <f>LD_01[[#This Row],[PASTA]]&amp;"/"&amp;LD_01[[#This Row],[ARQUIVO]]</f>
        <v>MSV-163MS-515-SUL/18.GE/MSV-163MS-515+630-ACE-EXE-RT-F1-101-R00.pdf</v>
      </c>
    </row>
    <row r="400" spans="1:13" ht="43.2" hidden="1" x14ac:dyDescent="0.3">
      <c r="A400" s="6" t="s">
        <v>3151</v>
      </c>
      <c r="B400" s="6" t="str">
        <f>VLOOKUP(LD_01[[#This Row],[DOCUMENTO]],_xlfn.SORTBY(ARQUIVOS_RECEBIDOS!$E$2:$F$5010,ARQUIVOS_RECEBIDOS!$F$2:$F$5010,-1),2,)</f>
        <v>R00</v>
      </c>
      <c r="C400" s="15" t="s">
        <v>5987</v>
      </c>
      <c r="D400" s="6" t="s">
        <v>4312</v>
      </c>
      <c r="E400" s="8" t="s">
        <v>4166</v>
      </c>
      <c r="F400" s="8" t="s">
        <v>4333</v>
      </c>
      <c r="G400" s="6" t="str">
        <f>_xlfn.XLOOKUP(LD_01[[#This Row],[DISCIPLINA]],'CLASSES DE PROJETOS'!$F$3:$F$37,'CLASSES DE PROJETOS'!$C$3:$C$37)</f>
        <v>IN</v>
      </c>
      <c r="H400" t="str">
        <f>_xlfn.TEXTJOIN("/",TRUE,"MSV-163MS-"&amp;LD_01[[#This Row],[TRECHO]],_xlfn.XLOOKUP(LD_01[[#This Row],[SIGLA]],'CLASSES DE PROJETOS'!$C$3:$C$37,'CLASSES DE PROJETOS'!$E$3:$E$37))</f>
        <v>MSV-163MS-515-NORTE/23.IN</v>
      </c>
      <c r="I400" s="6" t="str" cm="1">
        <f t="array" ref="I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J400" s="6" t="str" cm="1">
        <f t="array" ref="J400">_xlfn.TEXTJOIN(", ",TRUE,_xlfn.UNIQUE(_xlfn._xlws.FILTER(ARQUIVOS_RECEBIDOS!$F$2:$F$5010,ARQUIVOS_RECEBIDOS!$E$2:$E$5010=LD_01[[#This Row],[DOCUMENTO]])))</f>
        <v>R00</v>
      </c>
      <c r="K400" s="12" cm="1">
        <f t="array" ref="K400">_xlfn.UNIQUE(_xlfn._xlws.FILTER(ARQUIVOS[DATA RECEBIMENTO],(ARQUIVOS[DOCUMENTO]=LD_01[[#This Row],[DOCUMENTO]])*(ARQUIVOS[REVISÃO]=LD_01[[#This Row],[REVISÃO]])))</f>
        <v>45838</v>
      </c>
      <c r="L4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M400" s="6" t="str">
        <f>LD_01[[#This Row],[PASTA]]&amp;"/"&amp;LD_01[[#This Row],[ARQUIVO]]</f>
        <v>MSV-163MS-515-NORTE/23.IN/MSV-163MS-515+630-ACE-EXE-RT-M1-001-R00.pdf</v>
      </c>
    </row>
    <row r="401" spans="1:13" ht="43.2" hidden="1" x14ac:dyDescent="0.3">
      <c r="A401" s="6" t="s">
        <v>3183</v>
      </c>
      <c r="B401" s="6" t="str">
        <f>VLOOKUP(LD_01[[#This Row],[DOCUMENTO]],_xlfn.SORTBY(ARQUIVOS_RECEBIDOS!$E$2:$F$5010,ARQUIVOS_RECEBIDOS!$F$2:$F$5010,-1),2,)</f>
        <v>R00</v>
      </c>
      <c r="C401" s="15" t="s">
        <v>5987</v>
      </c>
      <c r="D401" s="6" t="s">
        <v>4313</v>
      </c>
      <c r="E401" s="8" t="s">
        <v>4166</v>
      </c>
      <c r="F401" s="8" t="s">
        <v>4333</v>
      </c>
      <c r="G401" s="6" t="str">
        <f>_xlfn.XLOOKUP(LD_01[[#This Row],[DISCIPLINA]],'CLASSES DE PROJETOS'!$F$3:$F$37,'CLASSES DE PROJETOS'!$C$3:$C$37)</f>
        <v>IN</v>
      </c>
      <c r="H401" t="str">
        <f>_xlfn.TEXTJOIN("/",TRUE,"MSV-163MS-"&amp;LD_01[[#This Row],[TRECHO]],_xlfn.XLOOKUP(LD_01[[#This Row],[SIGLA]],'CLASSES DE PROJETOS'!$C$3:$C$37,'CLASSES DE PROJETOS'!$E$3:$E$37))</f>
        <v>MSV-163MS-515-SUL/23.IN</v>
      </c>
      <c r="I401" s="6" t="str" cm="1">
        <f t="array" ref="I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J401" s="6" t="str" cm="1">
        <f t="array" ref="J401">_xlfn.TEXTJOIN(", ",TRUE,_xlfn.UNIQUE(_xlfn._xlws.FILTER(ARQUIVOS_RECEBIDOS!$F$2:$F$5010,ARQUIVOS_RECEBIDOS!$E$2:$E$5010=LD_01[[#This Row],[DOCUMENTO]])))</f>
        <v>R00</v>
      </c>
      <c r="K401" s="12" cm="1">
        <f t="array" ref="K401">_xlfn.UNIQUE(_xlfn._xlws.FILTER(ARQUIVOS[DATA RECEBIMENTO],(ARQUIVOS[DOCUMENTO]=LD_01[[#This Row],[DOCUMENTO]])*(ARQUIVOS[REVISÃO]=LD_01[[#This Row],[REVISÃO]])))</f>
        <v>45838</v>
      </c>
      <c r="L4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M401" s="6" t="str">
        <f>LD_01[[#This Row],[PASTA]]&amp;"/"&amp;LD_01[[#This Row],[ARQUIVO]]</f>
        <v>MSV-163MS-515-SUL/23.IN/MSV-163MS-515+630-ACE-EXE-RT-M1-101-R00.pdf</v>
      </c>
    </row>
    <row r="402" spans="1:13" hidden="1" x14ac:dyDescent="0.3">
      <c r="A402" s="6" t="s">
        <v>3190</v>
      </c>
      <c r="B402" s="6" t="str">
        <f>VLOOKUP(LD_01[[#This Row],[DOCUMENTO]],_xlfn.SORTBY(ARQUIVOS_RECEBIDOS!$E$2:$F$5010,ARQUIVOS_RECEBIDOS!$F$2:$F$5010,-1),2,)</f>
        <v>R00</v>
      </c>
      <c r="C402" s="15" t="s">
        <v>5987</v>
      </c>
      <c r="D402" s="6" t="s">
        <v>4314</v>
      </c>
      <c r="E402" s="8" t="s">
        <v>4164</v>
      </c>
      <c r="F402" s="8" t="s">
        <v>4163</v>
      </c>
      <c r="G402" s="6" t="str">
        <f>_xlfn.XLOOKUP(LD_01[[#This Row],[DISCIPLINA]],'CLASSES DE PROJETOS'!$F$3:$F$37,'CLASSES DE PROJETOS'!$C$3:$C$37)</f>
        <v>TO</v>
      </c>
      <c r="H402" t="str">
        <f>_xlfn.TEXTJOIN("/",TRUE,"MSV-163MS-"&amp;LD_01[[#This Row],[TRECHO]],_xlfn.XLOOKUP(LD_01[[#This Row],[SIGLA]],'CLASSES DE PROJETOS'!$C$3:$C$37,'CLASSES DE PROJETOS'!$E$3:$E$37))</f>
        <v>MSV-163MS-520-NORTE/33.TO</v>
      </c>
      <c r="I402" s="6" t="str" cm="1">
        <f t="array" ref="I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J402" s="6" t="str" cm="1">
        <f t="array" ref="J402">_xlfn.TEXTJOIN(", ",TRUE,_xlfn.UNIQUE(_xlfn._xlws.FILTER(ARQUIVOS_RECEBIDOS!$F$2:$F$5010,ARQUIVOS_RECEBIDOS!$E$2:$E$5010=LD_01[[#This Row],[DOCUMENTO]])))</f>
        <v>R00</v>
      </c>
      <c r="K402" s="12" cm="1">
        <f t="array" ref="K402">_xlfn.UNIQUE(_xlfn._xlws.FILTER(ARQUIVOS[DATA RECEBIMENTO],(ARQUIVOS[DOCUMENTO]=LD_01[[#This Row],[DOCUMENTO]])*(ARQUIVOS[REVISÃO]=LD_01[[#This Row],[REVISÃO]])))</f>
        <v>45838</v>
      </c>
      <c r="L4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M402" s="6" t="str">
        <f>LD_01[[#This Row],[PASTA]]&amp;"/"&amp;LD_01[[#This Row],[ARQUIVO]]</f>
        <v>MSV-163MS-520-NORTE/33.TO/MSV-163MS-520+670-ACE-EXE-DE-C1-001-R00.pdf</v>
      </c>
    </row>
    <row r="403" spans="1:13" ht="28.8" hidden="1" x14ac:dyDescent="0.3">
      <c r="A403" s="6" t="s">
        <v>3212</v>
      </c>
      <c r="B403" s="6" t="str">
        <f>VLOOKUP(LD_01[[#This Row],[DOCUMENTO]],_xlfn.SORTBY(ARQUIVOS_RECEBIDOS!$E$2:$F$5010,ARQUIVOS_RECEBIDOS!$F$2:$F$5010,-1),2,)</f>
        <v>R01</v>
      </c>
      <c r="C403" s="15" t="s">
        <v>5987</v>
      </c>
      <c r="D403" s="6" t="s">
        <v>4314</v>
      </c>
      <c r="E403" s="8" t="s">
        <v>4980</v>
      </c>
      <c r="F403" s="8" t="s">
        <v>4332</v>
      </c>
      <c r="G403" s="6" t="str">
        <f>_xlfn.XLOOKUP(LD_01[[#This Row],[DISCIPLINA]],'CLASSES DE PROJETOS'!$F$3:$F$37,'CLASSES DE PROJETOS'!$C$3:$C$37)</f>
        <v>GG</v>
      </c>
      <c r="H403" t="str">
        <f>_xlfn.TEXTJOIN("/",TRUE,"MSV-163MS-"&amp;LD_01[[#This Row],[TRECHO]],_xlfn.XLOOKUP(LD_01[[#This Row],[SIGLA]],'CLASSES DE PROJETOS'!$C$3:$C$37,'CLASSES DE PROJETOS'!$E$3:$E$37))</f>
        <v>MSV-163MS-520-NORTE/19.GG</v>
      </c>
      <c r="I403" s="6" t="str" cm="1">
        <f t="array" ref="I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J403" s="6" t="str" cm="1">
        <f t="array" ref="J403">_xlfn.TEXTJOIN(", ",TRUE,_xlfn.UNIQUE(_xlfn._xlws.FILTER(ARQUIVOS_RECEBIDOS!$F$2:$F$5010,ARQUIVOS_RECEBIDOS!$E$2:$E$5010=LD_01[[#This Row],[DOCUMENTO]])))</f>
        <v>R01</v>
      </c>
      <c r="K403" s="12" cm="1">
        <f t="array" ref="K403">_xlfn.UNIQUE(_xlfn._xlws.FILTER(ARQUIVOS[DATA RECEBIMENTO],(ARQUIVOS[DOCUMENTO]=LD_01[[#This Row],[DOCUMENTO]])*(ARQUIVOS[REVISÃO]=LD_01[[#This Row],[REVISÃO]])))</f>
        <v>45838</v>
      </c>
      <c r="L4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M403" s="6" t="str">
        <f>LD_01[[#This Row],[PASTA]]&amp;"/"&amp;LD_01[[#This Row],[ARQUIVO]]</f>
        <v>MSV-163MS-520-NORTE/19.GG/MSV-163MS-520+670-ACE-EXE-DE-D3-001-R01.pdf</v>
      </c>
    </row>
    <row r="404" spans="1:13" hidden="1" x14ac:dyDescent="0.3">
      <c r="A404" s="6" t="s">
        <v>3192</v>
      </c>
      <c r="B404" s="6" t="str">
        <f>VLOOKUP(LD_01[[#This Row],[DOCUMENTO]],_xlfn.SORTBY(ARQUIVOS_RECEBIDOS!$E$2:$F$5010,ARQUIVOS_RECEBIDOS!$F$2:$F$5010,-1),2,)</f>
        <v>R02</v>
      </c>
      <c r="C404" s="15" t="s">
        <v>5987</v>
      </c>
      <c r="D404" s="6" t="s">
        <v>4314</v>
      </c>
      <c r="E404" s="8" t="s">
        <v>4980</v>
      </c>
      <c r="F404" s="8" t="s">
        <v>4141</v>
      </c>
      <c r="G404" s="6" t="str">
        <f>_xlfn.XLOOKUP(LD_01[[#This Row],[DISCIPLINA]],'CLASSES DE PROJETOS'!$F$3:$F$37,'CLASSES DE PROJETOS'!$C$3:$C$37)</f>
        <v>GE</v>
      </c>
      <c r="H404" t="str">
        <f>_xlfn.TEXTJOIN("/",TRUE,"MSV-163MS-"&amp;LD_01[[#This Row],[TRECHO]],_xlfn.XLOOKUP(LD_01[[#This Row],[SIGLA]],'CLASSES DE PROJETOS'!$C$3:$C$37,'CLASSES DE PROJETOS'!$E$3:$E$37))</f>
        <v>MSV-163MS-520-NORTE/18.GE</v>
      </c>
      <c r="I404" s="6" t="str" cm="1">
        <f t="array" ref="I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J404" s="6" t="str" cm="1">
        <f t="array" ref="J404">_xlfn.TEXTJOIN(", ",TRUE,_xlfn.UNIQUE(_xlfn._xlws.FILTER(ARQUIVOS_RECEBIDOS!$F$2:$F$5010,ARQUIVOS_RECEBIDOS!$E$2:$E$5010=LD_01[[#This Row],[DOCUMENTO]])))</f>
        <v>R02</v>
      </c>
      <c r="K404" s="12" cm="1">
        <f t="array" ref="K404">_xlfn.UNIQUE(_xlfn._xlws.FILTER(ARQUIVOS[DATA RECEBIMENTO],(ARQUIVOS[DOCUMENTO]=LD_01[[#This Row],[DOCUMENTO]])*(ARQUIVOS[REVISÃO]=LD_01[[#This Row],[REVISÃO]])))</f>
        <v>45838</v>
      </c>
      <c r="L4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M404" s="6" t="str">
        <f>LD_01[[#This Row],[PASTA]]&amp;"/"&amp;LD_01[[#This Row],[ARQUIVO]]</f>
        <v>MSV-163MS-520-NORTE/18.GE/MSV-163MS-520+670-ACE-EXE-DE-F1-001-R02.pdf</v>
      </c>
    </row>
    <row r="405" spans="1:13" ht="28.8" hidden="1" x14ac:dyDescent="0.3">
      <c r="A405" s="6" t="s">
        <v>3194</v>
      </c>
      <c r="B405" s="6" t="str">
        <f>VLOOKUP(LD_01[[#This Row],[DOCUMENTO]],_xlfn.SORTBY(ARQUIVOS_RECEBIDOS!$E$2:$F$5010,ARQUIVOS_RECEBIDOS!$F$2:$F$5010,-1),2,)</f>
        <v>R03</v>
      </c>
      <c r="C405" s="15" t="s">
        <v>5987</v>
      </c>
      <c r="D405" s="6" t="s">
        <v>4314</v>
      </c>
      <c r="E405" s="8" t="s">
        <v>4984</v>
      </c>
      <c r="F405" s="8" t="s">
        <v>4330</v>
      </c>
      <c r="G405" s="6" t="str">
        <f>_xlfn.XLOOKUP(LD_01[[#This Row],[DISCIPLINA]],'CLASSES DE PROJETOS'!$F$3:$F$37,'CLASSES DE PROJETOS'!$C$3:$C$37)</f>
        <v>TE</v>
      </c>
      <c r="H405" t="str">
        <f>_xlfn.TEXTJOIN("/",TRUE,"MSV-163MS-"&amp;LD_01[[#This Row],[TRECHO]],_xlfn.XLOOKUP(LD_01[[#This Row],[SIGLA]],'CLASSES DE PROJETOS'!$C$3:$C$37,'CLASSES DE PROJETOS'!$E$3:$E$37))</f>
        <v>MSV-163MS-520-NORTE/32.TE</v>
      </c>
      <c r="I405" s="6" t="str" cm="1">
        <f t="array" ref="I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J405" s="6" t="str" cm="1">
        <f t="array" ref="J405">_xlfn.TEXTJOIN(", ",TRUE,_xlfn.UNIQUE(_xlfn._xlws.FILTER(ARQUIVOS_RECEBIDOS!$F$2:$F$5010,ARQUIVOS_RECEBIDOS!$E$2:$E$5010=LD_01[[#This Row],[DOCUMENTO]])))</f>
        <v>R03</v>
      </c>
      <c r="K405" s="12" cm="1">
        <f t="array" ref="K405">_xlfn.UNIQUE(_xlfn._xlws.FILTER(ARQUIVOS[DATA RECEBIMENTO],(ARQUIVOS[DOCUMENTO]=LD_01[[#This Row],[DOCUMENTO]])*(ARQUIVOS[REVISÃO]=LD_01[[#This Row],[REVISÃO]])))</f>
        <v>45838</v>
      </c>
      <c r="L4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M405" s="6" t="str">
        <f>LD_01[[#This Row],[PASTA]]&amp;"/"&amp;LD_01[[#This Row],[ARQUIVO]]</f>
        <v>MSV-163MS-520-NORTE/32.TE/MSV-163MS-520+670-ACE-EXE-DE-G1-001-R03.pdf</v>
      </c>
    </row>
    <row r="406" spans="1:13" ht="28.8" hidden="1" x14ac:dyDescent="0.3">
      <c r="A406" s="6" t="s">
        <v>3195</v>
      </c>
      <c r="B406" s="6" t="str">
        <f>VLOOKUP(LD_01[[#This Row],[DOCUMENTO]],_xlfn.SORTBY(ARQUIVOS_RECEBIDOS!$E$2:$F$5010,ARQUIVOS_RECEBIDOS!$F$2:$F$5010,-1),2,)</f>
        <v>R01</v>
      </c>
      <c r="C406" s="15" t="s">
        <v>5987</v>
      </c>
      <c r="D406" s="6" t="s">
        <v>4314</v>
      </c>
      <c r="E406" s="8" t="s">
        <v>4984</v>
      </c>
      <c r="F406" s="8" t="s">
        <v>4330</v>
      </c>
      <c r="G406" s="6" t="str">
        <f>_xlfn.XLOOKUP(LD_01[[#This Row],[DISCIPLINA]],'CLASSES DE PROJETOS'!$F$3:$F$37,'CLASSES DE PROJETOS'!$C$3:$C$37)</f>
        <v>TE</v>
      </c>
      <c r="H406" t="str">
        <f>_xlfn.TEXTJOIN("/",TRUE,"MSV-163MS-"&amp;LD_01[[#This Row],[TRECHO]],_xlfn.XLOOKUP(LD_01[[#This Row],[SIGLA]],'CLASSES DE PROJETOS'!$C$3:$C$37,'CLASSES DE PROJETOS'!$E$3:$E$37))</f>
        <v>MSV-163MS-520-NORTE/32.TE</v>
      </c>
      <c r="I406" s="6" t="str" cm="1">
        <f t="array" ref="I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J406" s="6" t="str" cm="1">
        <f t="array" ref="J406">_xlfn.TEXTJOIN(", ",TRUE,_xlfn.UNIQUE(_xlfn._xlws.FILTER(ARQUIVOS_RECEBIDOS!$F$2:$F$5010,ARQUIVOS_RECEBIDOS!$E$2:$E$5010=LD_01[[#This Row],[DOCUMENTO]])))</f>
        <v>R01</v>
      </c>
      <c r="K406" s="12" cm="1">
        <f t="array" ref="K406">_xlfn.UNIQUE(_xlfn._xlws.FILTER(ARQUIVOS[DATA RECEBIMENTO],(ARQUIVOS[DOCUMENTO]=LD_01[[#This Row],[DOCUMENTO]])*(ARQUIVOS[REVISÃO]=LD_01[[#This Row],[REVISÃO]])))</f>
        <v>45838</v>
      </c>
      <c r="L4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M406" s="6" t="str">
        <f>LD_01[[#This Row],[PASTA]]&amp;"/"&amp;LD_01[[#This Row],[ARQUIVO]]</f>
        <v>MSV-163MS-520-NORTE/32.TE/MSV-163MS-520+670-ACE-EXE-DE-G1-002-R01.pdf</v>
      </c>
    </row>
    <row r="407" spans="1:13" ht="28.8" hidden="1" x14ac:dyDescent="0.3">
      <c r="A407" s="6" t="s">
        <v>3196</v>
      </c>
      <c r="B407" s="6" t="str">
        <f>VLOOKUP(LD_01[[#This Row],[DOCUMENTO]],_xlfn.SORTBY(ARQUIVOS_RECEBIDOS!$E$2:$F$5010,ARQUIVOS_RECEBIDOS!$F$2:$F$5010,-1),2,)</f>
        <v>R02</v>
      </c>
      <c r="C407" s="15" t="s">
        <v>5987</v>
      </c>
      <c r="D407" s="6" t="s">
        <v>4314</v>
      </c>
      <c r="E407" s="8" t="s">
        <v>4980</v>
      </c>
      <c r="F407" s="8" t="s">
        <v>4330</v>
      </c>
      <c r="G407" s="6" t="str">
        <f>_xlfn.XLOOKUP(LD_01[[#This Row],[DISCIPLINA]],'CLASSES DE PROJETOS'!$F$3:$F$37,'CLASSES DE PROJETOS'!$C$3:$C$37)</f>
        <v>TE</v>
      </c>
      <c r="H407" t="str">
        <f>_xlfn.TEXTJOIN("/",TRUE,"MSV-163MS-"&amp;LD_01[[#This Row],[TRECHO]],_xlfn.XLOOKUP(LD_01[[#This Row],[SIGLA]],'CLASSES DE PROJETOS'!$C$3:$C$37,'CLASSES DE PROJETOS'!$E$3:$E$37))</f>
        <v>MSV-163MS-520-NORTE/32.TE</v>
      </c>
      <c r="I407" s="6" t="str" cm="1">
        <f t="array" ref="I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J407" s="6" t="str" cm="1">
        <f t="array" ref="J407">_xlfn.TEXTJOIN(", ",TRUE,_xlfn.UNIQUE(_xlfn._xlws.FILTER(ARQUIVOS_RECEBIDOS!$F$2:$F$5010,ARQUIVOS_RECEBIDOS!$E$2:$E$5010=LD_01[[#This Row],[DOCUMENTO]])))</f>
        <v>R02</v>
      </c>
      <c r="K407" s="12" cm="1">
        <f t="array" ref="K407">_xlfn.UNIQUE(_xlfn._xlws.FILTER(ARQUIVOS[DATA RECEBIMENTO],(ARQUIVOS[DOCUMENTO]=LD_01[[#This Row],[DOCUMENTO]])*(ARQUIVOS[REVISÃO]=LD_01[[#This Row],[REVISÃO]])))</f>
        <v>45838</v>
      </c>
      <c r="L4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M407" s="6" t="str">
        <f>LD_01[[#This Row],[PASTA]]&amp;"/"&amp;LD_01[[#This Row],[ARQUIVO]]</f>
        <v>MSV-163MS-520-NORTE/32.TE/MSV-163MS-520+670-ACE-EXE-DE-G1-101-R02.pdf</v>
      </c>
    </row>
    <row r="408" spans="1:13" hidden="1" x14ac:dyDescent="0.3">
      <c r="A408" s="6" t="s">
        <v>3198</v>
      </c>
      <c r="B408" s="6" t="str">
        <f>VLOOKUP(LD_01[[#This Row],[DOCUMENTO]],_xlfn.SORTBY(ARQUIVOS_RECEBIDOS!$E$2:$F$5010,ARQUIVOS_RECEBIDOS!$F$2:$F$5010,-1),2,)</f>
        <v>R00</v>
      </c>
      <c r="C408" s="15" t="s">
        <v>5987</v>
      </c>
      <c r="D408" s="6" t="s">
        <v>4314</v>
      </c>
      <c r="E408" s="8" t="s">
        <v>4076</v>
      </c>
      <c r="F408" s="8" t="s">
        <v>4142</v>
      </c>
      <c r="G408" s="6" t="str">
        <f>_xlfn.XLOOKUP(LD_01[[#This Row],[DISCIPLINA]],'CLASSES DE PROJETOS'!$F$3:$F$37,'CLASSES DE PROJETOS'!$C$3:$C$37)</f>
        <v>DR</v>
      </c>
      <c r="H408" t="str">
        <f>_xlfn.TEXTJOIN("/",TRUE,"MSV-163MS-"&amp;LD_01[[#This Row],[TRECHO]],_xlfn.XLOOKUP(LD_01[[#This Row],[SIGLA]],'CLASSES DE PROJETOS'!$C$3:$C$37,'CLASSES DE PROJETOS'!$E$3:$E$37))</f>
        <v>MSV-163MS-520-NORTE/10.DR</v>
      </c>
      <c r="I408" s="6" t="str" cm="1">
        <f t="array" ref="I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J408" s="6" t="str" cm="1">
        <f t="array" ref="J408">_xlfn.TEXTJOIN(", ",TRUE,_xlfn.UNIQUE(_xlfn._xlws.FILTER(ARQUIVOS_RECEBIDOS!$F$2:$F$5010,ARQUIVOS_RECEBIDOS!$E$2:$E$5010=LD_01[[#This Row],[DOCUMENTO]])))</f>
        <v>R00</v>
      </c>
      <c r="K408" s="12" cm="1">
        <f t="array" ref="K408">_xlfn.UNIQUE(_xlfn._xlws.FILTER(ARQUIVOS[DATA RECEBIMENTO],(ARQUIVOS[DOCUMENTO]=LD_01[[#This Row],[DOCUMENTO]])*(ARQUIVOS[REVISÃO]=LD_01[[#This Row],[REVISÃO]])))</f>
        <v>45838</v>
      </c>
      <c r="L4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M408" s="6" t="str">
        <f>LD_01[[#This Row],[PASTA]]&amp;"/"&amp;LD_01[[#This Row],[ARQUIVO]]</f>
        <v>MSV-163MS-520-NORTE/10.DR/MSV-163MS-520+670-ACE-EXE-DE-H2-001-R00.pdf</v>
      </c>
    </row>
    <row r="409" spans="1:13" hidden="1" x14ac:dyDescent="0.3">
      <c r="A409" s="6" t="s">
        <v>3199</v>
      </c>
      <c r="B409" s="6" t="str">
        <f>VLOOKUP(LD_01[[#This Row],[DOCUMENTO]],_xlfn.SORTBY(ARQUIVOS_RECEBIDOS!$E$2:$F$5010,ARQUIVOS_RECEBIDOS!$F$2:$F$5010,-1),2,)</f>
        <v>R01</v>
      </c>
      <c r="C409" s="15" t="s">
        <v>5987</v>
      </c>
      <c r="D409" s="6" t="s">
        <v>4314</v>
      </c>
      <c r="E409" s="8" t="s">
        <v>4078</v>
      </c>
      <c r="F409" s="8" t="s">
        <v>4142</v>
      </c>
      <c r="G409" s="6" t="str">
        <f>_xlfn.XLOOKUP(LD_01[[#This Row],[DISCIPLINA]],'CLASSES DE PROJETOS'!$F$3:$F$37,'CLASSES DE PROJETOS'!$C$3:$C$37)</f>
        <v>DR</v>
      </c>
      <c r="H409" t="str">
        <f>_xlfn.TEXTJOIN("/",TRUE,"MSV-163MS-"&amp;LD_01[[#This Row],[TRECHO]],_xlfn.XLOOKUP(LD_01[[#This Row],[SIGLA]],'CLASSES DE PROJETOS'!$C$3:$C$37,'CLASSES DE PROJETOS'!$E$3:$E$37))</f>
        <v>MSV-163MS-520-NORTE/10.DR</v>
      </c>
      <c r="I409" s="6" t="str" cm="1">
        <f t="array" ref="I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J409" s="6" t="str" cm="1">
        <f t="array" ref="J409">_xlfn.TEXTJOIN(", ",TRUE,_xlfn.UNIQUE(_xlfn._xlws.FILTER(ARQUIVOS_RECEBIDOS!$F$2:$F$5010,ARQUIVOS_RECEBIDOS!$E$2:$E$5010=LD_01[[#This Row],[DOCUMENTO]])))</f>
        <v>R01</v>
      </c>
      <c r="K409" s="12" cm="1">
        <f t="array" ref="K409">_xlfn.UNIQUE(_xlfn._xlws.FILTER(ARQUIVOS[DATA RECEBIMENTO],(ARQUIVOS[DOCUMENTO]=LD_01[[#This Row],[DOCUMENTO]])*(ARQUIVOS[REVISÃO]=LD_01[[#This Row],[REVISÃO]])))</f>
        <v>45838</v>
      </c>
      <c r="L4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M409" s="6" t="str">
        <f>LD_01[[#This Row],[PASTA]]&amp;"/"&amp;LD_01[[#This Row],[ARQUIVO]]</f>
        <v>MSV-163MS-520-NORTE/10.DR/MSV-163MS-520+670-ACE-EXE-DE-H2-002-R01.pdf</v>
      </c>
    </row>
    <row r="410" spans="1:13" ht="28.8" hidden="1" x14ac:dyDescent="0.3">
      <c r="A410" s="6" t="s">
        <v>3200</v>
      </c>
      <c r="B410" s="6" t="str">
        <f>VLOOKUP(LD_01[[#This Row],[DOCUMENTO]],_xlfn.SORTBY(ARQUIVOS_RECEBIDOS!$E$2:$F$5010,ARQUIVOS_RECEBIDOS!$F$2:$F$5010,-1),2,)</f>
        <v>R00</v>
      </c>
      <c r="C410" s="15" t="s">
        <v>5987</v>
      </c>
      <c r="D410" s="6" t="s">
        <v>4314</v>
      </c>
      <c r="E410" s="8" t="s">
        <v>4988</v>
      </c>
      <c r="F410" s="8" t="s">
        <v>4142</v>
      </c>
      <c r="G410" s="6" t="str">
        <f>_xlfn.XLOOKUP(LD_01[[#This Row],[DISCIPLINA]],'CLASSES DE PROJETOS'!$F$3:$F$37,'CLASSES DE PROJETOS'!$C$3:$C$37)</f>
        <v>DR</v>
      </c>
      <c r="H410" t="str">
        <f>_xlfn.TEXTJOIN("/",TRUE,"MSV-163MS-"&amp;LD_01[[#This Row],[TRECHO]],_xlfn.XLOOKUP(LD_01[[#This Row],[SIGLA]],'CLASSES DE PROJETOS'!$C$3:$C$37,'CLASSES DE PROJETOS'!$E$3:$E$37))</f>
        <v>MSV-163MS-520-NORTE/10.DR</v>
      </c>
      <c r="I410" s="6" t="str" cm="1">
        <f t="array" ref="I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J410" s="6" t="str" cm="1">
        <f t="array" ref="J410">_xlfn.TEXTJOIN(", ",TRUE,_xlfn.UNIQUE(_xlfn._xlws.FILTER(ARQUIVOS_RECEBIDOS!$F$2:$F$5010,ARQUIVOS_RECEBIDOS!$E$2:$E$5010=LD_01[[#This Row],[DOCUMENTO]])))</f>
        <v>R00</v>
      </c>
      <c r="K410" s="12" cm="1">
        <f t="array" ref="K410">_xlfn.UNIQUE(_xlfn._xlws.FILTER(ARQUIVOS[DATA RECEBIMENTO],(ARQUIVOS[DOCUMENTO]=LD_01[[#This Row],[DOCUMENTO]])*(ARQUIVOS[REVISÃO]=LD_01[[#This Row],[REVISÃO]])))</f>
        <v>45838</v>
      </c>
      <c r="L4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M410" s="6" t="str">
        <f>LD_01[[#This Row],[PASTA]]&amp;"/"&amp;LD_01[[#This Row],[ARQUIVO]]</f>
        <v>MSV-163MS-520-NORTE/10.DR/MSV-163MS-520+670-ACE-EXE-DE-H2-101-R00.pdf</v>
      </c>
    </row>
    <row r="411" spans="1:13" hidden="1" x14ac:dyDescent="0.3">
      <c r="A411" s="6" t="s">
        <v>3207</v>
      </c>
      <c r="B411" s="6" t="str">
        <f>VLOOKUP(LD_01[[#This Row],[DOCUMENTO]],_xlfn.SORTBY(ARQUIVOS_RECEBIDOS!$E$2:$F$5010,ARQUIVOS_RECEBIDOS!$F$2:$F$5010,-1),2,)</f>
        <v>R01</v>
      </c>
      <c r="C411" s="15" t="s">
        <v>5987</v>
      </c>
      <c r="D411" s="6" t="s">
        <v>4314</v>
      </c>
      <c r="E411" s="8" t="s">
        <v>4980</v>
      </c>
      <c r="F411" s="8" t="s">
        <v>4143</v>
      </c>
      <c r="G411" s="6" t="str">
        <f>_xlfn.XLOOKUP(LD_01[[#This Row],[DISCIPLINA]],'CLASSES DE PROJETOS'!$F$3:$F$37,'CLASSES DE PROJETOS'!$C$3:$C$37)</f>
        <v>PV</v>
      </c>
      <c r="H411" t="str">
        <f>_xlfn.TEXTJOIN("/",TRUE,"MSV-163MS-"&amp;LD_01[[#This Row],[TRECHO]],_xlfn.XLOOKUP(LD_01[[#This Row],[SIGLA]],'CLASSES DE PROJETOS'!$C$3:$C$37,'CLASSES DE PROJETOS'!$E$3:$E$37))</f>
        <v>MSV-163MS-520-NORTE/28.PV</v>
      </c>
      <c r="I411" s="6" t="str" cm="1">
        <f t="array" ref="I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J411" s="6" t="str" cm="1">
        <f t="array" ref="J411">_xlfn.TEXTJOIN(", ",TRUE,_xlfn.UNIQUE(_xlfn._xlws.FILTER(ARQUIVOS_RECEBIDOS!$F$2:$F$5010,ARQUIVOS_RECEBIDOS!$E$2:$E$5010=LD_01[[#This Row],[DOCUMENTO]])))</f>
        <v>R01</v>
      </c>
      <c r="K411" s="12" cm="1">
        <f t="array" ref="K411">_xlfn.UNIQUE(_xlfn._xlws.FILTER(ARQUIVOS[DATA RECEBIMENTO],(ARQUIVOS[DOCUMENTO]=LD_01[[#This Row],[DOCUMENTO]])*(ARQUIVOS[REVISÃO]=LD_01[[#This Row],[REVISÃO]])))</f>
        <v>45838</v>
      </c>
      <c r="L4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M411" s="6" t="str">
        <f>LD_01[[#This Row],[PASTA]]&amp;"/"&amp;LD_01[[#This Row],[ARQUIVO]]</f>
        <v>MSV-163MS-520-NORTE/28.PV/MSV-163MS-520+670-ACE-EXE-DE-I2-001-R01.pdf</v>
      </c>
    </row>
    <row r="412" spans="1:13" hidden="1" x14ac:dyDescent="0.3">
      <c r="A412" s="6" t="s">
        <v>3208</v>
      </c>
      <c r="B412" s="6" t="str">
        <f>VLOOKUP(LD_01[[#This Row],[DOCUMENTO]],_xlfn.SORTBY(ARQUIVOS_RECEBIDOS!$E$2:$F$5010,ARQUIVOS_RECEBIDOS!$F$2:$F$5010,-1),2,)</f>
        <v>R02</v>
      </c>
      <c r="C412" s="15" t="s">
        <v>5987</v>
      </c>
      <c r="D412" s="6" t="s">
        <v>4314</v>
      </c>
      <c r="E412" s="8" t="s">
        <v>4990</v>
      </c>
      <c r="F412" s="8" t="s">
        <v>4143</v>
      </c>
      <c r="G412" s="6" t="str">
        <f>_xlfn.XLOOKUP(LD_01[[#This Row],[DISCIPLINA]],'CLASSES DE PROJETOS'!$F$3:$F$37,'CLASSES DE PROJETOS'!$C$3:$C$37)</f>
        <v>PV</v>
      </c>
      <c r="H412" t="str">
        <f>_xlfn.TEXTJOIN("/",TRUE,"MSV-163MS-"&amp;LD_01[[#This Row],[TRECHO]],_xlfn.XLOOKUP(LD_01[[#This Row],[SIGLA]],'CLASSES DE PROJETOS'!$C$3:$C$37,'CLASSES DE PROJETOS'!$E$3:$E$37))</f>
        <v>MSV-163MS-520-NORTE/28.PV</v>
      </c>
      <c r="I412" s="6" t="str" cm="1">
        <f t="array" ref="I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J412" s="6" t="str" cm="1">
        <f t="array" ref="J412">_xlfn.TEXTJOIN(", ",TRUE,_xlfn.UNIQUE(_xlfn._xlws.FILTER(ARQUIVOS_RECEBIDOS!$F$2:$F$5010,ARQUIVOS_RECEBIDOS!$E$2:$E$5010=LD_01[[#This Row],[DOCUMENTO]])))</f>
        <v>R02</v>
      </c>
      <c r="K412" s="12" cm="1">
        <f t="array" ref="K412">_xlfn.UNIQUE(_xlfn._xlws.FILTER(ARQUIVOS[DATA RECEBIMENTO],(ARQUIVOS[DOCUMENTO]=LD_01[[#This Row],[DOCUMENTO]])*(ARQUIVOS[REVISÃO]=LD_01[[#This Row],[REVISÃO]])))</f>
        <v>45838</v>
      </c>
      <c r="L4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M412" s="6" t="str">
        <f>LD_01[[#This Row],[PASTA]]&amp;"/"&amp;LD_01[[#This Row],[ARQUIVO]]</f>
        <v>MSV-163MS-520-NORTE/28.PV/MSV-163MS-520+670-ACE-EXE-DE-I2-002-R02.pdf</v>
      </c>
    </row>
    <row r="413" spans="1:13" hidden="1" x14ac:dyDescent="0.3">
      <c r="A413" s="6" t="s">
        <v>3209</v>
      </c>
      <c r="B413" s="6" t="str">
        <f>VLOOKUP(LD_01[[#This Row],[DOCUMENTO]],_xlfn.SORTBY(ARQUIVOS_RECEBIDOS!$E$2:$F$5010,ARQUIVOS_RECEBIDOS!$F$2:$F$5010,-1),2,)</f>
        <v>R02</v>
      </c>
      <c r="C413" s="15" t="s">
        <v>5987</v>
      </c>
      <c r="D413" s="6" t="s">
        <v>4314</v>
      </c>
      <c r="E413" s="8" t="s">
        <v>4991</v>
      </c>
      <c r="F413" s="8" t="s">
        <v>4143</v>
      </c>
      <c r="G413" s="6" t="str">
        <f>_xlfn.XLOOKUP(LD_01[[#This Row],[DISCIPLINA]],'CLASSES DE PROJETOS'!$F$3:$F$37,'CLASSES DE PROJETOS'!$C$3:$C$37)</f>
        <v>PV</v>
      </c>
      <c r="H413" t="str">
        <f>_xlfn.TEXTJOIN("/",TRUE,"MSV-163MS-"&amp;LD_01[[#This Row],[TRECHO]],_xlfn.XLOOKUP(LD_01[[#This Row],[SIGLA]],'CLASSES DE PROJETOS'!$C$3:$C$37,'CLASSES DE PROJETOS'!$E$3:$E$37))</f>
        <v>MSV-163MS-520-NORTE/28.PV</v>
      </c>
      <c r="I413" s="6" t="str" cm="1">
        <f t="array" ref="I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J413" s="6" t="str" cm="1">
        <f t="array" ref="J413">_xlfn.TEXTJOIN(", ",TRUE,_xlfn.UNIQUE(_xlfn._xlws.FILTER(ARQUIVOS_RECEBIDOS!$F$2:$F$5010,ARQUIVOS_RECEBIDOS!$E$2:$E$5010=LD_01[[#This Row],[DOCUMENTO]])))</f>
        <v>R02</v>
      </c>
      <c r="K413" s="12" cm="1">
        <f t="array" ref="K413">_xlfn.UNIQUE(_xlfn._xlws.FILTER(ARQUIVOS[DATA RECEBIMENTO],(ARQUIVOS[DOCUMENTO]=LD_01[[#This Row],[DOCUMENTO]])*(ARQUIVOS[REVISÃO]=LD_01[[#This Row],[REVISÃO]])))</f>
        <v>45838</v>
      </c>
      <c r="L4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M413" s="6" t="str">
        <f>LD_01[[#This Row],[PASTA]]&amp;"/"&amp;LD_01[[#This Row],[ARQUIVO]]</f>
        <v>MSV-163MS-520-NORTE/28.PV/MSV-163MS-520+670-ACE-EXE-DE-I2-003-R02.pdf</v>
      </c>
    </row>
    <row r="414" spans="1:13" hidden="1" x14ac:dyDescent="0.3">
      <c r="A414" s="6" t="s">
        <v>3203</v>
      </c>
      <c r="B414" s="6" t="str">
        <f>VLOOKUP(LD_01[[#This Row],[DOCUMENTO]],_xlfn.SORTBY(ARQUIVOS_RECEBIDOS!$E$2:$F$5010,ARQUIVOS_RECEBIDOS!$F$2:$F$5010,-1),2,)</f>
        <v>R02</v>
      </c>
      <c r="C414" s="15" t="s">
        <v>5987</v>
      </c>
      <c r="D414" s="6" t="s">
        <v>4314</v>
      </c>
      <c r="E414" s="8" t="s">
        <v>4087</v>
      </c>
      <c r="F414" s="8" t="s">
        <v>4331</v>
      </c>
      <c r="G414" s="6" t="str">
        <f>_xlfn.XLOOKUP(LD_01[[#This Row],[DISCIPLINA]],'CLASSES DE PROJETOS'!$F$3:$F$37,'CLASSES DE PROJETOS'!$C$3:$C$37)</f>
        <v>SI</v>
      </c>
      <c r="H414" t="str">
        <f>_xlfn.TEXTJOIN("/",TRUE,"MSV-163MS-"&amp;LD_01[[#This Row],[TRECHO]],_xlfn.XLOOKUP(LD_01[[#This Row],[SIGLA]],'CLASSES DE PROJETOS'!$C$3:$C$37,'CLASSES DE PROJETOS'!$E$3:$E$37))</f>
        <v>MSV-163MS-520-NORTE/31.SI</v>
      </c>
      <c r="I414" s="6" t="str" cm="1">
        <f t="array" ref="I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J414" s="6" t="str" cm="1">
        <f t="array" ref="J414">_xlfn.TEXTJOIN(", ",TRUE,_xlfn.UNIQUE(_xlfn._xlws.FILTER(ARQUIVOS_RECEBIDOS!$F$2:$F$5010,ARQUIVOS_RECEBIDOS!$E$2:$E$5010=LD_01[[#This Row],[DOCUMENTO]])))</f>
        <v>R02</v>
      </c>
      <c r="K414" s="12" cm="1">
        <f t="array" ref="K414">_xlfn.UNIQUE(_xlfn._xlws.FILTER(ARQUIVOS[DATA RECEBIMENTO],(ARQUIVOS[DOCUMENTO]=LD_01[[#This Row],[DOCUMENTO]])*(ARQUIVOS[REVISÃO]=LD_01[[#This Row],[REVISÃO]])))</f>
        <v>45838</v>
      </c>
      <c r="L4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M414" s="6" t="str">
        <f>LD_01[[#This Row],[PASTA]]&amp;"/"&amp;LD_01[[#This Row],[ARQUIVO]]</f>
        <v>MSV-163MS-520-NORTE/31.SI/MSV-163MS-520+670-ACE-EXE-DE-J1-001-R02.pdf</v>
      </c>
    </row>
    <row r="415" spans="1:13" hidden="1" x14ac:dyDescent="0.3">
      <c r="A415" s="6" t="s">
        <v>3204</v>
      </c>
      <c r="B415" s="6" t="str">
        <f>VLOOKUP(LD_01[[#This Row],[DOCUMENTO]],_xlfn.SORTBY(ARQUIVOS_RECEBIDOS!$E$2:$F$5010,ARQUIVOS_RECEBIDOS!$F$2:$F$5010,-1),2,)</f>
        <v>R00</v>
      </c>
      <c r="C415" s="15" t="s">
        <v>5987</v>
      </c>
      <c r="D415" s="6" t="s">
        <v>4314</v>
      </c>
      <c r="E415" s="8" t="s">
        <v>4985</v>
      </c>
      <c r="F415" s="8" t="s">
        <v>4331</v>
      </c>
      <c r="G415" s="6" t="str">
        <f>_xlfn.XLOOKUP(LD_01[[#This Row],[DISCIPLINA]],'CLASSES DE PROJETOS'!$F$3:$F$37,'CLASSES DE PROJETOS'!$C$3:$C$37)</f>
        <v>SI</v>
      </c>
      <c r="H415" t="str">
        <f>_xlfn.TEXTJOIN("/",TRUE,"MSV-163MS-"&amp;LD_01[[#This Row],[TRECHO]],_xlfn.XLOOKUP(LD_01[[#This Row],[SIGLA]],'CLASSES DE PROJETOS'!$C$3:$C$37,'CLASSES DE PROJETOS'!$E$3:$E$37))</f>
        <v>MSV-163MS-520-NORTE/31.SI</v>
      </c>
      <c r="I415" s="6" t="str" cm="1">
        <f t="array" ref="I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J415" s="6" t="str" cm="1">
        <f t="array" ref="J415">_xlfn.TEXTJOIN(", ",TRUE,_xlfn.UNIQUE(_xlfn._xlws.FILTER(ARQUIVOS_RECEBIDOS!$F$2:$F$5010,ARQUIVOS_RECEBIDOS!$E$2:$E$5010=LD_01[[#This Row],[DOCUMENTO]])))</f>
        <v>R00</v>
      </c>
      <c r="K415" s="12" cm="1">
        <f t="array" ref="K415">_xlfn.UNIQUE(_xlfn._xlws.FILTER(ARQUIVOS[DATA RECEBIMENTO],(ARQUIVOS[DOCUMENTO]=LD_01[[#This Row],[DOCUMENTO]])*(ARQUIVOS[REVISÃO]=LD_01[[#This Row],[REVISÃO]])))</f>
        <v>45838</v>
      </c>
      <c r="L4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M415" s="6" t="str">
        <f>LD_01[[#This Row],[PASTA]]&amp;"/"&amp;LD_01[[#This Row],[ARQUIVO]]</f>
        <v>MSV-163MS-520-NORTE/31.SI/MSV-163MS-520+670-ACE-EXE-DE-J1-002-R00.pdf</v>
      </c>
    </row>
    <row r="416" spans="1:13" hidden="1" x14ac:dyDescent="0.3">
      <c r="A416" s="6" t="s">
        <v>3205</v>
      </c>
      <c r="B416" s="6" t="str">
        <f>VLOOKUP(LD_01[[#This Row],[DOCUMENTO]],_xlfn.SORTBY(ARQUIVOS_RECEBIDOS!$E$2:$F$5010,ARQUIVOS_RECEBIDOS!$F$2:$F$5010,-1),2,)</f>
        <v>R00</v>
      </c>
      <c r="C416" s="15" t="s">
        <v>5987</v>
      </c>
      <c r="D416" s="6" t="s">
        <v>4314</v>
      </c>
      <c r="E416" s="8" t="s">
        <v>4986</v>
      </c>
      <c r="F416" s="8" t="s">
        <v>4331</v>
      </c>
      <c r="G416" s="6" t="str">
        <f>_xlfn.XLOOKUP(LD_01[[#This Row],[DISCIPLINA]],'CLASSES DE PROJETOS'!$F$3:$F$37,'CLASSES DE PROJETOS'!$C$3:$C$37)</f>
        <v>SI</v>
      </c>
      <c r="H416" t="str">
        <f>_xlfn.TEXTJOIN("/",TRUE,"MSV-163MS-"&amp;LD_01[[#This Row],[TRECHO]],_xlfn.XLOOKUP(LD_01[[#This Row],[SIGLA]],'CLASSES DE PROJETOS'!$C$3:$C$37,'CLASSES DE PROJETOS'!$E$3:$E$37))</f>
        <v>MSV-163MS-520-NORTE/31.SI</v>
      </c>
      <c r="I416" s="6" t="str" cm="1">
        <f t="array" ref="I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J416" s="6" t="str" cm="1">
        <f t="array" ref="J416">_xlfn.TEXTJOIN(", ",TRUE,_xlfn.UNIQUE(_xlfn._xlws.FILTER(ARQUIVOS_RECEBIDOS!$F$2:$F$5010,ARQUIVOS_RECEBIDOS!$E$2:$E$5010=LD_01[[#This Row],[DOCUMENTO]])))</f>
        <v>R00</v>
      </c>
      <c r="K416" s="12" cm="1">
        <f t="array" ref="K416">_xlfn.UNIQUE(_xlfn._xlws.FILTER(ARQUIVOS[DATA RECEBIMENTO],(ARQUIVOS[DOCUMENTO]=LD_01[[#This Row],[DOCUMENTO]])*(ARQUIVOS[REVISÃO]=LD_01[[#This Row],[REVISÃO]])))</f>
        <v>45838</v>
      </c>
      <c r="L4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M416" s="6" t="str">
        <f>LD_01[[#This Row],[PASTA]]&amp;"/"&amp;LD_01[[#This Row],[ARQUIVO]]</f>
        <v>MSV-163MS-520-NORTE/31.SI/MSV-163MS-520+670-ACE-EXE-DE-J1-003-R00.pdf</v>
      </c>
    </row>
    <row r="417" spans="1:13" hidden="1" x14ac:dyDescent="0.3">
      <c r="A417" s="6" t="s">
        <v>3206</v>
      </c>
      <c r="B417" s="6" t="str">
        <f>VLOOKUP(LD_01[[#This Row],[DOCUMENTO]],_xlfn.SORTBY(ARQUIVOS_RECEBIDOS!$E$2:$F$5010,ARQUIVOS_RECEBIDOS!$F$2:$F$5010,-1),2,)</f>
        <v>R00</v>
      </c>
      <c r="C417" s="15" t="s">
        <v>5987</v>
      </c>
      <c r="D417" s="6" t="s">
        <v>4314</v>
      </c>
      <c r="E417" s="8" t="s">
        <v>4987</v>
      </c>
      <c r="F417" s="8" t="s">
        <v>4331</v>
      </c>
      <c r="G417" s="6" t="str">
        <f>_xlfn.XLOOKUP(LD_01[[#This Row],[DISCIPLINA]],'CLASSES DE PROJETOS'!$F$3:$F$37,'CLASSES DE PROJETOS'!$C$3:$C$37)</f>
        <v>SI</v>
      </c>
      <c r="H417" t="str">
        <f>_xlfn.TEXTJOIN("/",TRUE,"MSV-163MS-"&amp;LD_01[[#This Row],[TRECHO]],_xlfn.XLOOKUP(LD_01[[#This Row],[SIGLA]],'CLASSES DE PROJETOS'!$C$3:$C$37,'CLASSES DE PROJETOS'!$E$3:$E$37))</f>
        <v>MSV-163MS-520-NORTE/31.SI</v>
      </c>
      <c r="I417" s="6" t="str" cm="1">
        <f t="array" ref="I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J417" s="6" t="str" cm="1">
        <f t="array" ref="J417">_xlfn.TEXTJOIN(", ",TRUE,_xlfn.UNIQUE(_xlfn._xlws.FILTER(ARQUIVOS_RECEBIDOS!$F$2:$F$5010,ARQUIVOS_RECEBIDOS!$E$2:$E$5010=LD_01[[#This Row],[DOCUMENTO]])))</f>
        <v>R00</v>
      </c>
      <c r="K417" s="12" cm="1">
        <f t="array" ref="K417">_xlfn.UNIQUE(_xlfn._xlws.FILTER(ARQUIVOS[DATA RECEBIMENTO],(ARQUIVOS[DOCUMENTO]=LD_01[[#This Row],[DOCUMENTO]])*(ARQUIVOS[REVISÃO]=LD_01[[#This Row],[REVISÃO]])))</f>
        <v>45838</v>
      </c>
      <c r="L4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M417" s="6" t="str">
        <f>LD_01[[#This Row],[PASTA]]&amp;"/"&amp;LD_01[[#This Row],[ARQUIVO]]</f>
        <v>MSV-163MS-520-NORTE/31.SI/MSV-163MS-520+670-ACE-EXE-DE-J1-004-R00.pdf</v>
      </c>
    </row>
    <row r="418" spans="1:13" ht="43.2" hidden="1" x14ac:dyDescent="0.3">
      <c r="A418" s="6" t="s">
        <v>3215</v>
      </c>
      <c r="B418" s="6" t="str">
        <f>VLOOKUP(LD_01[[#This Row],[DOCUMENTO]],_xlfn.SORTBY(ARQUIVOS_RECEBIDOS!$E$2:$F$5010,ARQUIVOS_RECEBIDOS!$F$2:$F$5010,-1),2,)</f>
        <v>R01</v>
      </c>
      <c r="C418" s="15" t="s">
        <v>5987</v>
      </c>
      <c r="D418" s="6" t="s">
        <v>4314</v>
      </c>
      <c r="E418" s="8" t="s">
        <v>4087</v>
      </c>
      <c r="F418" s="8" t="s">
        <v>4333</v>
      </c>
      <c r="G418" s="6" t="str">
        <f>_xlfn.XLOOKUP(LD_01[[#This Row],[DISCIPLINA]],'CLASSES DE PROJETOS'!$F$3:$F$37,'CLASSES DE PROJETOS'!$C$3:$C$37)</f>
        <v>IN</v>
      </c>
      <c r="H418" t="str">
        <f>_xlfn.TEXTJOIN("/",TRUE,"MSV-163MS-"&amp;LD_01[[#This Row],[TRECHO]],_xlfn.XLOOKUP(LD_01[[#This Row],[SIGLA]],'CLASSES DE PROJETOS'!$C$3:$C$37,'CLASSES DE PROJETOS'!$E$3:$E$37))</f>
        <v>MSV-163MS-520-NORTE/23.IN</v>
      </c>
      <c r="I418" s="6" t="str" cm="1">
        <f t="array" ref="I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J418" s="6" t="str" cm="1">
        <f t="array" ref="J418">_xlfn.TEXTJOIN(", ",TRUE,_xlfn.UNIQUE(_xlfn._xlws.FILTER(ARQUIVOS_RECEBIDOS!$F$2:$F$5010,ARQUIVOS_RECEBIDOS!$E$2:$E$5010=LD_01[[#This Row],[DOCUMENTO]])))</f>
        <v>R01</v>
      </c>
      <c r="K418" s="12" cm="1">
        <f t="array" ref="K418">_xlfn.UNIQUE(_xlfn._xlws.FILTER(ARQUIVOS[DATA RECEBIMENTO],(ARQUIVOS[DOCUMENTO]=LD_01[[#This Row],[DOCUMENTO]])*(ARQUIVOS[REVISÃO]=LD_01[[#This Row],[REVISÃO]])))</f>
        <v>45838</v>
      </c>
      <c r="L4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M418" s="6" t="str">
        <f>LD_01[[#This Row],[PASTA]]&amp;"/"&amp;LD_01[[#This Row],[ARQUIVO]]</f>
        <v>MSV-163MS-520-NORTE/23.IN/MSV-163MS-520+670-ACE-EXE-DE-M1-001-R01.pdf</v>
      </c>
    </row>
    <row r="419" spans="1:13" hidden="1" x14ac:dyDescent="0.3">
      <c r="A419" s="6" t="s">
        <v>3220</v>
      </c>
      <c r="B419" s="6" t="str">
        <f>VLOOKUP(LD_01[[#This Row],[DOCUMENTO]],_xlfn.SORTBY(ARQUIVOS_RECEBIDOS!$E$2:$F$5010,ARQUIVOS_RECEBIDOS!$F$2:$F$5010,-1),2,)</f>
        <v>R01</v>
      </c>
      <c r="C419" s="15" t="s">
        <v>5987</v>
      </c>
      <c r="D419" s="6" t="s">
        <v>4314</v>
      </c>
      <c r="E419" s="8" t="s">
        <v>4087</v>
      </c>
      <c r="F419" s="8" t="s">
        <v>4334</v>
      </c>
      <c r="G419" s="6" t="str">
        <f>_xlfn.XLOOKUP(LD_01[[#This Row],[DISCIPLINA]],'CLASSES DE PROJETOS'!$F$3:$F$37,'CLASSES DE PROJETOS'!$C$3:$C$37)</f>
        <v>PA</v>
      </c>
      <c r="H419" t="str">
        <f>_xlfn.TEXTJOIN("/",TRUE,"MSV-163MS-"&amp;LD_01[[#This Row],[TRECHO]],_xlfn.XLOOKUP(LD_01[[#This Row],[SIGLA]],'CLASSES DE PROJETOS'!$C$3:$C$37,'CLASSES DE PROJETOS'!$E$3:$E$37))</f>
        <v>MSV-163MS-520-NORTE/27.PA</v>
      </c>
      <c r="I419" s="6" t="str" cm="1">
        <f t="array" ref="I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J419" s="6" t="str" cm="1">
        <f t="array" ref="J419">_xlfn.TEXTJOIN(", ",TRUE,_xlfn.UNIQUE(_xlfn._xlws.FILTER(ARQUIVOS_RECEBIDOS!$F$2:$F$5010,ARQUIVOS_RECEBIDOS!$E$2:$E$5010=LD_01[[#This Row],[DOCUMENTO]])))</f>
        <v>R01</v>
      </c>
      <c r="K419" s="12" cm="1">
        <f t="array" ref="K419">_xlfn.UNIQUE(_xlfn._xlws.FILTER(ARQUIVOS[DATA RECEBIMENTO],(ARQUIVOS[DOCUMENTO]=LD_01[[#This Row],[DOCUMENTO]])*(ARQUIVOS[REVISÃO]=LD_01[[#This Row],[REVISÃO]])))</f>
        <v>45838</v>
      </c>
      <c r="L4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M419" s="6" t="str">
        <f>LD_01[[#This Row],[PASTA]]&amp;"/"&amp;LD_01[[#This Row],[ARQUIVO]]</f>
        <v>MSV-163MS-520-NORTE/27.PA/MSV-163MS-520+670-ACE-EXE-DE-N2-001-R01.pdf</v>
      </c>
    </row>
    <row r="420" spans="1:13" ht="28.8" hidden="1" x14ac:dyDescent="0.3">
      <c r="A420" s="6" t="s">
        <v>3217</v>
      </c>
      <c r="B420" s="6" t="str">
        <f>VLOOKUP(LD_01[[#This Row],[DOCUMENTO]],_xlfn.SORTBY(ARQUIVOS_RECEBIDOS!$E$2:$F$5010,ARQUIVOS_RECEBIDOS!$F$2:$F$5010,-1),2,)</f>
        <v>R01</v>
      </c>
      <c r="C420" s="15" t="s">
        <v>5987</v>
      </c>
      <c r="D420" s="6" t="s">
        <v>4314</v>
      </c>
      <c r="E420" s="8" t="s">
        <v>4087</v>
      </c>
      <c r="F420" s="8" t="s">
        <v>4144</v>
      </c>
      <c r="G420" s="6" t="str">
        <f>_xlfn.XLOOKUP(LD_01[[#This Row],[DISCIPLINA]],'CLASSES DE PROJETOS'!$F$3:$F$37,'CLASSES DE PROJETOS'!$C$3:$C$37)</f>
        <v>DV</v>
      </c>
      <c r="H420" t="str">
        <f>_xlfn.TEXTJOIN("/",TRUE,"MSV-163MS-"&amp;LD_01[[#This Row],[TRECHO]],_xlfn.XLOOKUP(LD_01[[#This Row],[SIGLA]],'CLASSES DE PROJETOS'!$C$3:$C$37,'CLASSES DE PROJETOS'!$E$3:$E$37))</f>
        <v>MSV-163MS-520-NORTE/12.DV</v>
      </c>
      <c r="I420" s="6" t="str" cm="1">
        <f t="array" ref="I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J420" s="6" t="str" cm="1">
        <f t="array" ref="J420">_xlfn.TEXTJOIN(", ",TRUE,_xlfn.UNIQUE(_xlfn._xlws.FILTER(ARQUIVOS_RECEBIDOS!$F$2:$F$5010,ARQUIVOS_RECEBIDOS!$E$2:$E$5010=LD_01[[#This Row],[DOCUMENTO]])))</f>
        <v>R01</v>
      </c>
      <c r="K420" s="12" cm="1">
        <f t="array" ref="K420">_xlfn.UNIQUE(_xlfn._xlws.FILTER(ARQUIVOS[DATA RECEBIMENTO],(ARQUIVOS[DOCUMENTO]=LD_01[[#This Row],[DOCUMENTO]])*(ARQUIVOS[REVISÃO]=LD_01[[#This Row],[REVISÃO]])))</f>
        <v>45838</v>
      </c>
      <c r="L4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M420" s="6" t="str">
        <f>LD_01[[#This Row],[PASTA]]&amp;"/"&amp;LD_01[[#This Row],[ARQUIVO]]</f>
        <v>MSV-163MS-520-NORTE/12.DV/MSV-163MS-520+670-ACE-EXE-DE-O2-001-R01.pdf</v>
      </c>
    </row>
    <row r="421" spans="1:13" ht="28.8" hidden="1" x14ac:dyDescent="0.3">
      <c r="A421" s="6" t="s">
        <v>3218</v>
      </c>
      <c r="B421" s="6" t="str">
        <f>VLOOKUP(LD_01[[#This Row],[DOCUMENTO]],_xlfn.SORTBY(ARQUIVOS_RECEBIDOS!$E$2:$F$5010,ARQUIVOS_RECEBIDOS!$F$2:$F$5010,-1),2,)</f>
        <v>R00</v>
      </c>
      <c r="C421" s="15" t="s">
        <v>5987</v>
      </c>
      <c r="D421" s="6" t="s">
        <v>4314</v>
      </c>
      <c r="E421" s="8" t="s">
        <v>4089</v>
      </c>
      <c r="F421" s="8" t="s">
        <v>4144</v>
      </c>
      <c r="G421" s="6" t="str">
        <f>_xlfn.XLOOKUP(LD_01[[#This Row],[DISCIPLINA]],'CLASSES DE PROJETOS'!$F$3:$F$37,'CLASSES DE PROJETOS'!$C$3:$C$37)</f>
        <v>DV</v>
      </c>
      <c r="H421" t="str">
        <f>_xlfn.TEXTJOIN("/",TRUE,"MSV-163MS-"&amp;LD_01[[#This Row],[TRECHO]],_xlfn.XLOOKUP(LD_01[[#This Row],[SIGLA]],'CLASSES DE PROJETOS'!$C$3:$C$37,'CLASSES DE PROJETOS'!$E$3:$E$37))</f>
        <v>MSV-163MS-520-NORTE/12.DV</v>
      </c>
      <c r="I421" s="6" t="str" cm="1">
        <f t="array" ref="I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J421" s="6" t="str" cm="1">
        <f t="array" ref="J421">_xlfn.TEXTJOIN(", ",TRUE,_xlfn.UNIQUE(_xlfn._xlws.FILTER(ARQUIVOS_RECEBIDOS!$F$2:$F$5010,ARQUIVOS_RECEBIDOS!$E$2:$E$5010=LD_01[[#This Row],[DOCUMENTO]])))</f>
        <v>R00</v>
      </c>
      <c r="K421" s="12" cm="1">
        <f t="array" ref="K421">_xlfn.UNIQUE(_xlfn._xlws.FILTER(ARQUIVOS[DATA RECEBIMENTO],(ARQUIVOS[DOCUMENTO]=LD_01[[#This Row],[DOCUMENTO]])*(ARQUIVOS[REVISÃO]=LD_01[[#This Row],[REVISÃO]])))</f>
        <v>45838</v>
      </c>
      <c r="L4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M421" s="6" t="str">
        <f>LD_01[[#This Row],[PASTA]]&amp;"/"&amp;LD_01[[#This Row],[ARQUIVO]]</f>
        <v>MSV-163MS-520-NORTE/12.DV/MSV-163MS-520+670-ACE-EXE-DE-O2-002-R00.pdf</v>
      </c>
    </row>
    <row r="422" spans="1:13" ht="28.8" hidden="1" x14ac:dyDescent="0.3">
      <c r="A422" s="6" t="s">
        <v>3197</v>
      </c>
      <c r="B422" s="6" t="str">
        <f>VLOOKUP(LD_01[[#This Row],[DOCUMENTO]],_xlfn.SORTBY(ARQUIVOS_RECEBIDOS!$E$2:$F$5010,ARQUIVOS_RECEBIDOS!$F$2:$F$5010,-1),2,)</f>
        <v>R03</v>
      </c>
      <c r="C422" s="15" t="s">
        <v>5987</v>
      </c>
      <c r="D422" s="6" t="s">
        <v>4314</v>
      </c>
      <c r="E422" s="8" t="s">
        <v>4323</v>
      </c>
      <c r="F422" s="8" t="s">
        <v>4330</v>
      </c>
      <c r="G422" s="6" t="str">
        <f>_xlfn.XLOOKUP(LD_01[[#This Row],[DISCIPLINA]],'CLASSES DE PROJETOS'!$F$3:$F$37,'CLASSES DE PROJETOS'!$C$3:$C$37)</f>
        <v>TE</v>
      </c>
      <c r="H422" t="str">
        <f>_xlfn.TEXTJOIN("/",TRUE,"MSV-163MS-"&amp;LD_01[[#This Row],[TRECHO]],_xlfn.XLOOKUP(LD_01[[#This Row],[SIGLA]],'CLASSES DE PROJETOS'!$C$3:$C$37,'CLASSES DE PROJETOS'!$E$3:$E$37))</f>
        <v>MSV-163MS-520-NORTE/32.TE</v>
      </c>
      <c r="I422" s="6" t="str" cm="1">
        <f t="array" ref="I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J422" s="6" t="str" cm="1">
        <f t="array" ref="J422">_xlfn.TEXTJOIN(", ",TRUE,_xlfn.UNIQUE(_xlfn._xlws.FILTER(ARQUIVOS_RECEBIDOS!$F$2:$F$5010,ARQUIVOS_RECEBIDOS!$E$2:$E$5010=LD_01[[#This Row],[DOCUMENTO]])))</f>
        <v>R03</v>
      </c>
      <c r="K422" s="12" cm="1">
        <f t="array" ref="K422">_xlfn.UNIQUE(_xlfn._xlws.FILTER(ARQUIVOS[DATA RECEBIMENTO],(ARQUIVOS[DOCUMENTO]=LD_01[[#This Row],[DOCUMENTO]])*(ARQUIVOS[REVISÃO]=LD_01[[#This Row],[REVISÃO]])))</f>
        <v>45838</v>
      </c>
      <c r="L4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M422" s="6" t="str">
        <f>LD_01[[#This Row],[PASTA]]&amp;"/"&amp;LD_01[[#This Row],[ARQUIVO]]</f>
        <v>MSV-163MS-520-NORTE/32.TE/MSV-163MS-520+670-ACE-EXE-MC-G1-001-R03.pdf</v>
      </c>
    </row>
    <row r="423" spans="1:13" ht="28.8" hidden="1" x14ac:dyDescent="0.3">
      <c r="A423" s="6" t="s">
        <v>3201</v>
      </c>
      <c r="B423" s="6" t="str">
        <f>VLOOKUP(LD_01[[#This Row],[DOCUMENTO]],_xlfn.SORTBY(ARQUIVOS_RECEBIDOS!$E$2:$F$5010,ARQUIVOS_RECEBIDOS!$F$2:$F$5010,-1),2,)</f>
        <v>R01</v>
      </c>
      <c r="C423" s="15" t="s">
        <v>5987</v>
      </c>
      <c r="D423" s="6" t="s">
        <v>4314</v>
      </c>
      <c r="E423" s="8" t="s">
        <v>4975</v>
      </c>
      <c r="F423" s="8" t="s">
        <v>4142</v>
      </c>
      <c r="G423" s="6" t="str">
        <f>_xlfn.XLOOKUP(LD_01[[#This Row],[DISCIPLINA]],'CLASSES DE PROJETOS'!$F$3:$F$37,'CLASSES DE PROJETOS'!$C$3:$C$37)</f>
        <v>DR</v>
      </c>
      <c r="H423" t="str">
        <f>_xlfn.TEXTJOIN("/",TRUE,"MSV-163MS-"&amp;LD_01[[#This Row],[TRECHO]],_xlfn.XLOOKUP(LD_01[[#This Row],[SIGLA]],'CLASSES DE PROJETOS'!$C$3:$C$37,'CLASSES DE PROJETOS'!$E$3:$E$37))</f>
        <v>MSV-163MS-520-NORTE/10.DR</v>
      </c>
      <c r="I423" s="6" t="str" cm="1">
        <f t="array" ref="I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J423" s="6" t="str" cm="1">
        <f t="array" ref="J423">_xlfn.TEXTJOIN(", ",TRUE,_xlfn.UNIQUE(_xlfn._xlws.FILTER(ARQUIVOS_RECEBIDOS!$F$2:$F$5010,ARQUIVOS_RECEBIDOS!$E$2:$E$5010=LD_01[[#This Row],[DOCUMENTO]])))</f>
        <v>R01</v>
      </c>
      <c r="K423" s="12" cm="1">
        <f t="array" ref="K423">_xlfn.UNIQUE(_xlfn._xlws.FILTER(ARQUIVOS[DATA RECEBIMENTO],(ARQUIVOS[DOCUMENTO]=LD_01[[#This Row],[DOCUMENTO]])*(ARQUIVOS[REVISÃO]=LD_01[[#This Row],[REVISÃO]])))</f>
        <v>45838</v>
      </c>
      <c r="L4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M423" s="6" t="str">
        <f>LD_01[[#This Row],[PASTA]]&amp;"/"&amp;LD_01[[#This Row],[ARQUIVO]]</f>
        <v>MSV-163MS-520-NORTE/10.DR/MSV-163MS-520+670-ACE-EXE-MC-H2-001-R01.pdf</v>
      </c>
    </row>
    <row r="424" spans="1:13" ht="28.8" hidden="1" x14ac:dyDescent="0.3">
      <c r="A424" s="6" t="s">
        <v>3202</v>
      </c>
      <c r="B424" s="6" t="str">
        <f>VLOOKUP(LD_01[[#This Row],[DOCUMENTO]],_xlfn.SORTBY(ARQUIVOS_RECEBIDOS!$E$2:$F$5010,ARQUIVOS_RECEBIDOS!$F$2:$F$5010,-1),2,)</f>
        <v>R01</v>
      </c>
      <c r="C424" s="15" t="s">
        <v>5987</v>
      </c>
      <c r="D424" s="6" t="s">
        <v>4314</v>
      </c>
      <c r="E424" s="8" t="s">
        <v>4976</v>
      </c>
      <c r="F424" s="8" t="s">
        <v>4142</v>
      </c>
      <c r="G424" s="6" t="str">
        <f>_xlfn.XLOOKUP(LD_01[[#This Row],[DISCIPLINA]],'CLASSES DE PROJETOS'!$F$3:$F$37,'CLASSES DE PROJETOS'!$C$3:$C$37)</f>
        <v>DR</v>
      </c>
      <c r="H424" t="str">
        <f>_xlfn.TEXTJOIN("/",TRUE,"MSV-163MS-"&amp;LD_01[[#This Row],[TRECHO]],_xlfn.XLOOKUP(LD_01[[#This Row],[SIGLA]],'CLASSES DE PROJETOS'!$C$3:$C$37,'CLASSES DE PROJETOS'!$E$3:$E$37))</f>
        <v>MSV-163MS-520-NORTE/10.DR</v>
      </c>
      <c r="I424" s="6" t="str" cm="1">
        <f t="array" ref="I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J424" s="6" t="str" cm="1">
        <f t="array" ref="J424">_xlfn.TEXTJOIN(", ",TRUE,_xlfn.UNIQUE(_xlfn._xlws.FILTER(ARQUIVOS_RECEBIDOS!$F$2:$F$5010,ARQUIVOS_RECEBIDOS!$E$2:$E$5010=LD_01[[#This Row],[DOCUMENTO]])))</f>
        <v>R01</v>
      </c>
      <c r="K424" s="12" cm="1">
        <f t="array" ref="K424">_xlfn.UNIQUE(_xlfn._xlws.FILTER(ARQUIVOS[DATA RECEBIMENTO],(ARQUIVOS[DOCUMENTO]=LD_01[[#This Row],[DOCUMENTO]])*(ARQUIVOS[REVISÃO]=LD_01[[#This Row],[REVISÃO]])))</f>
        <v>45838</v>
      </c>
      <c r="L4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M424" s="6" t="str">
        <f>LD_01[[#This Row],[PASTA]]&amp;"/"&amp;LD_01[[#This Row],[ARQUIVO]]</f>
        <v>MSV-163MS-520-NORTE/10.DR/MSV-163MS-520+670-ACE-EXE-MD-H1-001-R01.pdf</v>
      </c>
    </row>
    <row r="425" spans="1:13" ht="28.8" hidden="1" x14ac:dyDescent="0.3">
      <c r="A425" s="6" t="s">
        <v>3210</v>
      </c>
      <c r="B425" s="6" t="str">
        <f>VLOOKUP(LD_01[[#This Row],[DOCUMENTO]],_xlfn.SORTBY(ARQUIVOS_RECEBIDOS!$E$2:$F$5010,ARQUIVOS_RECEBIDOS!$F$2:$F$5010,-1),2,)</f>
        <v>R04</v>
      </c>
      <c r="C425" s="15" t="s">
        <v>5987</v>
      </c>
      <c r="D425" s="6" t="s">
        <v>4314</v>
      </c>
      <c r="E425" s="8" t="s">
        <v>4981</v>
      </c>
      <c r="F425" s="8" t="s">
        <v>4143</v>
      </c>
      <c r="G425" s="6" t="str">
        <f>_xlfn.XLOOKUP(LD_01[[#This Row],[DISCIPLINA]],'CLASSES DE PROJETOS'!$F$3:$F$37,'CLASSES DE PROJETOS'!$C$3:$C$37)</f>
        <v>PV</v>
      </c>
      <c r="H425" t="str">
        <f>_xlfn.TEXTJOIN("/",TRUE,"MSV-163MS-"&amp;LD_01[[#This Row],[TRECHO]],_xlfn.XLOOKUP(LD_01[[#This Row],[SIGLA]],'CLASSES DE PROJETOS'!$C$3:$C$37,'CLASSES DE PROJETOS'!$E$3:$E$37))</f>
        <v>MSV-163MS-520-NORTE/28.PV</v>
      </c>
      <c r="I425" s="6" t="str" cm="1">
        <f t="array" ref="I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J425" s="6" t="str" cm="1">
        <f t="array" ref="J425">_xlfn.TEXTJOIN(", ",TRUE,_xlfn.UNIQUE(_xlfn._xlws.FILTER(ARQUIVOS_RECEBIDOS!$F$2:$F$5010,ARQUIVOS_RECEBIDOS!$E$2:$E$5010=LD_01[[#This Row],[DOCUMENTO]])))</f>
        <v>R04</v>
      </c>
      <c r="K425" s="12" cm="1">
        <f t="array" ref="K425">_xlfn.UNIQUE(_xlfn._xlws.FILTER(ARQUIVOS[DATA RECEBIMENTO],(ARQUIVOS[DOCUMENTO]=LD_01[[#This Row],[DOCUMENTO]])*(ARQUIVOS[REVISÃO]=LD_01[[#This Row],[REVISÃO]])))</f>
        <v>45838</v>
      </c>
      <c r="L4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M425" s="6" t="str">
        <f>LD_01[[#This Row],[PASTA]]&amp;"/"&amp;LD_01[[#This Row],[ARQUIVO]]</f>
        <v>MSV-163MS-520-NORTE/28.PV/MSV-163MS-520+670-ACE-EXE-MD-I2-001-R04.pdf</v>
      </c>
    </row>
    <row r="426" spans="1:13" ht="28.8" hidden="1" x14ac:dyDescent="0.3">
      <c r="A426" s="6" t="s">
        <v>4065</v>
      </c>
      <c r="B426" s="6" t="str">
        <f>VLOOKUP(LD_01[[#This Row],[DOCUMENTO]],_xlfn.SORTBY(ARQUIVOS_RECEBIDOS!$E$2:$F$5010,ARQUIVOS_RECEBIDOS!$F$2:$F$5010,-1),2,)</f>
        <v>R00</v>
      </c>
      <c r="C426" s="15" t="s">
        <v>5987</v>
      </c>
      <c r="D426" s="6" t="s">
        <v>4314</v>
      </c>
      <c r="E426" s="8" t="s">
        <v>4245</v>
      </c>
      <c r="F426" s="8" t="s">
        <v>4331</v>
      </c>
      <c r="G426" s="6" t="str">
        <f>_xlfn.XLOOKUP(LD_01[[#This Row],[DISCIPLINA]],'CLASSES DE PROJETOS'!$F$3:$F$37,'CLASSES DE PROJETOS'!$C$3:$C$37)</f>
        <v>SI</v>
      </c>
      <c r="H426" t="str">
        <f>_xlfn.TEXTJOIN("/",TRUE,"MSV-163MS-"&amp;LD_01[[#This Row],[TRECHO]],_xlfn.XLOOKUP(LD_01[[#This Row],[SIGLA]],'CLASSES DE PROJETOS'!$C$3:$C$37,'CLASSES DE PROJETOS'!$E$3:$E$37))</f>
        <v>MSV-163MS-520-NORTE/31.SI</v>
      </c>
      <c r="I426" s="6" t="str" cm="1">
        <f t="array" ref="I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J426" s="6" t="str" cm="1">
        <f t="array" ref="J426">_xlfn.TEXTJOIN(", ",TRUE,_xlfn.UNIQUE(_xlfn._xlws.FILTER(ARQUIVOS_RECEBIDOS!$F$2:$F$5010,ARQUIVOS_RECEBIDOS!$E$2:$E$5010=LD_01[[#This Row],[DOCUMENTO]])))</f>
        <v>R00</v>
      </c>
      <c r="K426" s="12" cm="1">
        <f t="array" ref="K426">_xlfn.UNIQUE(_xlfn._xlws.FILTER(ARQUIVOS[DATA RECEBIMENTO],(ARQUIVOS[DOCUMENTO]=LD_01[[#This Row],[DOCUMENTO]])*(ARQUIVOS[REVISÃO]=LD_01[[#This Row],[REVISÃO]])))</f>
        <v>45895</v>
      </c>
      <c r="L4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M426" s="6" t="str">
        <f>LD_01[[#This Row],[PASTA]]&amp;"/"&amp;LD_01[[#This Row],[ARQUIVO]]</f>
        <v>MSV-163MS-520-NORTE/31.SI/MSV-163MS-520+670-ACE-EXE-MD-J1-001-R00.pdf</v>
      </c>
    </row>
    <row r="427" spans="1:13" ht="28.8" hidden="1" x14ac:dyDescent="0.3">
      <c r="A427" s="6" t="s">
        <v>3221</v>
      </c>
      <c r="B427" s="6" t="str">
        <f>VLOOKUP(LD_01[[#This Row],[DOCUMENTO]],_xlfn.SORTBY(ARQUIVOS_RECEBIDOS!$E$2:$F$5010,ARQUIVOS_RECEBIDOS!$F$2:$F$5010,-1),2,)</f>
        <v>R00</v>
      </c>
      <c r="C427" s="15" t="s">
        <v>5987</v>
      </c>
      <c r="D427" s="6" t="s">
        <v>4314</v>
      </c>
      <c r="E427" s="8" t="s">
        <v>4989</v>
      </c>
      <c r="F427" s="8" t="s">
        <v>4334</v>
      </c>
      <c r="G427" s="6" t="str">
        <f>_xlfn.XLOOKUP(LD_01[[#This Row],[DISCIPLINA]],'CLASSES DE PROJETOS'!$F$3:$F$37,'CLASSES DE PROJETOS'!$C$3:$C$37)</f>
        <v>PA</v>
      </c>
      <c r="H427" t="str">
        <f>_xlfn.TEXTJOIN("/",TRUE,"MSV-163MS-"&amp;LD_01[[#This Row],[TRECHO]],_xlfn.XLOOKUP(LD_01[[#This Row],[SIGLA]],'CLASSES DE PROJETOS'!$C$3:$C$37,'CLASSES DE PROJETOS'!$E$3:$E$37))</f>
        <v>MSV-163MS-520-NORTE/27.PA</v>
      </c>
      <c r="I427" s="6" t="str" cm="1">
        <f t="array" ref="I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J427" s="6" t="str" cm="1">
        <f t="array" ref="J427">_xlfn.TEXTJOIN(", ",TRUE,_xlfn.UNIQUE(_xlfn._xlws.FILTER(ARQUIVOS_RECEBIDOS!$F$2:$F$5010,ARQUIVOS_RECEBIDOS!$E$2:$E$5010=LD_01[[#This Row],[DOCUMENTO]])))</f>
        <v>R00</v>
      </c>
      <c r="K427" s="12" cm="1">
        <f t="array" ref="K427">_xlfn.UNIQUE(_xlfn._xlws.FILTER(ARQUIVOS[DATA RECEBIMENTO],(ARQUIVOS[DOCUMENTO]=LD_01[[#This Row],[DOCUMENTO]])*(ARQUIVOS[REVISÃO]=LD_01[[#This Row],[REVISÃO]])))</f>
        <v>45838</v>
      </c>
      <c r="L4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M427" s="6" t="str">
        <f>LD_01[[#This Row],[PASTA]]&amp;"/"&amp;LD_01[[#This Row],[ARQUIVO]]</f>
        <v>MSV-163MS-520-NORTE/27.PA/MSV-163MS-520+670-ACE-EXE-MD-N2-001-R00.pdf</v>
      </c>
    </row>
    <row r="428" spans="1:13" ht="28.8" hidden="1" x14ac:dyDescent="0.3">
      <c r="A428" s="6" t="s">
        <v>3219</v>
      </c>
      <c r="B428" s="6" t="str">
        <f>VLOOKUP(LD_01[[#This Row],[DOCUMENTO]],_xlfn.SORTBY(ARQUIVOS_RECEBIDOS!$E$2:$F$5010,ARQUIVOS_RECEBIDOS!$F$2:$F$5010,-1),2,)</f>
        <v>R00</v>
      </c>
      <c r="C428" s="15" t="s">
        <v>5987</v>
      </c>
      <c r="D428" s="6" t="s">
        <v>4314</v>
      </c>
      <c r="E428" s="8" t="s">
        <v>4167</v>
      </c>
      <c r="F428" s="8" t="s">
        <v>4144</v>
      </c>
      <c r="G428" s="6" t="str">
        <f>_xlfn.XLOOKUP(LD_01[[#This Row],[DISCIPLINA]],'CLASSES DE PROJETOS'!$F$3:$F$37,'CLASSES DE PROJETOS'!$C$3:$C$37)</f>
        <v>DV</v>
      </c>
      <c r="H428" t="str">
        <f>_xlfn.TEXTJOIN("/",TRUE,"MSV-163MS-"&amp;LD_01[[#This Row],[TRECHO]],_xlfn.XLOOKUP(LD_01[[#This Row],[SIGLA]],'CLASSES DE PROJETOS'!$C$3:$C$37,'CLASSES DE PROJETOS'!$E$3:$E$37))</f>
        <v>MSV-163MS-520-NORTE/12.DV</v>
      </c>
      <c r="I428" s="6" t="str" cm="1">
        <f t="array" ref="I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J428" s="6" t="str" cm="1">
        <f t="array" ref="J428">_xlfn.TEXTJOIN(", ",TRUE,_xlfn.UNIQUE(_xlfn._xlws.FILTER(ARQUIVOS_RECEBIDOS!$F$2:$F$5010,ARQUIVOS_RECEBIDOS!$E$2:$E$5010=LD_01[[#This Row],[DOCUMENTO]])))</f>
        <v>R00</v>
      </c>
      <c r="K428" s="12" cm="1">
        <f t="array" ref="K428">_xlfn.UNIQUE(_xlfn._xlws.FILTER(ARQUIVOS[DATA RECEBIMENTO],(ARQUIVOS[DOCUMENTO]=LD_01[[#This Row],[DOCUMENTO]])*(ARQUIVOS[REVISÃO]=LD_01[[#This Row],[REVISÃO]])))</f>
        <v>45838</v>
      </c>
      <c r="L4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M428" s="6" t="str">
        <f>LD_01[[#This Row],[PASTA]]&amp;"/"&amp;LD_01[[#This Row],[ARQUIVO]]</f>
        <v>MSV-163MS-520-NORTE/12.DV/MSV-163MS-520+670-ACE-EXE-MD-O2-001-R00.pdf</v>
      </c>
    </row>
    <row r="429" spans="1:13" ht="28.8" hidden="1" x14ac:dyDescent="0.3">
      <c r="A429" s="6" t="s">
        <v>3211</v>
      </c>
      <c r="B429" s="6" t="str">
        <f>VLOOKUP(LD_01[[#This Row],[DOCUMENTO]],_xlfn.SORTBY(ARQUIVOS_RECEBIDOS!$E$2:$F$5010,ARQUIVOS_RECEBIDOS!$F$2:$F$5010,-1),2,)</f>
        <v>R01</v>
      </c>
      <c r="C429" s="15" t="s">
        <v>5987</v>
      </c>
      <c r="D429" s="6" t="s">
        <v>4314</v>
      </c>
      <c r="E429" s="8" t="s">
        <v>4982</v>
      </c>
      <c r="F429" s="8" t="s">
        <v>4143</v>
      </c>
      <c r="G429" s="6" t="str">
        <f>_xlfn.XLOOKUP(LD_01[[#This Row],[DISCIPLINA]],'CLASSES DE PROJETOS'!$F$3:$F$37,'CLASSES DE PROJETOS'!$C$3:$C$37)</f>
        <v>PV</v>
      </c>
      <c r="H429" t="str">
        <f>_xlfn.TEXTJOIN("/",TRUE,"MSV-163MS-"&amp;LD_01[[#This Row],[TRECHO]],_xlfn.XLOOKUP(LD_01[[#This Row],[SIGLA]],'CLASSES DE PROJETOS'!$C$3:$C$37,'CLASSES DE PROJETOS'!$E$3:$E$37))</f>
        <v>MSV-163MS-520-NORTE/28.PV</v>
      </c>
      <c r="I429" s="6" t="str" cm="1">
        <f t="array" ref="I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J429" s="6" t="str" cm="1">
        <f t="array" ref="J429">_xlfn.TEXTJOIN(", ",TRUE,_xlfn.UNIQUE(_xlfn._xlws.FILTER(ARQUIVOS_RECEBIDOS!$F$2:$F$5010,ARQUIVOS_RECEBIDOS!$E$2:$E$5010=LD_01[[#This Row],[DOCUMENTO]])))</f>
        <v>R01</v>
      </c>
      <c r="K429" s="12" cm="1">
        <f t="array" ref="K429">_xlfn.UNIQUE(_xlfn._xlws.FILTER(ARQUIVOS[DATA RECEBIMENTO],(ARQUIVOS[DOCUMENTO]=LD_01[[#This Row],[DOCUMENTO]])*(ARQUIVOS[REVISÃO]=LD_01[[#This Row],[REVISÃO]])))</f>
        <v>45838</v>
      </c>
      <c r="L4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M429" s="6" t="str">
        <f>LD_01[[#This Row],[PASTA]]&amp;"/"&amp;LD_01[[#This Row],[ARQUIVO]]</f>
        <v>MSV-163MS-520-NORTE/28.PV/MSV-163MS-520+670-ACE-EXE-NS-C3-001-R01.pdf</v>
      </c>
    </row>
    <row r="430" spans="1:13" hidden="1" x14ac:dyDescent="0.3">
      <c r="A430" s="6" t="s">
        <v>3191</v>
      </c>
      <c r="B430" s="6" t="str">
        <f>VLOOKUP(LD_01[[#This Row],[DOCUMENTO]],_xlfn.SORTBY(ARQUIVOS_RECEBIDOS!$E$2:$F$5010,ARQUIVOS_RECEBIDOS!$F$2:$F$5010,-1),2,)</f>
        <v>R00</v>
      </c>
      <c r="C430" s="15" t="s">
        <v>5987</v>
      </c>
      <c r="D430" s="6" t="s">
        <v>4314</v>
      </c>
      <c r="E430" s="8" t="s">
        <v>4165</v>
      </c>
      <c r="F430" s="8" t="s">
        <v>4163</v>
      </c>
      <c r="G430" s="6" t="str">
        <f>_xlfn.XLOOKUP(LD_01[[#This Row],[DISCIPLINA]],'CLASSES DE PROJETOS'!$F$3:$F$37,'CLASSES DE PROJETOS'!$C$3:$C$37)</f>
        <v>TO</v>
      </c>
      <c r="H430" t="str">
        <f>_xlfn.TEXTJOIN("/",TRUE,"MSV-163MS-"&amp;LD_01[[#This Row],[TRECHO]],_xlfn.XLOOKUP(LD_01[[#This Row],[SIGLA]],'CLASSES DE PROJETOS'!$C$3:$C$37,'CLASSES DE PROJETOS'!$E$3:$E$37))</f>
        <v>MSV-163MS-520-NORTE/33.TO</v>
      </c>
      <c r="I430" s="6" t="str" cm="1">
        <f t="array" ref="I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J430" s="6" t="str" cm="1">
        <f t="array" ref="J430">_xlfn.TEXTJOIN(", ",TRUE,_xlfn.UNIQUE(_xlfn._xlws.FILTER(ARQUIVOS_RECEBIDOS!$F$2:$F$5010,ARQUIVOS_RECEBIDOS!$E$2:$E$5010=LD_01[[#This Row],[DOCUMENTO]])))</f>
        <v>R00</v>
      </c>
      <c r="K430" s="12" cm="1">
        <f t="array" ref="K430">_xlfn.UNIQUE(_xlfn._xlws.FILTER(ARQUIVOS[DATA RECEBIMENTO],(ARQUIVOS[DOCUMENTO]=LD_01[[#This Row],[DOCUMENTO]])*(ARQUIVOS[REVISÃO]=LD_01[[#This Row],[REVISÃO]])))</f>
        <v>45838</v>
      </c>
      <c r="L4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M430" s="6" t="str">
        <f>LD_01[[#This Row],[PASTA]]&amp;"/"&amp;LD_01[[#This Row],[ARQUIVO]]</f>
        <v>MSV-163MS-520-NORTE/33.TO/MSV-163MS-520+670-ACE-EXE-RT-C1-001-R00.pdf</v>
      </c>
    </row>
    <row r="431" spans="1:13" ht="28.8" hidden="1" x14ac:dyDescent="0.3">
      <c r="A431" s="6" t="s">
        <v>3213</v>
      </c>
      <c r="B431" s="6" t="str">
        <f>VLOOKUP(LD_01[[#This Row],[DOCUMENTO]],_xlfn.SORTBY(ARQUIVOS_RECEBIDOS!$E$2:$F$5010,ARQUIVOS_RECEBIDOS!$F$2:$F$5010,-1),2,)</f>
        <v>R01</v>
      </c>
      <c r="C431" s="15" t="s">
        <v>5987</v>
      </c>
      <c r="D431" s="6" t="s">
        <v>4314</v>
      </c>
      <c r="E431" s="8" t="s">
        <v>4092</v>
      </c>
      <c r="F431" s="8" t="s">
        <v>4332</v>
      </c>
      <c r="G431" s="6" t="str">
        <f>_xlfn.XLOOKUP(LD_01[[#This Row],[DISCIPLINA]],'CLASSES DE PROJETOS'!$F$3:$F$37,'CLASSES DE PROJETOS'!$C$3:$C$37)</f>
        <v>GG</v>
      </c>
      <c r="H431" t="str">
        <f>_xlfn.TEXTJOIN("/",TRUE,"MSV-163MS-"&amp;LD_01[[#This Row],[TRECHO]],_xlfn.XLOOKUP(LD_01[[#This Row],[SIGLA]],'CLASSES DE PROJETOS'!$C$3:$C$37,'CLASSES DE PROJETOS'!$E$3:$E$37))</f>
        <v>MSV-163MS-520-NORTE/19.GG</v>
      </c>
      <c r="I431" s="6" t="str" cm="1">
        <f t="array" ref="I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J431" s="6" t="str" cm="1">
        <f t="array" ref="J431">_xlfn.TEXTJOIN(", ",TRUE,_xlfn.UNIQUE(_xlfn._xlws.FILTER(ARQUIVOS_RECEBIDOS!$F$2:$F$5010,ARQUIVOS_RECEBIDOS!$E$2:$E$5010=LD_01[[#This Row],[DOCUMENTO]])))</f>
        <v>R01</v>
      </c>
      <c r="K431" s="12" cm="1">
        <f t="array" ref="K431">_xlfn.UNIQUE(_xlfn._xlws.FILTER(ARQUIVOS[DATA RECEBIMENTO],(ARQUIVOS[DOCUMENTO]=LD_01[[#This Row],[DOCUMENTO]])*(ARQUIVOS[REVISÃO]=LD_01[[#This Row],[REVISÃO]])))</f>
        <v>45838</v>
      </c>
      <c r="L4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M431" s="6" t="str">
        <f>LD_01[[#This Row],[PASTA]]&amp;"/"&amp;LD_01[[#This Row],[ARQUIVO]]</f>
        <v>MSV-163MS-520-NORTE/19.GG/MSV-163MS-520+670-ACE-EXE-RT-D3-001-R01.pdf</v>
      </c>
    </row>
    <row r="432" spans="1:13" ht="28.8" hidden="1" x14ac:dyDescent="0.3">
      <c r="A432" s="6" t="s">
        <v>3214</v>
      </c>
      <c r="B432" s="6" t="str">
        <f>VLOOKUP(LD_01[[#This Row],[DOCUMENTO]],_xlfn.SORTBY(ARQUIVOS_RECEBIDOS!$E$2:$F$5010,ARQUIVOS_RECEBIDOS!$F$2:$F$5010,-1),2,)</f>
        <v>R00</v>
      </c>
      <c r="C432" s="15" t="s">
        <v>5987</v>
      </c>
      <c r="D432" s="6" t="s">
        <v>4314</v>
      </c>
      <c r="E432" s="8" t="s">
        <v>4103</v>
      </c>
      <c r="F432" s="8" t="s">
        <v>4332</v>
      </c>
      <c r="G432" s="6" t="str">
        <f>_xlfn.XLOOKUP(LD_01[[#This Row],[DISCIPLINA]],'CLASSES DE PROJETOS'!$F$3:$F$37,'CLASSES DE PROJETOS'!$C$3:$C$37)</f>
        <v>GG</v>
      </c>
      <c r="H432" t="str">
        <f>_xlfn.TEXTJOIN("/",TRUE,"MSV-163MS-"&amp;LD_01[[#This Row],[TRECHO]],_xlfn.XLOOKUP(LD_01[[#This Row],[SIGLA]],'CLASSES DE PROJETOS'!$C$3:$C$37,'CLASSES DE PROJETOS'!$E$3:$E$37))</f>
        <v>MSV-163MS-520-NORTE/19.GG</v>
      </c>
      <c r="I432" s="6" t="str" cm="1">
        <f t="array" ref="I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J432" s="6" t="str" cm="1">
        <f t="array" ref="J432">_xlfn.TEXTJOIN(", ",TRUE,_xlfn.UNIQUE(_xlfn._xlws.FILTER(ARQUIVOS_RECEBIDOS!$F$2:$F$5010,ARQUIVOS_RECEBIDOS!$E$2:$E$5010=LD_01[[#This Row],[DOCUMENTO]])))</f>
        <v>R00</v>
      </c>
      <c r="K432" s="12" cm="1">
        <f t="array" ref="K432">_xlfn.UNIQUE(_xlfn._xlws.FILTER(ARQUIVOS[DATA RECEBIMENTO],(ARQUIVOS[DOCUMENTO]=LD_01[[#This Row],[DOCUMENTO]])*(ARQUIVOS[REVISÃO]=LD_01[[#This Row],[REVISÃO]])))</f>
        <v>45838</v>
      </c>
      <c r="L4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M432" s="6" t="str">
        <f>LD_01[[#This Row],[PASTA]]&amp;"/"&amp;LD_01[[#This Row],[ARQUIVO]]</f>
        <v>MSV-163MS-520-NORTE/19.GG/MSV-163MS-520+670-ACE-EXE-RT-D3-101-R00.pdf</v>
      </c>
    </row>
    <row r="433" spans="1:13" ht="28.8" hidden="1" x14ac:dyDescent="0.3">
      <c r="A433" s="6" t="s">
        <v>3222</v>
      </c>
      <c r="B433" s="6" t="str">
        <f>VLOOKUP(LD_01[[#This Row],[DOCUMENTO]],_xlfn.SORTBY(ARQUIVOS_RECEBIDOS!$E$2:$F$5010,ARQUIVOS_RECEBIDOS!$F$2:$F$5010,-1),2,)</f>
        <v>R00</v>
      </c>
      <c r="C433" s="15" t="s">
        <v>5987</v>
      </c>
      <c r="D433" s="6" t="s">
        <v>4314</v>
      </c>
      <c r="E433" s="8" t="s">
        <v>4304</v>
      </c>
      <c r="F433" s="8" t="s">
        <v>4335</v>
      </c>
      <c r="G433" s="6" t="str">
        <f>_xlfn.XLOOKUP(LD_01[[#This Row],[DISCIPLINA]],'CLASSES DE PROJETOS'!$F$3:$F$37,'CLASSES DE PROJETOS'!$C$3:$C$37)</f>
        <v>TR</v>
      </c>
      <c r="H433" t="str">
        <f>_xlfn.TEXTJOIN("/",TRUE,"MSV-163MS-"&amp;LD_01[[#This Row],[TRECHO]],_xlfn.XLOOKUP(LD_01[[#This Row],[SIGLA]],'CLASSES DE PROJETOS'!$C$3:$C$37,'CLASSES DE PROJETOS'!$E$3:$E$37))</f>
        <v>MSV-163MS-520-NORTE/34.TR</v>
      </c>
      <c r="I433" s="6" t="str" cm="1">
        <f t="array" ref="I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J433" s="6" t="str" cm="1">
        <f t="array" ref="J433">_xlfn.TEXTJOIN(", ",TRUE,_xlfn.UNIQUE(_xlfn._xlws.FILTER(ARQUIVOS_RECEBIDOS!$F$2:$F$5010,ARQUIVOS_RECEBIDOS!$E$2:$E$5010=LD_01[[#This Row],[DOCUMENTO]])))</f>
        <v>R00</v>
      </c>
      <c r="K433" s="12" cm="1">
        <f t="array" ref="K433">_xlfn.UNIQUE(_xlfn._xlws.FILTER(ARQUIVOS[DATA RECEBIMENTO],(ARQUIVOS[DOCUMENTO]=LD_01[[#This Row],[DOCUMENTO]])*(ARQUIVOS[REVISÃO]=LD_01[[#This Row],[REVISÃO]])))</f>
        <v>45838</v>
      </c>
      <c r="L4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M433" s="6" t="str">
        <f>LD_01[[#This Row],[PASTA]]&amp;"/"&amp;LD_01[[#This Row],[ARQUIVO]]</f>
        <v>MSV-163MS-520-NORTE/34.TR/MSV-163MS-520+670-ACE-EXE-RT-E1-001-R00.pdf</v>
      </c>
    </row>
    <row r="434" spans="1:13" ht="28.8" hidden="1" x14ac:dyDescent="0.3">
      <c r="A434" s="6" t="s">
        <v>3193</v>
      </c>
      <c r="B434" s="6" t="str">
        <f>VLOOKUP(LD_01[[#This Row],[DOCUMENTO]],_xlfn.SORTBY(ARQUIVOS_RECEBIDOS!$E$2:$F$5010,ARQUIVOS_RECEBIDOS!$F$2:$F$5010,-1),2,)</f>
        <v>R00</v>
      </c>
      <c r="C434" s="15" t="s">
        <v>5987</v>
      </c>
      <c r="D434" s="6" t="s">
        <v>4314</v>
      </c>
      <c r="E434" s="8" t="s">
        <v>4978</v>
      </c>
      <c r="F434" s="8" t="s">
        <v>4141</v>
      </c>
      <c r="G434" s="6" t="str">
        <f>_xlfn.XLOOKUP(LD_01[[#This Row],[DISCIPLINA]],'CLASSES DE PROJETOS'!$F$3:$F$37,'CLASSES DE PROJETOS'!$C$3:$C$37)</f>
        <v>GE</v>
      </c>
      <c r="H434" t="str">
        <f>_xlfn.TEXTJOIN("/",TRUE,"MSV-163MS-"&amp;LD_01[[#This Row],[TRECHO]],_xlfn.XLOOKUP(LD_01[[#This Row],[SIGLA]],'CLASSES DE PROJETOS'!$C$3:$C$37,'CLASSES DE PROJETOS'!$E$3:$E$37))</f>
        <v>MSV-163MS-520-NORTE/18.GE</v>
      </c>
      <c r="I434" s="6" t="str" cm="1">
        <f t="array" ref="I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J434" s="6" t="str" cm="1">
        <f t="array" ref="J434">_xlfn.TEXTJOIN(", ",TRUE,_xlfn.UNIQUE(_xlfn._xlws.FILTER(ARQUIVOS_RECEBIDOS!$F$2:$F$5010,ARQUIVOS_RECEBIDOS!$E$2:$E$5010=LD_01[[#This Row],[DOCUMENTO]])))</f>
        <v>R00</v>
      </c>
      <c r="K434" s="12" cm="1">
        <f t="array" ref="K434">_xlfn.UNIQUE(_xlfn._xlws.FILTER(ARQUIVOS[DATA RECEBIMENTO],(ARQUIVOS[DOCUMENTO]=LD_01[[#This Row],[DOCUMENTO]])*(ARQUIVOS[REVISÃO]=LD_01[[#This Row],[REVISÃO]])))</f>
        <v>45838</v>
      </c>
      <c r="L4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M434" s="6" t="str">
        <f>LD_01[[#This Row],[PASTA]]&amp;"/"&amp;LD_01[[#This Row],[ARQUIVO]]</f>
        <v>MSV-163MS-520-NORTE/18.GE/MSV-163MS-520+670-ACE-EXE-RT-F1-001-R00.pdf</v>
      </c>
    </row>
    <row r="435" spans="1:13" ht="43.2" hidden="1" x14ac:dyDescent="0.3">
      <c r="A435" s="6" t="s">
        <v>3216</v>
      </c>
      <c r="B435" s="6" t="str">
        <f>VLOOKUP(LD_01[[#This Row],[DOCUMENTO]],_xlfn.SORTBY(ARQUIVOS_RECEBIDOS!$E$2:$F$5010,ARQUIVOS_RECEBIDOS!$F$2:$F$5010,-1),2,)</f>
        <v>R00</v>
      </c>
      <c r="C435" s="15" t="s">
        <v>5987</v>
      </c>
      <c r="D435" s="6" t="s">
        <v>4314</v>
      </c>
      <c r="E435" s="8" t="s">
        <v>4166</v>
      </c>
      <c r="F435" s="8" t="s">
        <v>4333</v>
      </c>
      <c r="G435" s="6" t="str">
        <f>_xlfn.XLOOKUP(LD_01[[#This Row],[DISCIPLINA]],'CLASSES DE PROJETOS'!$F$3:$F$37,'CLASSES DE PROJETOS'!$C$3:$C$37)</f>
        <v>IN</v>
      </c>
      <c r="H435" t="str">
        <f>_xlfn.TEXTJOIN("/",TRUE,"MSV-163MS-"&amp;LD_01[[#This Row],[TRECHO]],_xlfn.XLOOKUP(LD_01[[#This Row],[SIGLA]],'CLASSES DE PROJETOS'!$C$3:$C$37,'CLASSES DE PROJETOS'!$E$3:$E$37))</f>
        <v>MSV-163MS-520-NORTE/23.IN</v>
      </c>
      <c r="I435" s="6" t="str" cm="1">
        <f t="array" ref="I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J435" s="6" t="str" cm="1">
        <f t="array" ref="J435">_xlfn.TEXTJOIN(", ",TRUE,_xlfn.UNIQUE(_xlfn._xlws.FILTER(ARQUIVOS_RECEBIDOS!$F$2:$F$5010,ARQUIVOS_RECEBIDOS!$E$2:$E$5010=LD_01[[#This Row],[DOCUMENTO]])))</f>
        <v>R00</v>
      </c>
      <c r="K435" s="12" cm="1">
        <f t="array" ref="K435">_xlfn.UNIQUE(_xlfn._xlws.FILTER(ARQUIVOS[DATA RECEBIMENTO],(ARQUIVOS[DOCUMENTO]=LD_01[[#This Row],[DOCUMENTO]])*(ARQUIVOS[REVISÃO]=LD_01[[#This Row],[REVISÃO]])))</f>
        <v>45838</v>
      </c>
      <c r="L4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M435" s="6" t="str">
        <f>LD_01[[#This Row],[PASTA]]&amp;"/"&amp;LD_01[[#This Row],[ARQUIVO]]</f>
        <v>MSV-163MS-520-NORTE/23.IN/MSV-163MS-520+670-ACE-EXE-RT-M1-001-R00.pdf</v>
      </c>
    </row>
    <row r="436" spans="1:13" hidden="1" x14ac:dyDescent="0.3">
      <c r="A436" s="6" t="s">
        <v>3223</v>
      </c>
      <c r="B436" s="6" t="str">
        <f>VLOOKUP(LD_01[[#This Row],[DOCUMENTO]],_xlfn.SORTBY(ARQUIVOS_RECEBIDOS!$E$2:$F$5010,ARQUIVOS_RECEBIDOS!$F$2:$F$5010,-1),2,)</f>
        <v>R00</v>
      </c>
      <c r="C436" s="15" t="s">
        <v>5987</v>
      </c>
      <c r="D436" s="6" t="s">
        <v>4316</v>
      </c>
      <c r="E436" s="8" t="s">
        <v>4164</v>
      </c>
      <c r="F436" s="8" t="s">
        <v>4163</v>
      </c>
      <c r="G436" s="6" t="str">
        <f>_xlfn.XLOOKUP(LD_01[[#This Row],[DISCIPLINA]],'CLASSES DE PROJETOS'!$F$3:$F$37,'CLASSES DE PROJETOS'!$C$3:$C$37)</f>
        <v>TO</v>
      </c>
      <c r="H436" t="str">
        <f>_xlfn.TEXTJOIN("/",TRUE,"MSV-163MS-"&amp;LD_01[[#This Row],[TRECHO]],_xlfn.XLOOKUP(LD_01[[#This Row],[SIGLA]],'CLASSES DE PROJETOS'!$C$3:$C$37,'CLASSES DE PROJETOS'!$E$3:$E$37))</f>
        <v>MSV-163MS-521-NORTE/33.TO</v>
      </c>
      <c r="I436" s="6" t="str" cm="1">
        <f t="array" ref="I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J436" s="6" t="str" cm="1">
        <f t="array" ref="J436">_xlfn.TEXTJOIN(", ",TRUE,_xlfn.UNIQUE(_xlfn._xlws.FILTER(ARQUIVOS_RECEBIDOS!$F$2:$F$5010,ARQUIVOS_RECEBIDOS!$E$2:$E$5010=LD_01[[#This Row],[DOCUMENTO]])))</f>
        <v>R00</v>
      </c>
      <c r="K436" s="12" cm="1">
        <f t="array" ref="K436">_xlfn.UNIQUE(_xlfn._xlws.FILTER(ARQUIVOS[DATA RECEBIMENTO],(ARQUIVOS[DOCUMENTO]=LD_01[[#This Row],[DOCUMENTO]])*(ARQUIVOS[REVISÃO]=LD_01[[#This Row],[REVISÃO]])))</f>
        <v>45838</v>
      </c>
      <c r="L4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M436" s="6" t="str">
        <f>LD_01[[#This Row],[PASTA]]&amp;"/"&amp;LD_01[[#This Row],[ARQUIVO]]</f>
        <v>MSV-163MS-521-NORTE/33.TO/MSV-163MS-521+950-ACE-EXE-DE-C1-001-R00.pdf</v>
      </c>
    </row>
    <row r="437" spans="1:13" ht="28.8" hidden="1" x14ac:dyDescent="0.3">
      <c r="A437" s="6" t="s">
        <v>3233</v>
      </c>
      <c r="B437" s="6" t="str">
        <f>VLOOKUP(LD_01[[#This Row],[DOCUMENTO]],_xlfn.SORTBY(ARQUIVOS_RECEBIDOS!$E$2:$F$5010,ARQUIVOS_RECEBIDOS!$F$2:$F$5010,-1),2,)</f>
        <v>R01</v>
      </c>
      <c r="C437" s="15" t="s">
        <v>5987</v>
      </c>
      <c r="D437" s="6" t="s">
        <v>4316</v>
      </c>
      <c r="E437" s="8" t="s">
        <v>4076</v>
      </c>
      <c r="F437" s="8" t="s">
        <v>4332</v>
      </c>
      <c r="G437" s="6" t="str">
        <f>_xlfn.XLOOKUP(LD_01[[#This Row],[DISCIPLINA]],'CLASSES DE PROJETOS'!$F$3:$F$37,'CLASSES DE PROJETOS'!$C$3:$C$37)</f>
        <v>GG</v>
      </c>
      <c r="H437" t="str">
        <f>_xlfn.TEXTJOIN("/",TRUE,"MSV-163MS-"&amp;LD_01[[#This Row],[TRECHO]],_xlfn.XLOOKUP(LD_01[[#This Row],[SIGLA]],'CLASSES DE PROJETOS'!$C$3:$C$37,'CLASSES DE PROJETOS'!$E$3:$E$37))</f>
        <v>MSV-163MS-521-NORTE/19.GG</v>
      </c>
      <c r="I437" s="6" t="str" cm="1">
        <f t="array" ref="I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J437" s="6" t="str" cm="1">
        <f t="array" ref="J437">_xlfn.TEXTJOIN(", ",TRUE,_xlfn.UNIQUE(_xlfn._xlws.FILTER(ARQUIVOS_RECEBIDOS!$F$2:$F$5010,ARQUIVOS_RECEBIDOS!$E$2:$E$5010=LD_01[[#This Row],[DOCUMENTO]])))</f>
        <v>R01</v>
      </c>
      <c r="K437" s="12" cm="1">
        <f t="array" ref="K437">_xlfn.UNIQUE(_xlfn._xlws.FILTER(ARQUIVOS[DATA RECEBIMENTO],(ARQUIVOS[DOCUMENTO]=LD_01[[#This Row],[DOCUMENTO]])*(ARQUIVOS[REVISÃO]=LD_01[[#This Row],[REVISÃO]])))</f>
        <v>45838</v>
      </c>
      <c r="L4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M437" s="6" t="str">
        <f>LD_01[[#This Row],[PASTA]]&amp;"/"&amp;LD_01[[#This Row],[ARQUIVO]]</f>
        <v>MSV-163MS-521-NORTE/19.GG/MSV-163MS-521+950-ACE-EXE-DE-D3-001-R01.pdf</v>
      </c>
    </row>
    <row r="438" spans="1:13" hidden="1" x14ac:dyDescent="0.3">
      <c r="A438" s="6" t="s">
        <v>3225</v>
      </c>
      <c r="B438" s="6" t="str">
        <f>VLOOKUP(LD_01[[#This Row],[DOCUMENTO]],_xlfn.SORTBY(ARQUIVOS_RECEBIDOS!$E$2:$F$5010,ARQUIVOS_RECEBIDOS!$F$2:$F$5010,-1),2,)</f>
        <v>R01</v>
      </c>
      <c r="C438" s="15" t="s">
        <v>5987</v>
      </c>
      <c r="D438" s="6" t="s">
        <v>4316</v>
      </c>
      <c r="E438" s="8" t="s">
        <v>4980</v>
      </c>
      <c r="F438" s="8" t="s">
        <v>4141</v>
      </c>
      <c r="G438" s="6" t="str">
        <f>_xlfn.XLOOKUP(LD_01[[#This Row],[DISCIPLINA]],'CLASSES DE PROJETOS'!$F$3:$F$37,'CLASSES DE PROJETOS'!$C$3:$C$37)</f>
        <v>GE</v>
      </c>
      <c r="H438" t="str">
        <f>_xlfn.TEXTJOIN("/",TRUE,"MSV-163MS-"&amp;LD_01[[#This Row],[TRECHO]],_xlfn.XLOOKUP(LD_01[[#This Row],[SIGLA]],'CLASSES DE PROJETOS'!$C$3:$C$37,'CLASSES DE PROJETOS'!$E$3:$E$37))</f>
        <v>MSV-163MS-521-NORTE/18.GE</v>
      </c>
      <c r="I438" s="6" t="str" cm="1">
        <f t="array" ref="I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J438" s="6" t="str" cm="1">
        <f t="array" ref="J438">_xlfn.TEXTJOIN(", ",TRUE,_xlfn.UNIQUE(_xlfn._xlws.FILTER(ARQUIVOS_RECEBIDOS!$F$2:$F$5010,ARQUIVOS_RECEBIDOS!$E$2:$E$5010=LD_01[[#This Row],[DOCUMENTO]])))</f>
        <v>R01</v>
      </c>
      <c r="K438" s="12" cm="1">
        <f t="array" ref="K438">_xlfn.UNIQUE(_xlfn._xlws.FILTER(ARQUIVOS[DATA RECEBIMENTO],(ARQUIVOS[DOCUMENTO]=LD_01[[#This Row],[DOCUMENTO]])*(ARQUIVOS[REVISÃO]=LD_01[[#This Row],[REVISÃO]])))</f>
        <v>45838</v>
      </c>
      <c r="L4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M438" s="6" t="str">
        <f>LD_01[[#This Row],[PASTA]]&amp;"/"&amp;LD_01[[#This Row],[ARQUIVO]]</f>
        <v>MSV-163MS-521-NORTE/18.GE/MSV-163MS-521+950-ACE-EXE-DE-F1-001-R01.pdf</v>
      </c>
    </row>
    <row r="439" spans="1:13" hidden="1" x14ac:dyDescent="0.3">
      <c r="A439" s="6" t="s">
        <v>3227</v>
      </c>
      <c r="B439" s="6" t="str">
        <f>VLOOKUP(LD_01[[#This Row],[DOCUMENTO]],_xlfn.SORTBY(ARQUIVOS_RECEBIDOS!$E$2:$F$5010,ARQUIVOS_RECEBIDOS!$F$2:$F$5010,-1),2,)</f>
        <v>R02</v>
      </c>
      <c r="C439" s="15" t="s">
        <v>5987</v>
      </c>
      <c r="D439" s="6" t="s">
        <v>4316</v>
      </c>
      <c r="E439" s="8" t="s">
        <v>4076</v>
      </c>
      <c r="F439" s="8" t="s">
        <v>4142</v>
      </c>
      <c r="G439" s="6" t="str">
        <f>_xlfn.XLOOKUP(LD_01[[#This Row],[DISCIPLINA]],'CLASSES DE PROJETOS'!$F$3:$F$37,'CLASSES DE PROJETOS'!$C$3:$C$37)</f>
        <v>DR</v>
      </c>
      <c r="H439" t="str">
        <f>_xlfn.TEXTJOIN("/",TRUE,"MSV-163MS-"&amp;LD_01[[#This Row],[TRECHO]],_xlfn.XLOOKUP(LD_01[[#This Row],[SIGLA]],'CLASSES DE PROJETOS'!$C$3:$C$37,'CLASSES DE PROJETOS'!$E$3:$E$37))</f>
        <v>MSV-163MS-521-NORTE/10.DR</v>
      </c>
      <c r="I439" s="6" t="str" cm="1">
        <f t="array" ref="I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J439" s="6" t="str" cm="1">
        <f t="array" ref="J439">_xlfn.TEXTJOIN(", ",TRUE,_xlfn.UNIQUE(_xlfn._xlws.FILTER(ARQUIVOS_RECEBIDOS!$F$2:$F$5010,ARQUIVOS_RECEBIDOS!$E$2:$E$5010=LD_01[[#This Row],[DOCUMENTO]])))</f>
        <v>R01, R02</v>
      </c>
      <c r="K439" s="12" cm="1">
        <f t="array" ref="K439">_xlfn.UNIQUE(_xlfn._xlws.FILTER(ARQUIVOS[DATA RECEBIMENTO],(ARQUIVOS[DOCUMENTO]=LD_01[[#This Row],[DOCUMENTO]])*(ARQUIVOS[REVISÃO]=LD_01[[#This Row],[REVISÃO]])))</f>
        <v>45931</v>
      </c>
      <c r="L4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M439" s="6" t="str">
        <f>LD_01[[#This Row],[PASTA]]&amp;"/"&amp;LD_01[[#This Row],[ARQUIVO]]</f>
        <v>MSV-163MS-521-NORTE/10.DR/MSV-163MS-521+950-ACE-EXE-DE-H2-001-R02.pdf</v>
      </c>
    </row>
    <row r="440" spans="1:13" hidden="1" x14ac:dyDescent="0.3">
      <c r="A440" s="6" t="s">
        <v>3228</v>
      </c>
      <c r="B440" s="6" t="str">
        <f>VLOOKUP(LD_01[[#This Row],[DOCUMENTO]],_xlfn.SORTBY(ARQUIVOS_RECEBIDOS!$E$2:$F$5010,ARQUIVOS_RECEBIDOS!$F$2:$F$5010,-1),2,)</f>
        <v>R00</v>
      </c>
      <c r="C440" s="15" t="s">
        <v>5987</v>
      </c>
      <c r="D440" s="6" t="s">
        <v>4316</v>
      </c>
      <c r="E440" s="8" t="s">
        <v>4078</v>
      </c>
      <c r="F440" s="8" t="s">
        <v>4142</v>
      </c>
      <c r="G440" s="6" t="str">
        <f>_xlfn.XLOOKUP(LD_01[[#This Row],[DISCIPLINA]],'CLASSES DE PROJETOS'!$F$3:$F$37,'CLASSES DE PROJETOS'!$C$3:$C$37)</f>
        <v>DR</v>
      </c>
      <c r="H440" t="str">
        <f>_xlfn.TEXTJOIN("/",TRUE,"MSV-163MS-"&amp;LD_01[[#This Row],[TRECHO]],_xlfn.XLOOKUP(LD_01[[#This Row],[SIGLA]],'CLASSES DE PROJETOS'!$C$3:$C$37,'CLASSES DE PROJETOS'!$E$3:$E$37))</f>
        <v>MSV-163MS-521-NORTE/10.DR</v>
      </c>
      <c r="I440" s="6" t="str" cm="1">
        <f t="array" ref="I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J440" s="6" t="str" cm="1">
        <f t="array" ref="J440">_xlfn.TEXTJOIN(", ",TRUE,_xlfn.UNIQUE(_xlfn._xlws.FILTER(ARQUIVOS_RECEBIDOS!$F$2:$F$5010,ARQUIVOS_RECEBIDOS!$E$2:$E$5010=LD_01[[#This Row],[DOCUMENTO]])))</f>
        <v>R00</v>
      </c>
      <c r="K440" s="12" cm="1">
        <f t="array" ref="K440">_xlfn.UNIQUE(_xlfn._xlws.FILTER(ARQUIVOS[DATA RECEBIMENTO],(ARQUIVOS[DOCUMENTO]=LD_01[[#This Row],[DOCUMENTO]])*(ARQUIVOS[REVISÃO]=LD_01[[#This Row],[REVISÃO]])))</f>
        <v>45838</v>
      </c>
      <c r="L4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M440" s="6" t="str">
        <f>LD_01[[#This Row],[PASTA]]&amp;"/"&amp;LD_01[[#This Row],[ARQUIVO]]</f>
        <v>MSV-163MS-521-NORTE/10.DR/MSV-163MS-521+950-ACE-EXE-DE-H2-002-R00.pdf</v>
      </c>
    </row>
    <row r="441" spans="1:13" hidden="1" x14ac:dyDescent="0.3">
      <c r="A441" s="6" t="s">
        <v>4067</v>
      </c>
      <c r="B441" s="6" t="str">
        <f>VLOOKUP(LD_01[[#This Row],[DOCUMENTO]],_xlfn.SORTBY(ARQUIVOS_RECEBIDOS!$E$2:$F$5010,ARQUIVOS_RECEBIDOS!$F$2:$F$5010,-1),2,)</f>
        <v>R00</v>
      </c>
      <c r="C441" s="15" t="s">
        <v>5987</v>
      </c>
      <c r="D441" s="6" t="s">
        <v>4316</v>
      </c>
      <c r="E441" s="8" t="s">
        <v>4980</v>
      </c>
      <c r="F441" s="8" t="s">
        <v>4143</v>
      </c>
      <c r="G441" s="6" t="str">
        <f>_xlfn.XLOOKUP(LD_01[[#This Row],[DISCIPLINA]],'CLASSES DE PROJETOS'!$F$3:$F$37,'CLASSES DE PROJETOS'!$C$3:$C$37)</f>
        <v>PV</v>
      </c>
      <c r="H441" t="str">
        <f>_xlfn.TEXTJOIN("/",TRUE,"MSV-163MS-"&amp;LD_01[[#This Row],[TRECHO]],_xlfn.XLOOKUP(LD_01[[#This Row],[SIGLA]],'CLASSES DE PROJETOS'!$C$3:$C$37,'CLASSES DE PROJETOS'!$E$3:$E$37))</f>
        <v>MSV-163MS-521-NORTE/28.PV</v>
      </c>
      <c r="I441" s="6" t="str" cm="1">
        <f t="array" ref="I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J441" s="6" t="str" cm="1">
        <f t="array" ref="J441">_xlfn.TEXTJOIN(", ",TRUE,_xlfn.UNIQUE(_xlfn._xlws.FILTER(ARQUIVOS_RECEBIDOS!$F$2:$F$5010,ARQUIVOS_RECEBIDOS!$E$2:$E$5010=LD_01[[#This Row],[DOCUMENTO]])))</f>
        <v>R00</v>
      </c>
      <c r="K441" s="12" cm="1">
        <f t="array" ref="K441">_xlfn.UNIQUE(_xlfn._xlws.FILTER(ARQUIVOS[DATA RECEBIMENTO],(ARQUIVOS[DOCUMENTO]=LD_01[[#This Row],[DOCUMENTO]])*(ARQUIVOS[REVISÃO]=LD_01[[#This Row],[REVISÃO]])))</f>
        <v>45895</v>
      </c>
      <c r="L4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M441" s="6" t="str">
        <f>LD_01[[#This Row],[PASTA]]&amp;"/"&amp;LD_01[[#This Row],[ARQUIVO]]</f>
        <v>MSV-163MS-521-NORTE/28.PV/MSV-163MS-521+950-ACE-EXE-DE-I2-001-R00.pdf</v>
      </c>
    </row>
    <row r="442" spans="1:13" hidden="1" x14ac:dyDescent="0.3">
      <c r="A442" s="6" t="s">
        <v>3231</v>
      </c>
      <c r="B442" s="6" t="str">
        <f>VLOOKUP(LD_01[[#This Row],[DOCUMENTO]],_xlfn.SORTBY(ARQUIVOS_RECEBIDOS!$E$2:$F$5010,ARQUIVOS_RECEBIDOS!$F$2:$F$5010,-1),2,)</f>
        <v>R00</v>
      </c>
      <c r="C442" s="15" t="s">
        <v>5987</v>
      </c>
      <c r="D442" s="6" t="s">
        <v>4316</v>
      </c>
      <c r="E442" s="8" t="s">
        <v>4087</v>
      </c>
      <c r="F442" s="8" t="s">
        <v>4331</v>
      </c>
      <c r="G442" s="6" t="str">
        <f>_xlfn.XLOOKUP(LD_01[[#This Row],[DISCIPLINA]],'CLASSES DE PROJETOS'!$F$3:$F$37,'CLASSES DE PROJETOS'!$C$3:$C$37)</f>
        <v>SI</v>
      </c>
      <c r="H442" t="str">
        <f>_xlfn.TEXTJOIN("/",TRUE,"MSV-163MS-"&amp;LD_01[[#This Row],[TRECHO]],_xlfn.XLOOKUP(LD_01[[#This Row],[SIGLA]],'CLASSES DE PROJETOS'!$C$3:$C$37,'CLASSES DE PROJETOS'!$E$3:$E$37))</f>
        <v>MSV-163MS-521-NORTE/31.SI</v>
      </c>
      <c r="I442" s="6" t="str" cm="1">
        <f t="array" ref="I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J442" s="6" t="str" cm="1">
        <f t="array" ref="J442">_xlfn.TEXTJOIN(", ",TRUE,_xlfn.UNIQUE(_xlfn._xlws.FILTER(ARQUIVOS_RECEBIDOS!$F$2:$F$5010,ARQUIVOS_RECEBIDOS!$E$2:$E$5010=LD_01[[#This Row],[DOCUMENTO]])))</f>
        <v>R00</v>
      </c>
      <c r="K442" s="12" cm="1">
        <f t="array" ref="K442">_xlfn.UNIQUE(_xlfn._xlws.FILTER(ARQUIVOS[DATA RECEBIMENTO],(ARQUIVOS[DOCUMENTO]=LD_01[[#This Row],[DOCUMENTO]])*(ARQUIVOS[REVISÃO]=LD_01[[#This Row],[REVISÃO]])))</f>
        <v>45838</v>
      </c>
      <c r="L4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M442" s="6" t="str">
        <f>LD_01[[#This Row],[PASTA]]&amp;"/"&amp;LD_01[[#This Row],[ARQUIVO]]</f>
        <v>MSV-163MS-521-NORTE/31.SI/MSV-163MS-521+950-ACE-EXE-DE-J1-001-R00.pdf</v>
      </c>
    </row>
    <row r="443" spans="1:13" hidden="1" x14ac:dyDescent="0.3">
      <c r="A443" s="6" t="s">
        <v>3232</v>
      </c>
      <c r="B443" s="6" t="str">
        <f>VLOOKUP(LD_01[[#This Row],[DOCUMENTO]],_xlfn.SORTBY(ARQUIVOS_RECEBIDOS!$E$2:$F$5010,ARQUIVOS_RECEBIDOS!$F$2:$F$5010,-1),2,)</f>
        <v>R00</v>
      </c>
      <c r="C443" s="15" t="s">
        <v>5987</v>
      </c>
      <c r="D443" s="6" t="s">
        <v>4316</v>
      </c>
      <c r="E443" s="8" t="s">
        <v>4089</v>
      </c>
      <c r="F443" s="8" t="s">
        <v>4331</v>
      </c>
      <c r="G443" s="6" t="str">
        <f>_xlfn.XLOOKUP(LD_01[[#This Row],[DISCIPLINA]],'CLASSES DE PROJETOS'!$F$3:$F$37,'CLASSES DE PROJETOS'!$C$3:$C$37)</f>
        <v>SI</v>
      </c>
      <c r="H443" t="str">
        <f>_xlfn.TEXTJOIN("/",TRUE,"MSV-163MS-"&amp;LD_01[[#This Row],[TRECHO]],_xlfn.XLOOKUP(LD_01[[#This Row],[SIGLA]],'CLASSES DE PROJETOS'!$C$3:$C$37,'CLASSES DE PROJETOS'!$E$3:$E$37))</f>
        <v>MSV-163MS-521-NORTE/31.SI</v>
      </c>
      <c r="I443" s="6" t="str" cm="1">
        <f t="array" ref="I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J443" s="6" t="str" cm="1">
        <f t="array" ref="J443">_xlfn.TEXTJOIN(", ",TRUE,_xlfn.UNIQUE(_xlfn._xlws.FILTER(ARQUIVOS_RECEBIDOS!$F$2:$F$5010,ARQUIVOS_RECEBIDOS!$E$2:$E$5010=LD_01[[#This Row],[DOCUMENTO]])))</f>
        <v>R00</v>
      </c>
      <c r="K443" s="12" cm="1">
        <f t="array" ref="K443">_xlfn.UNIQUE(_xlfn._xlws.FILTER(ARQUIVOS[DATA RECEBIMENTO],(ARQUIVOS[DOCUMENTO]=LD_01[[#This Row],[DOCUMENTO]])*(ARQUIVOS[REVISÃO]=LD_01[[#This Row],[REVISÃO]])))</f>
        <v>45838</v>
      </c>
      <c r="L4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M443" s="6" t="str">
        <f>LD_01[[#This Row],[PASTA]]&amp;"/"&amp;LD_01[[#This Row],[ARQUIVO]]</f>
        <v>MSV-163MS-521-NORTE/31.SI/MSV-163MS-521+950-ACE-EXE-DE-J1-002-R00.pdf</v>
      </c>
    </row>
    <row r="444" spans="1:13" ht="43.2" hidden="1" x14ac:dyDescent="0.3">
      <c r="A444" s="6" t="s">
        <v>3236</v>
      </c>
      <c r="B444" s="6" t="str">
        <f>VLOOKUP(LD_01[[#This Row],[DOCUMENTO]],_xlfn.SORTBY(ARQUIVOS_RECEBIDOS!$E$2:$F$5010,ARQUIVOS_RECEBIDOS!$F$2:$F$5010,-1),2,)</f>
        <v>R00</v>
      </c>
      <c r="C444" s="15" t="s">
        <v>5987</v>
      </c>
      <c r="D444" s="6" t="s">
        <v>4316</v>
      </c>
      <c r="E444" s="8" t="s">
        <v>4087</v>
      </c>
      <c r="F444" s="8" t="s">
        <v>4333</v>
      </c>
      <c r="G444" s="6" t="str">
        <f>_xlfn.XLOOKUP(LD_01[[#This Row],[DISCIPLINA]],'CLASSES DE PROJETOS'!$F$3:$F$37,'CLASSES DE PROJETOS'!$C$3:$C$37)</f>
        <v>IN</v>
      </c>
      <c r="H444" t="str">
        <f>_xlfn.TEXTJOIN("/",TRUE,"MSV-163MS-"&amp;LD_01[[#This Row],[TRECHO]],_xlfn.XLOOKUP(LD_01[[#This Row],[SIGLA]],'CLASSES DE PROJETOS'!$C$3:$C$37,'CLASSES DE PROJETOS'!$E$3:$E$37))</f>
        <v>MSV-163MS-521-NORTE/23.IN</v>
      </c>
      <c r="I444" s="6" t="str" cm="1">
        <f t="array" ref="I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J444" s="6" t="str" cm="1">
        <f t="array" ref="J444">_xlfn.TEXTJOIN(", ",TRUE,_xlfn.UNIQUE(_xlfn._xlws.FILTER(ARQUIVOS_RECEBIDOS!$F$2:$F$5010,ARQUIVOS_RECEBIDOS!$E$2:$E$5010=LD_01[[#This Row],[DOCUMENTO]])))</f>
        <v>R00</v>
      </c>
      <c r="K444" s="12" cm="1">
        <f t="array" ref="K444">_xlfn.UNIQUE(_xlfn._xlws.FILTER(ARQUIVOS[DATA RECEBIMENTO],(ARQUIVOS[DOCUMENTO]=LD_01[[#This Row],[DOCUMENTO]])*(ARQUIVOS[REVISÃO]=LD_01[[#This Row],[REVISÃO]])))</f>
        <v>45838</v>
      </c>
      <c r="L4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M444" s="6" t="str">
        <f>LD_01[[#This Row],[PASTA]]&amp;"/"&amp;LD_01[[#This Row],[ARQUIVO]]</f>
        <v>MSV-163MS-521-NORTE/23.IN/MSV-163MS-521+950-ACE-EXE-DE-M1-001-R00.pdf</v>
      </c>
    </row>
    <row r="445" spans="1:13" hidden="1" x14ac:dyDescent="0.3">
      <c r="A445" s="6" t="s">
        <v>3241</v>
      </c>
      <c r="B445" s="6" t="str">
        <f>VLOOKUP(LD_01[[#This Row],[DOCUMENTO]],_xlfn.SORTBY(ARQUIVOS_RECEBIDOS!$E$2:$F$5010,ARQUIVOS_RECEBIDOS!$F$2:$F$5010,-1),2,)</f>
        <v>R00</v>
      </c>
      <c r="C445" s="15" t="s">
        <v>5987</v>
      </c>
      <c r="D445" s="6" t="s">
        <v>4316</v>
      </c>
      <c r="E445" s="8" t="s">
        <v>4087</v>
      </c>
      <c r="F445" s="8" t="s">
        <v>4334</v>
      </c>
      <c r="G445" s="6" t="str">
        <f>_xlfn.XLOOKUP(LD_01[[#This Row],[DISCIPLINA]],'CLASSES DE PROJETOS'!$F$3:$F$37,'CLASSES DE PROJETOS'!$C$3:$C$37)</f>
        <v>PA</v>
      </c>
      <c r="H445" t="str">
        <f>_xlfn.TEXTJOIN("/",TRUE,"MSV-163MS-"&amp;LD_01[[#This Row],[TRECHO]],_xlfn.XLOOKUP(LD_01[[#This Row],[SIGLA]],'CLASSES DE PROJETOS'!$C$3:$C$37,'CLASSES DE PROJETOS'!$E$3:$E$37))</f>
        <v>MSV-163MS-521-NORTE/27.PA</v>
      </c>
      <c r="I445" s="6" t="str" cm="1">
        <f t="array" ref="I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J445" s="6" t="str" cm="1">
        <f t="array" ref="J445">_xlfn.TEXTJOIN(", ",TRUE,_xlfn.UNIQUE(_xlfn._xlws.FILTER(ARQUIVOS_RECEBIDOS!$F$2:$F$5010,ARQUIVOS_RECEBIDOS!$E$2:$E$5010=LD_01[[#This Row],[DOCUMENTO]])))</f>
        <v>R00</v>
      </c>
      <c r="K445" s="12" cm="1">
        <f t="array" ref="K445">_xlfn.UNIQUE(_xlfn._xlws.FILTER(ARQUIVOS[DATA RECEBIMENTO],(ARQUIVOS[DOCUMENTO]=LD_01[[#This Row],[DOCUMENTO]])*(ARQUIVOS[REVISÃO]=LD_01[[#This Row],[REVISÃO]])))</f>
        <v>45838</v>
      </c>
      <c r="L4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M445" s="6" t="str">
        <f>LD_01[[#This Row],[PASTA]]&amp;"/"&amp;LD_01[[#This Row],[ARQUIVO]]</f>
        <v>MSV-163MS-521-NORTE/27.PA/MSV-163MS-521+950-ACE-EXE-DE-N2-001-R00.pdf</v>
      </c>
    </row>
    <row r="446" spans="1:13" ht="28.8" hidden="1" x14ac:dyDescent="0.3">
      <c r="A446" s="6" t="s">
        <v>3238</v>
      </c>
      <c r="B446" s="6" t="str">
        <f>VLOOKUP(LD_01[[#This Row],[DOCUMENTO]],_xlfn.SORTBY(ARQUIVOS_RECEBIDOS!$E$2:$F$5010,ARQUIVOS_RECEBIDOS!$F$2:$F$5010,-1),2,)</f>
        <v>R01</v>
      </c>
      <c r="C446" s="15" t="s">
        <v>5987</v>
      </c>
      <c r="D446" s="6" t="s">
        <v>4316</v>
      </c>
      <c r="E446" s="8" t="s">
        <v>4087</v>
      </c>
      <c r="F446" s="8" t="s">
        <v>4144</v>
      </c>
      <c r="G446" s="6" t="str">
        <f>_xlfn.XLOOKUP(LD_01[[#This Row],[DISCIPLINA]],'CLASSES DE PROJETOS'!$F$3:$F$37,'CLASSES DE PROJETOS'!$C$3:$C$37)</f>
        <v>DV</v>
      </c>
      <c r="H446" t="str">
        <f>_xlfn.TEXTJOIN("/",TRUE,"MSV-163MS-"&amp;LD_01[[#This Row],[TRECHO]],_xlfn.XLOOKUP(LD_01[[#This Row],[SIGLA]],'CLASSES DE PROJETOS'!$C$3:$C$37,'CLASSES DE PROJETOS'!$E$3:$E$37))</f>
        <v>MSV-163MS-521-NORTE/12.DV</v>
      </c>
      <c r="I446" s="6" t="str" cm="1">
        <f t="array" ref="I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J446" s="6" t="str" cm="1">
        <f t="array" ref="J446">_xlfn.TEXTJOIN(", ",TRUE,_xlfn.UNIQUE(_xlfn._xlws.FILTER(ARQUIVOS_RECEBIDOS!$F$2:$F$5010,ARQUIVOS_RECEBIDOS!$E$2:$E$5010=LD_01[[#This Row],[DOCUMENTO]])))</f>
        <v>R01</v>
      </c>
      <c r="K446" s="12" cm="1">
        <f t="array" ref="K446">_xlfn.UNIQUE(_xlfn._xlws.FILTER(ARQUIVOS[DATA RECEBIMENTO],(ARQUIVOS[DOCUMENTO]=LD_01[[#This Row],[DOCUMENTO]])*(ARQUIVOS[REVISÃO]=LD_01[[#This Row],[REVISÃO]])))</f>
        <v>45838</v>
      </c>
      <c r="L4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M446" s="6" t="str">
        <f>LD_01[[#This Row],[PASTA]]&amp;"/"&amp;LD_01[[#This Row],[ARQUIVO]]</f>
        <v>MSV-163MS-521-NORTE/12.DV/MSV-163MS-521+950-ACE-EXE-DE-O2-001-R01.pdf</v>
      </c>
    </row>
    <row r="447" spans="1:13" ht="28.8" hidden="1" x14ac:dyDescent="0.3">
      <c r="A447" s="6" t="s">
        <v>3239</v>
      </c>
      <c r="B447" s="6" t="str">
        <f>VLOOKUP(LD_01[[#This Row],[DOCUMENTO]],_xlfn.SORTBY(ARQUIVOS_RECEBIDOS!$E$2:$F$5010,ARQUIVOS_RECEBIDOS!$F$2:$F$5010,-1),2,)</f>
        <v>R00</v>
      </c>
      <c r="C447" s="15" t="s">
        <v>5987</v>
      </c>
      <c r="D447" s="6" t="s">
        <v>4316</v>
      </c>
      <c r="E447" s="8" t="s">
        <v>4089</v>
      </c>
      <c r="F447" s="8" t="s">
        <v>4144</v>
      </c>
      <c r="G447" s="6" t="str">
        <f>_xlfn.XLOOKUP(LD_01[[#This Row],[DISCIPLINA]],'CLASSES DE PROJETOS'!$F$3:$F$37,'CLASSES DE PROJETOS'!$C$3:$C$37)</f>
        <v>DV</v>
      </c>
      <c r="H447" t="str">
        <f>_xlfn.TEXTJOIN("/",TRUE,"MSV-163MS-"&amp;LD_01[[#This Row],[TRECHO]],_xlfn.XLOOKUP(LD_01[[#This Row],[SIGLA]],'CLASSES DE PROJETOS'!$C$3:$C$37,'CLASSES DE PROJETOS'!$E$3:$E$37))</f>
        <v>MSV-163MS-521-NORTE/12.DV</v>
      </c>
      <c r="I447" s="6" t="str" cm="1">
        <f t="array" ref="I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J447" s="6" t="str" cm="1">
        <f t="array" ref="J447">_xlfn.TEXTJOIN(", ",TRUE,_xlfn.UNIQUE(_xlfn._xlws.FILTER(ARQUIVOS_RECEBIDOS!$F$2:$F$5010,ARQUIVOS_RECEBIDOS!$E$2:$E$5010=LD_01[[#This Row],[DOCUMENTO]])))</f>
        <v>R00</v>
      </c>
      <c r="K447" s="12" cm="1">
        <f t="array" ref="K447">_xlfn.UNIQUE(_xlfn._xlws.FILTER(ARQUIVOS[DATA RECEBIMENTO],(ARQUIVOS[DOCUMENTO]=LD_01[[#This Row],[DOCUMENTO]])*(ARQUIVOS[REVISÃO]=LD_01[[#This Row],[REVISÃO]])))</f>
        <v>45838</v>
      </c>
      <c r="L4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M447" s="6" t="str">
        <f>LD_01[[#This Row],[PASTA]]&amp;"/"&amp;LD_01[[#This Row],[ARQUIVO]]</f>
        <v>MSV-163MS-521-NORTE/12.DV/MSV-163MS-521+950-ACE-EXE-DE-O2-002-R00.pdf</v>
      </c>
    </row>
    <row r="448" spans="1:13" ht="28.8" hidden="1" x14ac:dyDescent="0.3">
      <c r="A448" s="6" t="s">
        <v>3229</v>
      </c>
      <c r="B448" s="6" t="str">
        <f>VLOOKUP(LD_01[[#This Row],[DOCUMENTO]],_xlfn.SORTBY(ARQUIVOS_RECEBIDOS!$E$2:$F$5010,ARQUIVOS_RECEBIDOS!$F$2:$F$5010,-1),2,)</f>
        <v>R01</v>
      </c>
      <c r="C448" s="15" t="s">
        <v>5987</v>
      </c>
      <c r="D448" s="6" t="s">
        <v>4316</v>
      </c>
      <c r="E448" s="8" t="s">
        <v>4975</v>
      </c>
      <c r="F448" s="8" t="s">
        <v>4142</v>
      </c>
      <c r="G448" s="6" t="str">
        <f>_xlfn.XLOOKUP(LD_01[[#This Row],[DISCIPLINA]],'CLASSES DE PROJETOS'!$F$3:$F$37,'CLASSES DE PROJETOS'!$C$3:$C$37)</f>
        <v>DR</v>
      </c>
      <c r="H448" t="str">
        <f>_xlfn.TEXTJOIN("/",TRUE,"MSV-163MS-"&amp;LD_01[[#This Row],[TRECHO]],_xlfn.XLOOKUP(LD_01[[#This Row],[SIGLA]],'CLASSES DE PROJETOS'!$C$3:$C$37,'CLASSES DE PROJETOS'!$E$3:$E$37))</f>
        <v>MSV-163MS-521-NORTE/10.DR</v>
      </c>
      <c r="I448" s="6" t="str" cm="1">
        <f t="array" ref="I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J448" s="6" t="str" cm="1">
        <f t="array" ref="J448">_xlfn.TEXTJOIN(", ",TRUE,_xlfn.UNIQUE(_xlfn._xlws.FILTER(ARQUIVOS_RECEBIDOS!$F$2:$F$5010,ARQUIVOS_RECEBIDOS!$E$2:$E$5010=LD_01[[#This Row],[DOCUMENTO]])))</f>
        <v>R00, R01</v>
      </c>
      <c r="K448" s="12" cm="1">
        <f t="array" ref="K448">_xlfn.UNIQUE(_xlfn._xlws.FILTER(ARQUIVOS[DATA RECEBIMENTO],(ARQUIVOS[DOCUMENTO]=LD_01[[#This Row],[DOCUMENTO]])*(ARQUIVOS[REVISÃO]=LD_01[[#This Row],[REVISÃO]])))</f>
        <v>45895</v>
      </c>
      <c r="L4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M448" s="6" t="str">
        <f>LD_01[[#This Row],[PASTA]]&amp;"/"&amp;LD_01[[#This Row],[ARQUIVO]]</f>
        <v>MSV-163MS-521-NORTE/10.DR/MSV-163MS-521+950-ACE-EXE-MC-H2-001-R01.pdf</v>
      </c>
    </row>
    <row r="449" spans="1:13" ht="28.8" hidden="1" x14ac:dyDescent="0.3">
      <c r="A449" s="6" t="s">
        <v>3230</v>
      </c>
      <c r="B449" s="6" t="str">
        <f>VLOOKUP(LD_01[[#This Row],[DOCUMENTO]],_xlfn.SORTBY(ARQUIVOS_RECEBIDOS!$E$2:$F$5010,ARQUIVOS_RECEBIDOS!$F$2:$F$5010,-1),2,)</f>
        <v>R00</v>
      </c>
      <c r="C449" s="15" t="s">
        <v>5987</v>
      </c>
      <c r="D449" s="6" t="s">
        <v>4316</v>
      </c>
      <c r="E449" s="8" t="s">
        <v>4976</v>
      </c>
      <c r="F449" s="8" t="s">
        <v>4142</v>
      </c>
      <c r="G449" s="6" t="str">
        <f>_xlfn.XLOOKUP(LD_01[[#This Row],[DISCIPLINA]],'CLASSES DE PROJETOS'!$F$3:$F$37,'CLASSES DE PROJETOS'!$C$3:$C$37)</f>
        <v>DR</v>
      </c>
      <c r="H449" t="str">
        <f>_xlfn.TEXTJOIN("/",TRUE,"MSV-163MS-"&amp;LD_01[[#This Row],[TRECHO]],_xlfn.XLOOKUP(LD_01[[#This Row],[SIGLA]],'CLASSES DE PROJETOS'!$C$3:$C$37,'CLASSES DE PROJETOS'!$E$3:$E$37))</f>
        <v>MSV-163MS-521-NORTE/10.DR</v>
      </c>
      <c r="I449" s="6" t="str" cm="1">
        <f t="array" ref="I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J449" s="6" t="str" cm="1">
        <f t="array" ref="J449">_xlfn.TEXTJOIN(", ",TRUE,_xlfn.UNIQUE(_xlfn._xlws.FILTER(ARQUIVOS_RECEBIDOS!$F$2:$F$5010,ARQUIVOS_RECEBIDOS!$E$2:$E$5010=LD_01[[#This Row],[DOCUMENTO]])))</f>
        <v>R00</v>
      </c>
      <c r="K449" s="12" cm="1">
        <f t="array" ref="K449">_xlfn.UNIQUE(_xlfn._xlws.FILTER(ARQUIVOS[DATA RECEBIMENTO],(ARQUIVOS[DOCUMENTO]=LD_01[[#This Row],[DOCUMENTO]])*(ARQUIVOS[REVISÃO]=LD_01[[#This Row],[REVISÃO]])))</f>
        <v>45838</v>
      </c>
      <c r="L4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M449" s="6" t="str">
        <f>LD_01[[#This Row],[PASTA]]&amp;"/"&amp;LD_01[[#This Row],[ARQUIVO]]</f>
        <v>MSV-163MS-521-NORTE/10.DR/MSV-163MS-521+950-ACE-EXE-MD-H1-001-R00.pdf</v>
      </c>
    </row>
    <row r="450" spans="1:13" ht="28.8" hidden="1" x14ac:dyDescent="0.3">
      <c r="A450" s="6" t="s">
        <v>4068</v>
      </c>
      <c r="B450" s="6" t="str">
        <f>VLOOKUP(LD_01[[#This Row],[DOCUMENTO]],_xlfn.SORTBY(ARQUIVOS_RECEBIDOS!$E$2:$F$5010,ARQUIVOS_RECEBIDOS!$F$2:$F$5010,-1),2,)</f>
        <v>R00</v>
      </c>
      <c r="C450" s="15" t="s">
        <v>5987</v>
      </c>
      <c r="D450" s="6" t="s">
        <v>4316</v>
      </c>
      <c r="E450" s="8" t="s">
        <v>4981</v>
      </c>
      <c r="F450" s="8" t="s">
        <v>4143</v>
      </c>
      <c r="G450" s="6" t="str">
        <f>_xlfn.XLOOKUP(LD_01[[#This Row],[DISCIPLINA]],'CLASSES DE PROJETOS'!$F$3:$F$37,'CLASSES DE PROJETOS'!$C$3:$C$37)</f>
        <v>PV</v>
      </c>
      <c r="H450" t="str">
        <f>_xlfn.TEXTJOIN("/",TRUE,"MSV-163MS-"&amp;LD_01[[#This Row],[TRECHO]],_xlfn.XLOOKUP(LD_01[[#This Row],[SIGLA]],'CLASSES DE PROJETOS'!$C$3:$C$37,'CLASSES DE PROJETOS'!$E$3:$E$37))</f>
        <v>MSV-163MS-521-NORTE/28.PV</v>
      </c>
      <c r="I450" s="6" t="str" cm="1">
        <f t="array" ref="I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J450" s="6" t="str" cm="1">
        <f t="array" ref="J450">_xlfn.TEXTJOIN(", ",TRUE,_xlfn.UNIQUE(_xlfn._xlws.FILTER(ARQUIVOS_RECEBIDOS!$F$2:$F$5010,ARQUIVOS_RECEBIDOS!$E$2:$E$5010=LD_01[[#This Row],[DOCUMENTO]])))</f>
        <v>R00</v>
      </c>
      <c r="K450" s="12" cm="1">
        <f t="array" ref="K450">_xlfn.UNIQUE(_xlfn._xlws.FILTER(ARQUIVOS[DATA RECEBIMENTO],(ARQUIVOS[DOCUMENTO]=LD_01[[#This Row],[DOCUMENTO]])*(ARQUIVOS[REVISÃO]=LD_01[[#This Row],[REVISÃO]])))</f>
        <v>45895</v>
      </c>
      <c r="L4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M450" s="6" t="str">
        <f>LD_01[[#This Row],[PASTA]]&amp;"/"&amp;LD_01[[#This Row],[ARQUIVO]]</f>
        <v>MSV-163MS-521-NORTE/28.PV/MSV-163MS-521+950-ACE-EXE-MD-I2-001-R00.pdf</v>
      </c>
    </row>
    <row r="451" spans="1:13" ht="28.8" hidden="1" x14ac:dyDescent="0.3">
      <c r="A451" s="6" t="s">
        <v>4066</v>
      </c>
      <c r="B451" s="6" t="str">
        <f>VLOOKUP(LD_01[[#This Row],[DOCUMENTO]],_xlfn.SORTBY(ARQUIVOS_RECEBIDOS!$E$2:$F$5010,ARQUIVOS_RECEBIDOS!$F$2:$F$5010,-1),2,)</f>
        <v>R00</v>
      </c>
      <c r="C451" s="15" t="s">
        <v>5987</v>
      </c>
      <c r="D451" s="6" t="s">
        <v>4316</v>
      </c>
      <c r="E451" s="8" t="s">
        <v>4245</v>
      </c>
      <c r="F451" s="8" t="s">
        <v>4331</v>
      </c>
      <c r="G451" s="6" t="str">
        <f>_xlfn.XLOOKUP(LD_01[[#This Row],[DISCIPLINA]],'CLASSES DE PROJETOS'!$F$3:$F$37,'CLASSES DE PROJETOS'!$C$3:$C$37)</f>
        <v>SI</v>
      </c>
      <c r="H451" t="str">
        <f>_xlfn.TEXTJOIN("/",TRUE,"MSV-163MS-"&amp;LD_01[[#This Row],[TRECHO]],_xlfn.XLOOKUP(LD_01[[#This Row],[SIGLA]],'CLASSES DE PROJETOS'!$C$3:$C$37,'CLASSES DE PROJETOS'!$E$3:$E$37))</f>
        <v>MSV-163MS-521-NORTE/31.SI</v>
      </c>
      <c r="I451" s="6" t="str" cm="1">
        <f t="array" ref="I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J451" s="6" t="str" cm="1">
        <f t="array" ref="J451">_xlfn.TEXTJOIN(", ",TRUE,_xlfn.UNIQUE(_xlfn._xlws.FILTER(ARQUIVOS_RECEBIDOS!$F$2:$F$5010,ARQUIVOS_RECEBIDOS!$E$2:$E$5010=LD_01[[#This Row],[DOCUMENTO]])))</f>
        <v>R00</v>
      </c>
      <c r="K451" s="12" cm="1">
        <f t="array" ref="K451">_xlfn.UNIQUE(_xlfn._xlws.FILTER(ARQUIVOS[DATA RECEBIMENTO],(ARQUIVOS[DOCUMENTO]=LD_01[[#This Row],[DOCUMENTO]])*(ARQUIVOS[REVISÃO]=LD_01[[#This Row],[REVISÃO]])))</f>
        <v>45895</v>
      </c>
      <c r="L4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M451" s="6" t="str">
        <f>LD_01[[#This Row],[PASTA]]&amp;"/"&amp;LD_01[[#This Row],[ARQUIVO]]</f>
        <v>MSV-163MS-521-NORTE/31.SI/MSV-163MS-521+950-ACE-EXE-MD-J1-001-R00.pdf</v>
      </c>
    </row>
    <row r="452" spans="1:13" ht="28.8" hidden="1" x14ac:dyDescent="0.3">
      <c r="A452" s="6" t="s">
        <v>3242</v>
      </c>
      <c r="B452" s="6" t="str">
        <f>VLOOKUP(LD_01[[#This Row],[DOCUMENTO]],_xlfn.SORTBY(ARQUIVOS_RECEBIDOS!$E$2:$F$5010,ARQUIVOS_RECEBIDOS!$F$2:$F$5010,-1),2,)</f>
        <v>R00</v>
      </c>
      <c r="C452" s="15" t="s">
        <v>5987</v>
      </c>
      <c r="D452" s="6" t="s">
        <v>4316</v>
      </c>
      <c r="E452" s="8" t="s">
        <v>4169</v>
      </c>
      <c r="F452" s="8" t="s">
        <v>4334</v>
      </c>
      <c r="G452" s="6" t="str">
        <f>_xlfn.XLOOKUP(LD_01[[#This Row],[DISCIPLINA]],'CLASSES DE PROJETOS'!$F$3:$F$37,'CLASSES DE PROJETOS'!$C$3:$C$37)</f>
        <v>PA</v>
      </c>
      <c r="H452" t="str">
        <f>_xlfn.TEXTJOIN("/",TRUE,"MSV-163MS-"&amp;LD_01[[#This Row],[TRECHO]],_xlfn.XLOOKUP(LD_01[[#This Row],[SIGLA]],'CLASSES DE PROJETOS'!$C$3:$C$37,'CLASSES DE PROJETOS'!$E$3:$E$37))</f>
        <v>MSV-163MS-521-NORTE/27.PA</v>
      </c>
      <c r="I452" s="6" t="str" cm="1">
        <f t="array" ref="I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J452" s="6" t="str" cm="1">
        <f t="array" ref="J452">_xlfn.TEXTJOIN(", ",TRUE,_xlfn.UNIQUE(_xlfn._xlws.FILTER(ARQUIVOS_RECEBIDOS!$F$2:$F$5010,ARQUIVOS_RECEBIDOS!$E$2:$E$5010=LD_01[[#This Row],[DOCUMENTO]])))</f>
        <v>R00</v>
      </c>
      <c r="K452" s="12" cm="1">
        <f t="array" ref="K452">_xlfn.UNIQUE(_xlfn._xlws.FILTER(ARQUIVOS[DATA RECEBIMENTO],(ARQUIVOS[DOCUMENTO]=LD_01[[#This Row],[DOCUMENTO]])*(ARQUIVOS[REVISÃO]=LD_01[[#This Row],[REVISÃO]])))</f>
        <v>45838</v>
      </c>
      <c r="L4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M452" s="6" t="str">
        <f>LD_01[[#This Row],[PASTA]]&amp;"/"&amp;LD_01[[#This Row],[ARQUIVO]]</f>
        <v>MSV-163MS-521-NORTE/27.PA/MSV-163MS-521+950-ACE-EXE-MD-N2-001-R00.pdf</v>
      </c>
    </row>
    <row r="453" spans="1:13" ht="28.8" hidden="1" x14ac:dyDescent="0.3">
      <c r="A453" s="6" t="s">
        <v>3240</v>
      </c>
      <c r="B453" s="6" t="str">
        <f>VLOOKUP(LD_01[[#This Row],[DOCUMENTO]],_xlfn.SORTBY(ARQUIVOS_RECEBIDOS!$E$2:$F$5010,ARQUIVOS_RECEBIDOS!$F$2:$F$5010,-1),2,)</f>
        <v>R00</v>
      </c>
      <c r="C453" s="15" t="s">
        <v>5987</v>
      </c>
      <c r="D453" s="6" t="s">
        <v>4316</v>
      </c>
      <c r="E453" s="8" t="s">
        <v>4167</v>
      </c>
      <c r="F453" s="8" t="s">
        <v>4144</v>
      </c>
      <c r="G453" s="6" t="str">
        <f>_xlfn.XLOOKUP(LD_01[[#This Row],[DISCIPLINA]],'CLASSES DE PROJETOS'!$F$3:$F$37,'CLASSES DE PROJETOS'!$C$3:$C$37)</f>
        <v>DV</v>
      </c>
      <c r="H453" t="str">
        <f>_xlfn.TEXTJOIN("/",TRUE,"MSV-163MS-"&amp;LD_01[[#This Row],[TRECHO]],_xlfn.XLOOKUP(LD_01[[#This Row],[SIGLA]],'CLASSES DE PROJETOS'!$C$3:$C$37,'CLASSES DE PROJETOS'!$E$3:$E$37))</f>
        <v>MSV-163MS-521-NORTE/12.DV</v>
      </c>
      <c r="I453" s="6" t="str" cm="1">
        <f t="array" ref="I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J453" s="6" t="str" cm="1">
        <f t="array" ref="J453">_xlfn.TEXTJOIN(", ",TRUE,_xlfn.UNIQUE(_xlfn._xlws.FILTER(ARQUIVOS_RECEBIDOS!$F$2:$F$5010,ARQUIVOS_RECEBIDOS!$E$2:$E$5010=LD_01[[#This Row],[DOCUMENTO]])))</f>
        <v>R00</v>
      </c>
      <c r="K453" s="12" cm="1">
        <f t="array" ref="K453">_xlfn.UNIQUE(_xlfn._xlws.FILTER(ARQUIVOS[DATA RECEBIMENTO],(ARQUIVOS[DOCUMENTO]=LD_01[[#This Row],[DOCUMENTO]])*(ARQUIVOS[REVISÃO]=LD_01[[#This Row],[REVISÃO]])))</f>
        <v>45838</v>
      </c>
      <c r="L4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M453" s="6" t="str">
        <f>LD_01[[#This Row],[PASTA]]&amp;"/"&amp;LD_01[[#This Row],[ARQUIVO]]</f>
        <v>MSV-163MS-521-NORTE/12.DV/MSV-163MS-521+950-ACE-EXE-MD-O2-001-R00.pdf</v>
      </c>
    </row>
    <row r="454" spans="1:13" hidden="1" x14ac:dyDescent="0.3">
      <c r="A454" s="6" t="s">
        <v>3224</v>
      </c>
      <c r="B454" s="6" t="str">
        <f>VLOOKUP(LD_01[[#This Row],[DOCUMENTO]],_xlfn.SORTBY(ARQUIVOS_RECEBIDOS!$E$2:$F$5010,ARQUIVOS_RECEBIDOS!$F$2:$F$5010,-1),2,)</f>
        <v>R00</v>
      </c>
      <c r="C454" s="15" t="s">
        <v>5987</v>
      </c>
      <c r="D454" s="6" t="s">
        <v>4316</v>
      </c>
      <c r="E454" s="8" t="s">
        <v>4165</v>
      </c>
      <c r="F454" s="8" t="s">
        <v>4163</v>
      </c>
      <c r="G454" s="6" t="str">
        <f>_xlfn.XLOOKUP(LD_01[[#This Row],[DISCIPLINA]],'CLASSES DE PROJETOS'!$F$3:$F$37,'CLASSES DE PROJETOS'!$C$3:$C$37)</f>
        <v>TO</v>
      </c>
      <c r="H454" t="str">
        <f>_xlfn.TEXTJOIN("/",TRUE,"MSV-163MS-"&amp;LD_01[[#This Row],[TRECHO]],_xlfn.XLOOKUP(LD_01[[#This Row],[SIGLA]],'CLASSES DE PROJETOS'!$C$3:$C$37,'CLASSES DE PROJETOS'!$E$3:$E$37))</f>
        <v>MSV-163MS-521-NORTE/33.TO</v>
      </c>
      <c r="I454" s="6" t="str" cm="1">
        <f t="array" ref="I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J454" s="6" t="str" cm="1">
        <f t="array" ref="J454">_xlfn.TEXTJOIN(", ",TRUE,_xlfn.UNIQUE(_xlfn._xlws.FILTER(ARQUIVOS_RECEBIDOS!$F$2:$F$5010,ARQUIVOS_RECEBIDOS!$E$2:$E$5010=LD_01[[#This Row],[DOCUMENTO]])))</f>
        <v>R00</v>
      </c>
      <c r="K454" s="12" cm="1">
        <f t="array" ref="K454">_xlfn.UNIQUE(_xlfn._xlws.FILTER(ARQUIVOS[DATA RECEBIMENTO],(ARQUIVOS[DOCUMENTO]=LD_01[[#This Row],[DOCUMENTO]])*(ARQUIVOS[REVISÃO]=LD_01[[#This Row],[REVISÃO]])))</f>
        <v>45838</v>
      </c>
      <c r="L4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M454" s="6" t="str">
        <f>LD_01[[#This Row],[PASTA]]&amp;"/"&amp;LD_01[[#This Row],[ARQUIVO]]</f>
        <v>MSV-163MS-521-NORTE/33.TO/MSV-163MS-521+950-ACE-EXE-RT-C1-001-R00.pdf</v>
      </c>
    </row>
    <row r="455" spans="1:13" ht="28.8" hidden="1" x14ac:dyDescent="0.3">
      <c r="A455" s="6" t="s">
        <v>3234</v>
      </c>
      <c r="B455" s="6" t="str">
        <f>VLOOKUP(LD_01[[#This Row],[DOCUMENTO]],_xlfn.SORTBY(ARQUIVOS_RECEBIDOS!$E$2:$F$5010,ARQUIVOS_RECEBIDOS!$F$2:$F$5010,-1),2,)</f>
        <v>R01</v>
      </c>
      <c r="C455" s="15" t="s">
        <v>5987</v>
      </c>
      <c r="D455" s="6" t="s">
        <v>4316</v>
      </c>
      <c r="E455" s="8" t="s">
        <v>4092</v>
      </c>
      <c r="F455" s="8" t="s">
        <v>4332</v>
      </c>
      <c r="G455" s="6" t="str">
        <f>_xlfn.XLOOKUP(LD_01[[#This Row],[DISCIPLINA]],'CLASSES DE PROJETOS'!$F$3:$F$37,'CLASSES DE PROJETOS'!$C$3:$C$37)</f>
        <v>GG</v>
      </c>
      <c r="H455" t="str">
        <f>_xlfn.TEXTJOIN("/",TRUE,"MSV-163MS-"&amp;LD_01[[#This Row],[TRECHO]],_xlfn.XLOOKUP(LD_01[[#This Row],[SIGLA]],'CLASSES DE PROJETOS'!$C$3:$C$37,'CLASSES DE PROJETOS'!$E$3:$E$37))</f>
        <v>MSV-163MS-521-NORTE/19.GG</v>
      </c>
      <c r="I455" s="6" t="str" cm="1">
        <f t="array" ref="I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J455" s="6" t="str" cm="1">
        <f t="array" ref="J455">_xlfn.TEXTJOIN(", ",TRUE,_xlfn.UNIQUE(_xlfn._xlws.FILTER(ARQUIVOS_RECEBIDOS!$F$2:$F$5010,ARQUIVOS_RECEBIDOS!$E$2:$E$5010=LD_01[[#This Row],[DOCUMENTO]])))</f>
        <v>R01</v>
      </c>
      <c r="K455" s="12" cm="1">
        <f t="array" ref="K455">_xlfn.UNIQUE(_xlfn._xlws.FILTER(ARQUIVOS[DATA RECEBIMENTO],(ARQUIVOS[DOCUMENTO]=LD_01[[#This Row],[DOCUMENTO]])*(ARQUIVOS[REVISÃO]=LD_01[[#This Row],[REVISÃO]])))</f>
        <v>45838</v>
      </c>
      <c r="L4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M455" s="6" t="str">
        <f>LD_01[[#This Row],[PASTA]]&amp;"/"&amp;LD_01[[#This Row],[ARQUIVO]]</f>
        <v>MSV-163MS-521-NORTE/19.GG/MSV-163MS-521+950-ACE-EXE-RT-D3-001-R01.pdf</v>
      </c>
    </row>
    <row r="456" spans="1:13" ht="28.8" hidden="1" x14ac:dyDescent="0.3">
      <c r="A456" s="6" t="s">
        <v>3235</v>
      </c>
      <c r="B456" s="6" t="str">
        <f>VLOOKUP(LD_01[[#This Row],[DOCUMENTO]],_xlfn.SORTBY(ARQUIVOS_RECEBIDOS!$E$2:$F$5010,ARQUIVOS_RECEBIDOS!$F$2:$F$5010,-1),2,)</f>
        <v>R00</v>
      </c>
      <c r="C456" s="15" t="s">
        <v>5987</v>
      </c>
      <c r="D456" s="6" t="s">
        <v>4316</v>
      </c>
      <c r="E456" s="8" t="s">
        <v>4103</v>
      </c>
      <c r="F456" s="8" t="s">
        <v>4332</v>
      </c>
      <c r="G456" s="6" t="str">
        <f>_xlfn.XLOOKUP(LD_01[[#This Row],[DISCIPLINA]],'CLASSES DE PROJETOS'!$F$3:$F$37,'CLASSES DE PROJETOS'!$C$3:$C$37)</f>
        <v>GG</v>
      </c>
      <c r="H456" t="str">
        <f>_xlfn.TEXTJOIN("/",TRUE,"MSV-163MS-"&amp;LD_01[[#This Row],[TRECHO]],_xlfn.XLOOKUP(LD_01[[#This Row],[SIGLA]],'CLASSES DE PROJETOS'!$C$3:$C$37,'CLASSES DE PROJETOS'!$E$3:$E$37))</f>
        <v>MSV-163MS-521-NORTE/19.GG</v>
      </c>
      <c r="I456" s="6" t="str" cm="1">
        <f t="array" ref="I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J456" s="6" t="str" cm="1">
        <f t="array" ref="J456">_xlfn.TEXTJOIN(", ",TRUE,_xlfn.UNIQUE(_xlfn._xlws.FILTER(ARQUIVOS_RECEBIDOS!$F$2:$F$5010,ARQUIVOS_RECEBIDOS!$E$2:$E$5010=LD_01[[#This Row],[DOCUMENTO]])))</f>
        <v>R00</v>
      </c>
      <c r="K456" s="12" cm="1">
        <f t="array" ref="K456">_xlfn.UNIQUE(_xlfn._xlws.FILTER(ARQUIVOS[DATA RECEBIMENTO],(ARQUIVOS[DOCUMENTO]=LD_01[[#This Row],[DOCUMENTO]])*(ARQUIVOS[REVISÃO]=LD_01[[#This Row],[REVISÃO]])))</f>
        <v>45838</v>
      </c>
      <c r="L4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M456" s="6" t="str">
        <f>LD_01[[#This Row],[PASTA]]&amp;"/"&amp;LD_01[[#This Row],[ARQUIVO]]</f>
        <v>MSV-163MS-521-NORTE/19.GG/MSV-163MS-521+950-ACE-EXE-RT-D3-101-R00.pdf</v>
      </c>
    </row>
    <row r="457" spans="1:13" ht="28.8" hidden="1" x14ac:dyDescent="0.3">
      <c r="A457" s="6" t="s">
        <v>3243</v>
      </c>
      <c r="B457" s="6" t="str">
        <f>VLOOKUP(LD_01[[#This Row],[DOCUMENTO]],_xlfn.SORTBY(ARQUIVOS_RECEBIDOS!$E$2:$F$5010,ARQUIVOS_RECEBIDOS!$F$2:$F$5010,-1),2,)</f>
        <v>R00</v>
      </c>
      <c r="C457" s="15" t="s">
        <v>5987</v>
      </c>
      <c r="D457" s="6" t="s">
        <v>4316</v>
      </c>
      <c r="E457" s="8" t="s">
        <v>4304</v>
      </c>
      <c r="F457" s="8" t="s">
        <v>4335</v>
      </c>
      <c r="G457" s="6" t="str">
        <f>_xlfn.XLOOKUP(LD_01[[#This Row],[DISCIPLINA]],'CLASSES DE PROJETOS'!$F$3:$F$37,'CLASSES DE PROJETOS'!$C$3:$C$37)</f>
        <v>TR</v>
      </c>
      <c r="H457" t="str">
        <f>_xlfn.TEXTJOIN("/",TRUE,"MSV-163MS-"&amp;LD_01[[#This Row],[TRECHO]],_xlfn.XLOOKUP(LD_01[[#This Row],[SIGLA]],'CLASSES DE PROJETOS'!$C$3:$C$37,'CLASSES DE PROJETOS'!$E$3:$E$37))</f>
        <v>MSV-163MS-521-NORTE/34.TR</v>
      </c>
      <c r="I457" s="6" t="str" cm="1">
        <f t="array" ref="I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J457" s="6" t="str" cm="1">
        <f t="array" ref="J457">_xlfn.TEXTJOIN(", ",TRUE,_xlfn.UNIQUE(_xlfn._xlws.FILTER(ARQUIVOS_RECEBIDOS!$F$2:$F$5010,ARQUIVOS_RECEBIDOS!$E$2:$E$5010=LD_01[[#This Row],[DOCUMENTO]])))</f>
        <v>R00</v>
      </c>
      <c r="K457" s="12" cm="1">
        <f t="array" ref="K457">_xlfn.UNIQUE(_xlfn._xlws.FILTER(ARQUIVOS[DATA RECEBIMENTO],(ARQUIVOS[DOCUMENTO]=LD_01[[#This Row],[DOCUMENTO]])*(ARQUIVOS[REVISÃO]=LD_01[[#This Row],[REVISÃO]])))</f>
        <v>45838</v>
      </c>
      <c r="L4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M457" s="6" t="str">
        <f>LD_01[[#This Row],[PASTA]]&amp;"/"&amp;LD_01[[#This Row],[ARQUIVO]]</f>
        <v>MSV-163MS-521-NORTE/34.TR/MSV-163MS-521+950-ACE-EXE-RT-E1-001-R00.pdf</v>
      </c>
    </row>
    <row r="458" spans="1:13" ht="28.8" hidden="1" x14ac:dyDescent="0.3">
      <c r="A458" s="6" t="s">
        <v>3226</v>
      </c>
      <c r="B458" s="6" t="str">
        <f>VLOOKUP(LD_01[[#This Row],[DOCUMENTO]],_xlfn.SORTBY(ARQUIVOS_RECEBIDOS!$E$2:$F$5010,ARQUIVOS_RECEBIDOS!$F$2:$F$5010,-1),2,)</f>
        <v>R00</v>
      </c>
      <c r="C458" s="15" t="s">
        <v>5987</v>
      </c>
      <c r="D458" s="6" t="s">
        <v>4316</v>
      </c>
      <c r="E458" s="8" t="s">
        <v>4978</v>
      </c>
      <c r="F458" s="8" t="s">
        <v>4141</v>
      </c>
      <c r="G458" s="6" t="str">
        <f>_xlfn.XLOOKUP(LD_01[[#This Row],[DISCIPLINA]],'CLASSES DE PROJETOS'!$F$3:$F$37,'CLASSES DE PROJETOS'!$C$3:$C$37)</f>
        <v>GE</v>
      </c>
      <c r="H458" t="str">
        <f>_xlfn.TEXTJOIN("/",TRUE,"MSV-163MS-"&amp;LD_01[[#This Row],[TRECHO]],_xlfn.XLOOKUP(LD_01[[#This Row],[SIGLA]],'CLASSES DE PROJETOS'!$C$3:$C$37,'CLASSES DE PROJETOS'!$E$3:$E$37))</f>
        <v>MSV-163MS-521-NORTE/18.GE</v>
      </c>
      <c r="I458" s="6" t="str" cm="1">
        <f t="array" ref="I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J458" s="6" t="str" cm="1">
        <f t="array" ref="J458">_xlfn.TEXTJOIN(", ",TRUE,_xlfn.UNIQUE(_xlfn._xlws.FILTER(ARQUIVOS_RECEBIDOS!$F$2:$F$5010,ARQUIVOS_RECEBIDOS!$E$2:$E$5010=LD_01[[#This Row],[DOCUMENTO]])))</f>
        <v>R00</v>
      </c>
      <c r="K458" s="12" cm="1">
        <f t="array" ref="K458">_xlfn.UNIQUE(_xlfn._xlws.FILTER(ARQUIVOS[DATA RECEBIMENTO],(ARQUIVOS[DOCUMENTO]=LD_01[[#This Row],[DOCUMENTO]])*(ARQUIVOS[REVISÃO]=LD_01[[#This Row],[REVISÃO]])))</f>
        <v>45838</v>
      </c>
      <c r="L4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M458" s="6" t="str">
        <f>LD_01[[#This Row],[PASTA]]&amp;"/"&amp;LD_01[[#This Row],[ARQUIVO]]</f>
        <v>MSV-163MS-521-NORTE/18.GE/MSV-163MS-521+950-ACE-EXE-RT-F1-001-R00.pdf</v>
      </c>
    </row>
    <row r="459" spans="1:13" ht="43.2" hidden="1" x14ac:dyDescent="0.3">
      <c r="A459" s="6" t="s">
        <v>3237</v>
      </c>
      <c r="B459" s="6" t="str">
        <f>VLOOKUP(LD_01[[#This Row],[DOCUMENTO]],_xlfn.SORTBY(ARQUIVOS_RECEBIDOS!$E$2:$F$5010,ARQUIVOS_RECEBIDOS!$F$2:$F$5010,-1),2,)</f>
        <v>R00</v>
      </c>
      <c r="C459" s="15" t="s">
        <v>5987</v>
      </c>
      <c r="D459" s="6" t="s">
        <v>4316</v>
      </c>
      <c r="E459" s="8" t="s">
        <v>4166</v>
      </c>
      <c r="F459" s="8" t="s">
        <v>4333</v>
      </c>
      <c r="G459" s="6" t="str">
        <f>_xlfn.XLOOKUP(LD_01[[#This Row],[DISCIPLINA]],'CLASSES DE PROJETOS'!$F$3:$F$37,'CLASSES DE PROJETOS'!$C$3:$C$37)</f>
        <v>IN</v>
      </c>
      <c r="H459" t="str">
        <f>_xlfn.TEXTJOIN("/",TRUE,"MSV-163MS-"&amp;LD_01[[#This Row],[TRECHO]],_xlfn.XLOOKUP(LD_01[[#This Row],[SIGLA]],'CLASSES DE PROJETOS'!$C$3:$C$37,'CLASSES DE PROJETOS'!$E$3:$E$37))</f>
        <v>MSV-163MS-521-NORTE/23.IN</v>
      </c>
      <c r="I459" s="6" t="str" cm="1">
        <f t="array" ref="I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J459" s="6" t="str" cm="1">
        <f t="array" ref="J459">_xlfn.TEXTJOIN(", ",TRUE,_xlfn.UNIQUE(_xlfn._xlws.FILTER(ARQUIVOS_RECEBIDOS!$F$2:$F$5010,ARQUIVOS_RECEBIDOS!$E$2:$E$5010=LD_01[[#This Row],[DOCUMENTO]])))</f>
        <v>R00</v>
      </c>
      <c r="K459" s="12" cm="1">
        <f t="array" ref="K459">_xlfn.UNIQUE(_xlfn._xlws.FILTER(ARQUIVOS[DATA RECEBIMENTO],(ARQUIVOS[DOCUMENTO]=LD_01[[#This Row],[DOCUMENTO]])*(ARQUIVOS[REVISÃO]=LD_01[[#This Row],[REVISÃO]])))</f>
        <v>45838</v>
      </c>
      <c r="L4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M459" s="6" t="str">
        <f>LD_01[[#This Row],[PASTA]]&amp;"/"&amp;LD_01[[#This Row],[ARQUIVO]]</f>
        <v>MSV-163MS-521-NORTE/23.IN/MSV-163MS-521+950-ACE-EXE-RT-M1-001-R00.pdf</v>
      </c>
    </row>
    <row r="460" spans="1:13" hidden="1" x14ac:dyDescent="0.3">
      <c r="A460" s="6" t="s">
        <v>3244</v>
      </c>
      <c r="B460" s="6" t="str">
        <f>VLOOKUP(LD_01[[#This Row],[DOCUMENTO]],_xlfn.SORTBY(ARQUIVOS_RECEBIDOS!$E$2:$F$5010,ARQUIVOS_RECEBIDOS!$F$2:$F$5010,-1),2,)</f>
        <v>R00</v>
      </c>
      <c r="C460" s="15" t="s">
        <v>5987</v>
      </c>
      <c r="D460" s="6" t="s">
        <v>4317</v>
      </c>
      <c r="E460" s="8" t="s">
        <v>4164</v>
      </c>
      <c r="F460" s="8" t="s">
        <v>4163</v>
      </c>
      <c r="G460" s="6" t="str">
        <f>_xlfn.XLOOKUP(LD_01[[#This Row],[DISCIPLINA]],'CLASSES DE PROJETOS'!$F$3:$F$37,'CLASSES DE PROJETOS'!$C$3:$C$37)</f>
        <v>TO</v>
      </c>
      <c r="H460" t="str">
        <f>_xlfn.TEXTJOIN("/",TRUE,"MSV-163MS-"&amp;LD_01[[#This Row],[TRECHO]],_xlfn.XLOOKUP(LD_01[[#This Row],[SIGLA]],'CLASSES DE PROJETOS'!$C$3:$C$37,'CLASSES DE PROJETOS'!$E$3:$E$37))</f>
        <v>MSV-163MS-535-545/33.TO</v>
      </c>
      <c r="I460" s="6" t="str" cm="1">
        <f t="array" ref="I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J460" s="6" t="str" cm="1">
        <f t="array" ref="J460">_xlfn.TEXTJOIN(", ",TRUE,_xlfn.UNIQUE(_xlfn._xlws.FILTER(ARQUIVOS_RECEBIDOS!$F$2:$F$5010,ARQUIVOS_RECEBIDOS!$E$2:$E$5010=LD_01[[#This Row],[DOCUMENTO]])))</f>
        <v>R00</v>
      </c>
      <c r="K460" s="12" cm="1">
        <f t="array" ref="K460">_xlfn.UNIQUE(_xlfn._xlws.FILTER(ARQUIVOS[DATA RECEBIMENTO],(ARQUIVOS[DOCUMENTO]=LD_01[[#This Row],[DOCUMENTO]])*(ARQUIVOS[REVISÃO]=LD_01[[#This Row],[REVISÃO]])))</f>
        <v>45838</v>
      </c>
      <c r="L4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M460" s="6" t="str">
        <f>LD_01[[#This Row],[PASTA]]&amp;"/"&amp;LD_01[[#This Row],[ARQUIVO]]</f>
        <v>MSV-163MS-535-545/33.TO/MSV-163MS-535-545-ACA-EXE-DE-C1-001-R00.pdf</v>
      </c>
    </row>
    <row r="461" spans="1:13" hidden="1" x14ac:dyDescent="0.3">
      <c r="A461" s="6" t="s">
        <v>3245</v>
      </c>
      <c r="B461" s="6" t="str">
        <f>VLOOKUP(LD_01[[#This Row],[DOCUMENTO]],_xlfn.SORTBY(ARQUIVOS_RECEBIDOS!$E$2:$F$5010,ARQUIVOS_RECEBIDOS!$F$2:$F$5010,-1),2,)</f>
        <v>R00</v>
      </c>
      <c r="C461" s="15" t="s">
        <v>5987</v>
      </c>
      <c r="D461" s="6" t="s">
        <v>4317</v>
      </c>
      <c r="E461" s="8" t="s">
        <v>4164</v>
      </c>
      <c r="F461" s="8" t="s">
        <v>4163</v>
      </c>
      <c r="G461" s="6" t="str">
        <f>_xlfn.XLOOKUP(LD_01[[#This Row],[DISCIPLINA]],'CLASSES DE PROJETOS'!$F$3:$F$37,'CLASSES DE PROJETOS'!$C$3:$C$37)</f>
        <v>TO</v>
      </c>
      <c r="H461" t="str">
        <f>_xlfn.TEXTJOIN("/",TRUE,"MSV-163MS-"&amp;LD_01[[#This Row],[TRECHO]],_xlfn.XLOOKUP(LD_01[[#This Row],[SIGLA]],'CLASSES DE PROJETOS'!$C$3:$C$37,'CLASSES DE PROJETOS'!$E$3:$E$37))</f>
        <v>MSV-163MS-535-545/33.TO</v>
      </c>
      <c r="I461" s="6" t="str" cm="1">
        <f t="array" ref="I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J461" s="6" t="str" cm="1">
        <f t="array" ref="J461">_xlfn.TEXTJOIN(", ",TRUE,_xlfn.UNIQUE(_xlfn._xlws.FILTER(ARQUIVOS_RECEBIDOS!$F$2:$F$5010,ARQUIVOS_RECEBIDOS!$E$2:$E$5010=LD_01[[#This Row],[DOCUMENTO]])))</f>
        <v>R00</v>
      </c>
      <c r="K461" s="12" cm="1">
        <f t="array" ref="K461">_xlfn.UNIQUE(_xlfn._xlws.FILTER(ARQUIVOS[DATA RECEBIMENTO],(ARQUIVOS[DOCUMENTO]=LD_01[[#This Row],[DOCUMENTO]])*(ARQUIVOS[REVISÃO]=LD_01[[#This Row],[REVISÃO]])))</f>
        <v>45838</v>
      </c>
      <c r="L4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M461" s="6" t="str">
        <f>LD_01[[#This Row],[PASTA]]&amp;"/"&amp;LD_01[[#This Row],[ARQUIVO]]</f>
        <v>MSV-163MS-535-545/33.TO/MSV-163MS-535-545-ACA-EXE-DE-C1-002-R00.pdf</v>
      </c>
    </row>
    <row r="462" spans="1:13" hidden="1" x14ac:dyDescent="0.3">
      <c r="A462" s="6" t="s">
        <v>3246</v>
      </c>
      <c r="B462" s="6" t="str">
        <f>VLOOKUP(LD_01[[#This Row],[DOCUMENTO]],_xlfn.SORTBY(ARQUIVOS_RECEBIDOS!$E$2:$F$5010,ARQUIVOS_RECEBIDOS!$F$2:$F$5010,-1),2,)</f>
        <v>R00</v>
      </c>
      <c r="C462" s="15" t="s">
        <v>5987</v>
      </c>
      <c r="D462" s="6" t="s">
        <v>4317</v>
      </c>
      <c r="E462" s="8" t="s">
        <v>4164</v>
      </c>
      <c r="F462" s="8" t="s">
        <v>4163</v>
      </c>
      <c r="G462" s="6" t="str">
        <f>_xlfn.XLOOKUP(LD_01[[#This Row],[DISCIPLINA]],'CLASSES DE PROJETOS'!$F$3:$F$37,'CLASSES DE PROJETOS'!$C$3:$C$37)</f>
        <v>TO</v>
      </c>
      <c r="H462" t="str">
        <f>_xlfn.TEXTJOIN("/",TRUE,"MSV-163MS-"&amp;LD_01[[#This Row],[TRECHO]],_xlfn.XLOOKUP(LD_01[[#This Row],[SIGLA]],'CLASSES DE PROJETOS'!$C$3:$C$37,'CLASSES DE PROJETOS'!$E$3:$E$37))</f>
        <v>MSV-163MS-535-545/33.TO</v>
      </c>
      <c r="I462" s="6" t="str" cm="1">
        <f t="array" ref="I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J462" s="6" t="str" cm="1">
        <f t="array" ref="J462">_xlfn.TEXTJOIN(", ",TRUE,_xlfn.UNIQUE(_xlfn._xlws.FILTER(ARQUIVOS_RECEBIDOS!$F$2:$F$5010,ARQUIVOS_RECEBIDOS!$E$2:$E$5010=LD_01[[#This Row],[DOCUMENTO]])))</f>
        <v>R00</v>
      </c>
      <c r="K462" s="12" cm="1">
        <f t="array" ref="K462">_xlfn.UNIQUE(_xlfn._xlws.FILTER(ARQUIVOS[DATA RECEBIMENTO],(ARQUIVOS[DOCUMENTO]=LD_01[[#This Row],[DOCUMENTO]])*(ARQUIVOS[REVISÃO]=LD_01[[#This Row],[REVISÃO]])))</f>
        <v>45838</v>
      </c>
      <c r="L4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M462" s="6" t="str">
        <f>LD_01[[#This Row],[PASTA]]&amp;"/"&amp;LD_01[[#This Row],[ARQUIVO]]</f>
        <v>MSV-163MS-535-545/33.TO/MSV-163MS-535-545-ACA-EXE-DE-C1-003-R00.pdf</v>
      </c>
    </row>
    <row r="463" spans="1:13" hidden="1" x14ac:dyDescent="0.3">
      <c r="A463" s="6" t="s">
        <v>3247</v>
      </c>
      <c r="B463" s="6" t="str">
        <f>VLOOKUP(LD_01[[#This Row],[DOCUMENTO]],_xlfn.SORTBY(ARQUIVOS_RECEBIDOS!$E$2:$F$5010,ARQUIVOS_RECEBIDOS!$F$2:$F$5010,-1),2,)</f>
        <v>R00</v>
      </c>
      <c r="C463" s="15" t="s">
        <v>5987</v>
      </c>
      <c r="D463" s="6" t="s">
        <v>4317</v>
      </c>
      <c r="E463" s="8" t="s">
        <v>4164</v>
      </c>
      <c r="F463" s="8" t="s">
        <v>4163</v>
      </c>
      <c r="G463" s="6" t="str">
        <f>_xlfn.XLOOKUP(LD_01[[#This Row],[DISCIPLINA]],'CLASSES DE PROJETOS'!$F$3:$F$37,'CLASSES DE PROJETOS'!$C$3:$C$37)</f>
        <v>TO</v>
      </c>
      <c r="H463" t="str">
        <f>_xlfn.TEXTJOIN("/",TRUE,"MSV-163MS-"&amp;LD_01[[#This Row],[TRECHO]],_xlfn.XLOOKUP(LD_01[[#This Row],[SIGLA]],'CLASSES DE PROJETOS'!$C$3:$C$37,'CLASSES DE PROJETOS'!$E$3:$E$37))</f>
        <v>MSV-163MS-535-545/33.TO</v>
      </c>
      <c r="I463" s="6" t="str" cm="1">
        <f t="array" ref="I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J463" s="6" t="str" cm="1">
        <f t="array" ref="J463">_xlfn.TEXTJOIN(", ",TRUE,_xlfn.UNIQUE(_xlfn._xlws.FILTER(ARQUIVOS_RECEBIDOS!$F$2:$F$5010,ARQUIVOS_RECEBIDOS!$E$2:$E$5010=LD_01[[#This Row],[DOCUMENTO]])))</f>
        <v>R00</v>
      </c>
      <c r="K463" s="12" cm="1">
        <f t="array" ref="K463">_xlfn.UNIQUE(_xlfn._xlws.FILTER(ARQUIVOS[DATA RECEBIMENTO],(ARQUIVOS[DOCUMENTO]=LD_01[[#This Row],[DOCUMENTO]])*(ARQUIVOS[REVISÃO]=LD_01[[#This Row],[REVISÃO]])))</f>
        <v>45838</v>
      </c>
      <c r="L4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M463" s="6" t="str">
        <f>LD_01[[#This Row],[PASTA]]&amp;"/"&amp;LD_01[[#This Row],[ARQUIVO]]</f>
        <v>MSV-163MS-535-545/33.TO/MSV-163MS-535-545-ACA-EXE-DE-C1-004-R00.pdf</v>
      </c>
    </row>
    <row r="464" spans="1:13" hidden="1" x14ac:dyDescent="0.3">
      <c r="A464" s="6" t="s">
        <v>3248</v>
      </c>
      <c r="B464" s="6" t="str">
        <f>VLOOKUP(LD_01[[#This Row],[DOCUMENTO]],_xlfn.SORTBY(ARQUIVOS_RECEBIDOS!$E$2:$F$5010,ARQUIVOS_RECEBIDOS!$F$2:$F$5010,-1),2,)</f>
        <v>R00</v>
      </c>
      <c r="C464" s="15" t="s">
        <v>5987</v>
      </c>
      <c r="D464" s="6" t="s">
        <v>4317</v>
      </c>
      <c r="E464" s="8" t="s">
        <v>4164</v>
      </c>
      <c r="F464" s="8" t="s">
        <v>4163</v>
      </c>
      <c r="G464" s="6" t="str">
        <f>_xlfn.XLOOKUP(LD_01[[#This Row],[DISCIPLINA]],'CLASSES DE PROJETOS'!$F$3:$F$37,'CLASSES DE PROJETOS'!$C$3:$C$37)</f>
        <v>TO</v>
      </c>
      <c r="H464" t="str">
        <f>_xlfn.TEXTJOIN("/",TRUE,"MSV-163MS-"&amp;LD_01[[#This Row],[TRECHO]],_xlfn.XLOOKUP(LD_01[[#This Row],[SIGLA]],'CLASSES DE PROJETOS'!$C$3:$C$37,'CLASSES DE PROJETOS'!$E$3:$E$37))</f>
        <v>MSV-163MS-535-545/33.TO</v>
      </c>
      <c r="I464" s="6" t="str" cm="1">
        <f t="array" ref="I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J464" s="6" t="str" cm="1">
        <f t="array" ref="J464">_xlfn.TEXTJOIN(", ",TRUE,_xlfn.UNIQUE(_xlfn._xlws.FILTER(ARQUIVOS_RECEBIDOS!$F$2:$F$5010,ARQUIVOS_RECEBIDOS!$E$2:$E$5010=LD_01[[#This Row],[DOCUMENTO]])))</f>
        <v>R00</v>
      </c>
      <c r="K464" s="12" cm="1">
        <f t="array" ref="K464">_xlfn.UNIQUE(_xlfn._xlws.FILTER(ARQUIVOS[DATA RECEBIMENTO],(ARQUIVOS[DOCUMENTO]=LD_01[[#This Row],[DOCUMENTO]])*(ARQUIVOS[REVISÃO]=LD_01[[#This Row],[REVISÃO]])))</f>
        <v>45838</v>
      </c>
      <c r="L4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M464" s="6" t="str">
        <f>LD_01[[#This Row],[PASTA]]&amp;"/"&amp;LD_01[[#This Row],[ARQUIVO]]</f>
        <v>MSV-163MS-535-545/33.TO/MSV-163MS-535-545-ACA-EXE-DE-C1-005-R00.pdf</v>
      </c>
    </row>
    <row r="465" spans="1:13" hidden="1" x14ac:dyDescent="0.3">
      <c r="A465" s="6" t="s">
        <v>3249</v>
      </c>
      <c r="B465" s="6" t="str">
        <f>VLOOKUP(LD_01[[#This Row],[DOCUMENTO]],_xlfn.SORTBY(ARQUIVOS_RECEBIDOS!$E$2:$F$5010,ARQUIVOS_RECEBIDOS!$F$2:$F$5010,-1),2,)</f>
        <v>R00</v>
      </c>
      <c r="C465" s="15" t="s">
        <v>5987</v>
      </c>
      <c r="D465" s="6" t="s">
        <v>4317</v>
      </c>
      <c r="E465" s="8" t="s">
        <v>4164</v>
      </c>
      <c r="F465" s="8" t="s">
        <v>4163</v>
      </c>
      <c r="G465" s="6" t="str">
        <f>_xlfn.XLOOKUP(LD_01[[#This Row],[DISCIPLINA]],'CLASSES DE PROJETOS'!$F$3:$F$37,'CLASSES DE PROJETOS'!$C$3:$C$37)</f>
        <v>TO</v>
      </c>
      <c r="H465" t="str">
        <f>_xlfn.TEXTJOIN("/",TRUE,"MSV-163MS-"&amp;LD_01[[#This Row],[TRECHO]],_xlfn.XLOOKUP(LD_01[[#This Row],[SIGLA]],'CLASSES DE PROJETOS'!$C$3:$C$37,'CLASSES DE PROJETOS'!$E$3:$E$37))</f>
        <v>MSV-163MS-535-545/33.TO</v>
      </c>
      <c r="I465" s="6" t="str" cm="1">
        <f t="array" ref="I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J465" s="6" t="str" cm="1">
        <f t="array" ref="J465">_xlfn.TEXTJOIN(", ",TRUE,_xlfn.UNIQUE(_xlfn._xlws.FILTER(ARQUIVOS_RECEBIDOS!$F$2:$F$5010,ARQUIVOS_RECEBIDOS!$E$2:$E$5010=LD_01[[#This Row],[DOCUMENTO]])))</f>
        <v>R00</v>
      </c>
      <c r="K465" s="12" cm="1">
        <f t="array" ref="K465">_xlfn.UNIQUE(_xlfn._xlws.FILTER(ARQUIVOS[DATA RECEBIMENTO],(ARQUIVOS[DOCUMENTO]=LD_01[[#This Row],[DOCUMENTO]])*(ARQUIVOS[REVISÃO]=LD_01[[#This Row],[REVISÃO]])))</f>
        <v>45838</v>
      </c>
      <c r="L4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M465" s="6" t="str">
        <f>LD_01[[#This Row],[PASTA]]&amp;"/"&amp;LD_01[[#This Row],[ARQUIVO]]</f>
        <v>MSV-163MS-535-545/33.TO/MSV-163MS-535-545-ACA-EXE-DE-C1-006-R00.pdf</v>
      </c>
    </row>
    <row r="466" spans="1:13" hidden="1" x14ac:dyDescent="0.3">
      <c r="A466" s="6" t="s">
        <v>3250</v>
      </c>
      <c r="B466" s="6" t="str">
        <f>VLOOKUP(LD_01[[#This Row],[DOCUMENTO]],_xlfn.SORTBY(ARQUIVOS_RECEBIDOS!$E$2:$F$5010,ARQUIVOS_RECEBIDOS!$F$2:$F$5010,-1),2,)</f>
        <v>R00</v>
      </c>
      <c r="C466" s="15" t="s">
        <v>5987</v>
      </c>
      <c r="D466" s="6" t="s">
        <v>4317</v>
      </c>
      <c r="E466" s="8" t="s">
        <v>4164</v>
      </c>
      <c r="F466" s="8" t="s">
        <v>4163</v>
      </c>
      <c r="G466" s="6" t="str">
        <f>_xlfn.XLOOKUP(LD_01[[#This Row],[DISCIPLINA]],'CLASSES DE PROJETOS'!$F$3:$F$37,'CLASSES DE PROJETOS'!$C$3:$C$37)</f>
        <v>TO</v>
      </c>
      <c r="H466" t="str">
        <f>_xlfn.TEXTJOIN("/",TRUE,"MSV-163MS-"&amp;LD_01[[#This Row],[TRECHO]],_xlfn.XLOOKUP(LD_01[[#This Row],[SIGLA]],'CLASSES DE PROJETOS'!$C$3:$C$37,'CLASSES DE PROJETOS'!$E$3:$E$37))</f>
        <v>MSV-163MS-535-545/33.TO</v>
      </c>
      <c r="I466" s="6" t="str" cm="1">
        <f t="array" ref="I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J466" s="6" t="str" cm="1">
        <f t="array" ref="J466">_xlfn.TEXTJOIN(", ",TRUE,_xlfn.UNIQUE(_xlfn._xlws.FILTER(ARQUIVOS_RECEBIDOS!$F$2:$F$5010,ARQUIVOS_RECEBIDOS!$E$2:$E$5010=LD_01[[#This Row],[DOCUMENTO]])))</f>
        <v>R00</v>
      </c>
      <c r="K466" s="12" cm="1">
        <f t="array" ref="K466">_xlfn.UNIQUE(_xlfn._xlws.FILTER(ARQUIVOS[DATA RECEBIMENTO],(ARQUIVOS[DOCUMENTO]=LD_01[[#This Row],[DOCUMENTO]])*(ARQUIVOS[REVISÃO]=LD_01[[#This Row],[REVISÃO]])))</f>
        <v>45838</v>
      </c>
      <c r="L4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M466" s="6" t="str">
        <f>LD_01[[#This Row],[PASTA]]&amp;"/"&amp;LD_01[[#This Row],[ARQUIVO]]</f>
        <v>MSV-163MS-535-545/33.TO/MSV-163MS-535-545-ACA-EXE-DE-C1-007-R00.pdf</v>
      </c>
    </row>
    <row r="467" spans="1:13" hidden="1" x14ac:dyDescent="0.3">
      <c r="A467" s="6" t="s">
        <v>3251</v>
      </c>
      <c r="B467" s="6" t="str">
        <f>VLOOKUP(LD_01[[#This Row],[DOCUMENTO]],_xlfn.SORTBY(ARQUIVOS_RECEBIDOS!$E$2:$F$5010,ARQUIVOS_RECEBIDOS!$F$2:$F$5010,-1),2,)</f>
        <v>R00</v>
      </c>
      <c r="C467" s="15" t="s">
        <v>5987</v>
      </c>
      <c r="D467" s="6" t="s">
        <v>4317</v>
      </c>
      <c r="E467" s="8" t="s">
        <v>4164</v>
      </c>
      <c r="F467" s="8" t="s">
        <v>4163</v>
      </c>
      <c r="G467" s="6" t="str">
        <f>_xlfn.XLOOKUP(LD_01[[#This Row],[DISCIPLINA]],'CLASSES DE PROJETOS'!$F$3:$F$37,'CLASSES DE PROJETOS'!$C$3:$C$37)</f>
        <v>TO</v>
      </c>
      <c r="H467" t="str">
        <f>_xlfn.TEXTJOIN("/",TRUE,"MSV-163MS-"&amp;LD_01[[#This Row],[TRECHO]],_xlfn.XLOOKUP(LD_01[[#This Row],[SIGLA]],'CLASSES DE PROJETOS'!$C$3:$C$37,'CLASSES DE PROJETOS'!$E$3:$E$37))</f>
        <v>MSV-163MS-535-545/33.TO</v>
      </c>
      <c r="I467" s="6" t="str" cm="1">
        <f t="array" ref="I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J467" s="6" t="str" cm="1">
        <f t="array" ref="J467">_xlfn.TEXTJOIN(", ",TRUE,_xlfn.UNIQUE(_xlfn._xlws.FILTER(ARQUIVOS_RECEBIDOS!$F$2:$F$5010,ARQUIVOS_RECEBIDOS!$E$2:$E$5010=LD_01[[#This Row],[DOCUMENTO]])))</f>
        <v>R00</v>
      </c>
      <c r="K467" s="12" cm="1">
        <f t="array" ref="K467">_xlfn.UNIQUE(_xlfn._xlws.FILTER(ARQUIVOS[DATA RECEBIMENTO],(ARQUIVOS[DOCUMENTO]=LD_01[[#This Row],[DOCUMENTO]])*(ARQUIVOS[REVISÃO]=LD_01[[#This Row],[REVISÃO]])))</f>
        <v>45838</v>
      </c>
      <c r="L4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M467" s="6" t="str">
        <f>LD_01[[#This Row],[PASTA]]&amp;"/"&amp;LD_01[[#This Row],[ARQUIVO]]</f>
        <v>MSV-163MS-535-545/33.TO/MSV-163MS-535-545-ACA-EXE-DE-C1-008-R00.pdf</v>
      </c>
    </row>
    <row r="468" spans="1:13" hidden="1" x14ac:dyDescent="0.3">
      <c r="A468" s="6" t="s">
        <v>3252</v>
      </c>
      <c r="B468" s="6" t="str">
        <f>VLOOKUP(LD_01[[#This Row],[DOCUMENTO]],_xlfn.SORTBY(ARQUIVOS_RECEBIDOS!$E$2:$F$5010,ARQUIVOS_RECEBIDOS!$F$2:$F$5010,-1),2,)</f>
        <v>R01</v>
      </c>
      <c r="C468" s="15" t="s">
        <v>5987</v>
      </c>
      <c r="D468" s="6" t="s">
        <v>4317</v>
      </c>
      <c r="E468" s="8" t="s">
        <v>4164</v>
      </c>
      <c r="F468" s="8" t="s">
        <v>4163</v>
      </c>
      <c r="G468" s="6" t="str">
        <f>_xlfn.XLOOKUP(LD_01[[#This Row],[DISCIPLINA]],'CLASSES DE PROJETOS'!$F$3:$F$37,'CLASSES DE PROJETOS'!$C$3:$C$37)</f>
        <v>TO</v>
      </c>
      <c r="H468" t="str">
        <f>_xlfn.TEXTJOIN("/",TRUE,"MSV-163MS-"&amp;LD_01[[#This Row],[TRECHO]],_xlfn.XLOOKUP(LD_01[[#This Row],[SIGLA]],'CLASSES DE PROJETOS'!$C$3:$C$37,'CLASSES DE PROJETOS'!$E$3:$E$37))</f>
        <v>MSV-163MS-535-545/33.TO</v>
      </c>
      <c r="I468" s="6" t="str" cm="1">
        <f t="array" ref="I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J468" s="6" t="str" cm="1">
        <f t="array" ref="J468">_xlfn.TEXTJOIN(", ",TRUE,_xlfn.UNIQUE(_xlfn._xlws.FILTER(ARQUIVOS_RECEBIDOS!$F$2:$F$5010,ARQUIVOS_RECEBIDOS!$E$2:$E$5010=LD_01[[#This Row],[DOCUMENTO]])))</f>
        <v>R01</v>
      </c>
      <c r="K468" s="12" cm="1">
        <f t="array" ref="K468">_xlfn.UNIQUE(_xlfn._xlws.FILTER(ARQUIVOS[DATA RECEBIMENTO],(ARQUIVOS[DOCUMENTO]=LD_01[[#This Row],[DOCUMENTO]])*(ARQUIVOS[REVISÃO]=LD_01[[#This Row],[REVISÃO]])))</f>
        <v>45838</v>
      </c>
      <c r="L4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M468" s="6" t="str">
        <f>LD_01[[#This Row],[PASTA]]&amp;"/"&amp;LD_01[[#This Row],[ARQUIVO]]</f>
        <v>MSV-163MS-535-545/33.TO/MSV-163MS-535-545-ACA-EXE-DE-C1-009-R01.pdf</v>
      </c>
    </row>
    <row r="469" spans="1:13" hidden="1" x14ac:dyDescent="0.3">
      <c r="A469" s="6" t="s">
        <v>3253</v>
      </c>
      <c r="B469" s="6" t="str">
        <f>VLOOKUP(LD_01[[#This Row],[DOCUMENTO]],_xlfn.SORTBY(ARQUIVOS_RECEBIDOS!$E$2:$F$5010,ARQUIVOS_RECEBIDOS!$F$2:$F$5010,-1),2,)</f>
        <v>R00</v>
      </c>
      <c r="C469" s="15" t="s">
        <v>5987</v>
      </c>
      <c r="D469" s="6" t="s">
        <v>4317</v>
      </c>
      <c r="E469" s="8" t="s">
        <v>4164</v>
      </c>
      <c r="F469" s="8" t="s">
        <v>4163</v>
      </c>
      <c r="G469" s="6" t="str">
        <f>_xlfn.XLOOKUP(LD_01[[#This Row],[DISCIPLINA]],'CLASSES DE PROJETOS'!$F$3:$F$37,'CLASSES DE PROJETOS'!$C$3:$C$37)</f>
        <v>TO</v>
      </c>
      <c r="H469" t="str">
        <f>_xlfn.TEXTJOIN("/",TRUE,"MSV-163MS-"&amp;LD_01[[#This Row],[TRECHO]],_xlfn.XLOOKUP(LD_01[[#This Row],[SIGLA]],'CLASSES DE PROJETOS'!$C$3:$C$37,'CLASSES DE PROJETOS'!$E$3:$E$37))</f>
        <v>MSV-163MS-535-545/33.TO</v>
      </c>
      <c r="I469" s="6" t="str" cm="1">
        <f t="array" ref="I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J469" s="6" t="str" cm="1">
        <f t="array" ref="J469">_xlfn.TEXTJOIN(", ",TRUE,_xlfn.UNIQUE(_xlfn._xlws.FILTER(ARQUIVOS_RECEBIDOS!$F$2:$F$5010,ARQUIVOS_RECEBIDOS!$E$2:$E$5010=LD_01[[#This Row],[DOCUMENTO]])))</f>
        <v>R00</v>
      </c>
      <c r="K469" s="12" cm="1">
        <f t="array" ref="K469">_xlfn.UNIQUE(_xlfn._xlws.FILTER(ARQUIVOS[DATA RECEBIMENTO],(ARQUIVOS[DOCUMENTO]=LD_01[[#This Row],[DOCUMENTO]])*(ARQUIVOS[REVISÃO]=LD_01[[#This Row],[REVISÃO]])))</f>
        <v>45838</v>
      </c>
      <c r="L4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M469" s="6" t="str">
        <f>LD_01[[#This Row],[PASTA]]&amp;"/"&amp;LD_01[[#This Row],[ARQUIVO]]</f>
        <v>MSV-163MS-535-545/33.TO/MSV-163MS-535-545-ACA-EXE-DE-C1-010-R00.pdf</v>
      </c>
    </row>
    <row r="470" spans="1:13" ht="28.8" hidden="1" x14ac:dyDescent="0.3">
      <c r="A470" s="6" t="s">
        <v>3419</v>
      </c>
      <c r="B470" s="6" t="str">
        <f>VLOOKUP(LD_01[[#This Row],[DOCUMENTO]],_xlfn.SORTBY(ARQUIVOS_RECEBIDOS!$E$2:$F$5010,ARQUIVOS_RECEBIDOS!$F$2:$F$5010,-1),2,)</f>
        <v>R02</v>
      </c>
      <c r="C470" s="15" t="s">
        <v>5987</v>
      </c>
      <c r="D470" s="6" t="s">
        <v>4317</v>
      </c>
      <c r="E470" s="8" t="s">
        <v>4076</v>
      </c>
      <c r="F470" s="8" t="s">
        <v>4332</v>
      </c>
      <c r="G470" s="6" t="str">
        <f>_xlfn.XLOOKUP(LD_01[[#This Row],[DISCIPLINA]],'CLASSES DE PROJETOS'!$F$3:$F$37,'CLASSES DE PROJETOS'!$C$3:$C$37)</f>
        <v>GG</v>
      </c>
      <c r="H470" t="str">
        <f>_xlfn.TEXTJOIN("/",TRUE,"MSV-163MS-"&amp;LD_01[[#This Row],[TRECHO]],_xlfn.XLOOKUP(LD_01[[#This Row],[SIGLA]],'CLASSES DE PROJETOS'!$C$3:$C$37,'CLASSES DE PROJETOS'!$E$3:$E$37))</f>
        <v>MSV-163MS-535-545/19.GG</v>
      </c>
      <c r="I470" s="6" t="str" cm="1">
        <f t="array" ref="I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J470" s="6" t="str" cm="1">
        <f t="array" ref="J470">_xlfn.TEXTJOIN(", ",TRUE,_xlfn.UNIQUE(_xlfn._xlws.FILTER(ARQUIVOS_RECEBIDOS!$F$2:$F$5010,ARQUIVOS_RECEBIDOS!$E$2:$E$5010=LD_01[[#This Row],[DOCUMENTO]])))</f>
        <v>R02</v>
      </c>
      <c r="K470" s="12" cm="1">
        <f t="array" ref="K470">_xlfn.UNIQUE(_xlfn._xlws.FILTER(ARQUIVOS[DATA RECEBIMENTO],(ARQUIVOS[DOCUMENTO]=LD_01[[#This Row],[DOCUMENTO]])*(ARQUIVOS[REVISÃO]=LD_01[[#This Row],[REVISÃO]])))</f>
        <v>45838</v>
      </c>
      <c r="L4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M470" s="6" t="str">
        <f>LD_01[[#This Row],[PASTA]]&amp;"/"&amp;LD_01[[#This Row],[ARQUIVO]]</f>
        <v>MSV-163MS-535-545/19.GG/MSV-163MS-535-545-ACA-EXE-DE-D3-001-R02.pdf</v>
      </c>
    </row>
    <row r="471" spans="1:13" ht="28.8" hidden="1" x14ac:dyDescent="0.3">
      <c r="A471" s="6" t="s">
        <v>3420</v>
      </c>
      <c r="B471" s="6" t="str">
        <f>VLOOKUP(LD_01[[#This Row],[DOCUMENTO]],_xlfn.SORTBY(ARQUIVOS_RECEBIDOS!$E$2:$F$5010,ARQUIVOS_RECEBIDOS!$F$2:$F$5010,-1),2,)</f>
        <v>R01</v>
      </c>
      <c r="C471" s="15" t="s">
        <v>5987</v>
      </c>
      <c r="D471" s="6" t="s">
        <v>4317</v>
      </c>
      <c r="E471" s="8" t="s">
        <v>4076</v>
      </c>
      <c r="F471" s="8" t="s">
        <v>4332</v>
      </c>
      <c r="G471" s="6" t="str">
        <f>_xlfn.XLOOKUP(LD_01[[#This Row],[DISCIPLINA]],'CLASSES DE PROJETOS'!$F$3:$F$37,'CLASSES DE PROJETOS'!$C$3:$C$37)</f>
        <v>GG</v>
      </c>
      <c r="H471" t="str">
        <f>_xlfn.TEXTJOIN("/",TRUE,"MSV-163MS-"&amp;LD_01[[#This Row],[TRECHO]],_xlfn.XLOOKUP(LD_01[[#This Row],[SIGLA]],'CLASSES DE PROJETOS'!$C$3:$C$37,'CLASSES DE PROJETOS'!$E$3:$E$37))</f>
        <v>MSV-163MS-535-545/19.GG</v>
      </c>
      <c r="I471" s="6" t="str" cm="1">
        <f t="array" ref="I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J471" s="6" t="str" cm="1">
        <f t="array" ref="J471">_xlfn.TEXTJOIN(", ",TRUE,_xlfn.UNIQUE(_xlfn._xlws.FILTER(ARQUIVOS_RECEBIDOS!$F$2:$F$5010,ARQUIVOS_RECEBIDOS!$E$2:$E$5010=LD_01[[#This Row],[DOCUMENTO]])))</f>
        <v>R01</v>
      </c>
      <c r="K471" s="12" cm="1">
        <f t="array" ref="K471">_xlfn.UNIQUE(_xlfn._xlws.FILTER(ARQUIVOS[DATA RECEBIMENTO],(ARQUIVOS[DOCUMENTO]=LD_01[[#This Row],[DOCUMENTO]])*(ARQUIVOS[REVISÃO]=LD_01[[#This Row],[REVISÃO]])))</f>
        <v>45838</v>
      </c>
      <c r="L4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M471" s="6" t="str">
        <f>LD_01[[#This Row],[PASTA]]&amp;"/"&amp;LD_01[[#This Row],[ARQUIVO]]</f>
        <v>MSV-163MS-535-545/19.GG/MSV-163MS-535-545-ACA-EXE-DE-D3-002-R01.pdf</v>
      </c>
    </row>
    <row r="472" spans="1:13" ht="28.8" hidden="1" x14ac:dyDescent="0.3">
      <c r="A472" s="6" t="s">
        <v>3421</v>
      </c>
      <c r="B472" s="6" t="str">
        <f>VLOOKUP(LD_01[[#This Row],[DOCUMENTO]],_xlfn.SORTBY(ARQUIVOS_RECEBIDOS!$E$2:$F$5010,ARQUIVOS_RECEBIDOS!$F$2:$F$5010,-1),2,)</f>
        <v>R02</v>
      </c>
      <c r="C472" s="15" t="s">
        <v>5987</v>
      </c>
      <c r="D472" s="6" t="s">
        <v>4317</v>
      </c>
      <c r="E472" s="8" t="s">
        <v>4076</v>
      </c>
      <c r="F472" s="8" t="s">
        <v>4332</v>
      </c>
      <c r="G472" s="6" t="str">
        <f>_xlfn.XLOOKUP(LD_01[[#This Row],[DISCIPLINA]],'CLASSES DE PROJETOS'!$F$3:$F$37,'CLASSES DE PROJETOS'!$C$3:$C$37)</f>
        <v>GG</v>
      </c>
      <c r="H472" t="str">
        <f>_xlfn.TEXTJOIN("/",TRUE,"MSV-163MS-"&amp;LD_01[[#This Row],[TRECHO]],_xlfn.XLOOKUP(LD_01[[#This Row],[SIGLA]],'CLASSES DE PROJETOS'!$C$3:$C$37,'CLASSES DE PROJETOS'!$E$3:$E$37))</f>
        <v>MSV-163MS-535-545/19.GG</v>
      </c>
      <c r="I472" s="6" t="str" cm="1">
        <f t="array" ref="I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J472" s="6" t="str" cm="1">
        <f t="array" ref="J472">_xlfn.TEXTJOIN(", ",TRUE,_xlfn.UNIQUE(_xlfn._xlws.FILTER(ARQUIVOS_RECEBIDOS!$F$2:$F$5010,ARQUIVOS_RECEBIDOS!$E$2:$E$5010=LD_01[[#This Row],[DOCUMENTO]])))</f>
        <v>R02</v>
      </c>
      <c r="K472" s="12" cm="1">
        <f t="array" ref="K472">_xlfn.UNIQUE(_xlfn._xlws.FILTER(ARQUIVOS[DATA RECEBIMENTO],(ARQUIVOS[DOCUMENTO]=LD_01[[#This Row],[DOCUMENTO]])*(ARQUIVOS[REVISÃO]=LD_01[[#This Row],[REVISÃO]])))</f>
        <v>45838</v>
      </c>
      <c r="L4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M472" s="6" t="str">
        <f>LD_01[[#This Row],[PASTA]]&amp;"/"&amp;LD_01[[#This Row],[ARQUIVO]]</f>
        <v>MSV-163MS-535-545/19.GG/MSV-163MS-535-545-ACA-EXE-DE-D3-003-R02.pdf</v>
      </c>
    </row>
    <row r="473" spans="1:13" ht="28.8" hidden="1" x14ac:dyDescent="0.3">
      <c r="A473" s="6" t="s">
        <v>3422</v>
      </c>
      <c r="B473" s="6" t="str">
        <f>VLOOKUP(LD_01[[#This Row],[DOCUMENTO]],_xlfn.SORTBY(ARQUIVOS_RECEBIDOS!$E$2:$F$5010,ARQUIVOS_RECEBIDOS!$F$2:$F$5010,-1),2,)</f>
        <v>R02</v>
      </c>
      <c r="C473" s="15" t="s">
        <v>5987</v>
      </c>
      <c r="D473" s="6" t="s">
        <v>4317</v>
      </c>
      <c r="E473" s="8" t="s">
        <v>4076</v>
      </c>
      <c r="F473" s="8" t="s">
        <v>4332</v>
      </c>
      <c r="G473" s="6" t="str">
        <f>_xlfn.XLOOKUP(LD_01[[#This Row],[DISCIPLINA]],'CLASSES DE PROJETOS'!$F$3:$F$37,'CLASSES DE PROJETOS'!$C$3:$C$37)</f>
        <v>GG</v>
      </c>
      <c r="H473" t="str">
        <f>_xlfn.TEXTJOIN("/",TRUE,"MSV-163MS-"&amp;LD_01[[#This Row],[TRECHO]],_xlfn.XLOOKUP(LD_01[[#This Row],[SIGLA]],'CLASSES DE PROJETOS'!$C$3:$C$37,'CLASSES DE PROJETOS'!$E$3:$E$37))</f>
        <v>MSV-163MS-535-545/19.GG</v>
      </c>
      <c r="I473" s="6" t="str" cm="1">
        <f t="array" ref="I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J473" s="6" t="str" cm="1">
        <f t="array" ref="J473">_xlfn.TEXTJOIN(", ",TRUE,_xlfn.UNIQUE(_xlfn._xlws.FILTER(ARQUIVOS_RECEBIDOS!$F$2:$F$5010,ARQUIVOS_RECEBIDOS!$E$2:$E$5010=LD_01[[#This Row],[DOCUMENTO]])))</f>
        <v>R02</v>
      </c>
      <c r="K473" s="12" cm="1">
        <f t="array" ref="K473">_xlfn.UNIQUE(_xlfn._xlws.FILTER(ARQUIVOS[DATA RECEBIMENTO],(ARQUIVOS[DOCUMENTO]=LD_01[[#This Row],[DOCUMENTO]])*(ARQUIVOS[REVISÃO]=LD_01[[#This Row],[REVISÃO]])))</f>
        <v>45838</v>
      </c>
      <c r="L4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M473" s="6" t="str">
        <f>LD_01[[#This Row],[PASTA]]&amp;"/"&amp;LD_01[[#This Row],[ARQUIVO]]</f>
        <v>MSV-163MS-535-545/19.GG/MSV-163MS-535-545-ACA-EXE-DE-D3-004-R02.pdf</v>
      </c>
    </row>
    <row r="474" spans="1:13" ht="28.8" hidden="1" x14ac:dyDescent="0.3">
      <c r="A474" s="6" t="s">
        <v>3423</v>
      </c>
      <c r="B474" s="6" t="str">
        <f>VLOOKUP(LD_01[[#This Row],[DOCUMENTO]],_xlfn.SORTBY(ARQUIVOS_RECEBIDOS!$E$2:$F$5010,ARQUIVOS_RECEBIDOS!$F$2:$F$5010,-1),2,)</f>
        <v>R01</v>
      </c>
      <c r="C474" s="15" t="s">
        <v>5987</v>
      </c>
      <c r="D474" s="6" t="s">
        <v>4317</v>
      </c>
      <c r="E474" s="8" t="s">
        <v>4076</v>
      </c>
      <c r="F474" s="8" t="s">
        <v>4332</v>
      </c>
      <c r="G474" s="6" t="str">
        <f>_xlfn.XLOOKUP(LD_01[[#This Row],[DISCIPLINA]],'CLASSES DE PROJETOS'!$F$3:$F$37,'CLASSES DE PROJETOS'!$C$3:$C$37)</f>
        <v>GG</v>
      </c>
      <c r="H474" t="str">
        <f>_xlfn.TEXTJOIN("/",TRUE,"MSV-163MS-"&amp;LD_01[[#This Row],[TRECHO]],_xlfn.XLOOKUP(LD_01[[#This Row],[SIGLA]],'CLASSES DE PROJETOS'!$C$3:$C$37,'CLASSES DE PROJETOS'!$E$3:$E$37))</f>
        <v>MSV-163MS-535-545/19.GG</v>
      </c>
      <c r="I474" s="6" t="str" cm="1">
        <f t="array" ref="I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J474" s="6" t="str" cm="1">
        <f t="array" ref="J474">_xlfn.TEXTJOIN(", ",TRUE,_xlfn.UNIQUE(_xlfn._xlws.FILTER(ARQUIVOS_RECEBIDOS!$F$2:$F$5010,ARQUIVOS_RECEBIDOS!$E$2:$E$5010=LD_01[[#This Row],[DOCUMENTO]])))</f>
        <v>R01</v>
      </c>
      <c r="K474" s="12" cm="1">
        <f t="array" ref="K474">_xlfn.UNIQUE(_xlfn._xlws.FILTER(ARQUIVOS[DATA RECEBIMENTO],(ARQUIVOS[DOCUMENTO]=LD_01[[#This Row],[DOCUMENTO]])*(ARQUIVOS[REVISÃO]=LD_01[[#This Row],[REVISÃO]])))</f>
        <v>45838</v>
      </c>
      <c r="L4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M474" s="6" t="str">
        <f>LD_01[[#This Row],[PASTA]]&amp;"/"&amp;LD_01[[#This Row],[ARQUIVO]]</f>
        <v>MSV-163MS-535-545/19.GG/MSV-163MS-535-545-ACA-EXE-DE-D3-005-R01.pdf</v>
      </c>
    </row>
    <row r="475" spans="1:13" ht="28.8" hidden="1" x14ac:dyDescent="0.3">
      <c r="A475" s="6" t="s">
        <v>3424</v>
      </c>
      <c r="B475" s="6" t="str">
        <f>VLOOKUP(LD_01[[#This Row],[DOCUMENTO]],_xlfn.SORTBY(ARQUIVOS_RECEBIDOS!$E$2:$F$5010,ARQUIVOS_RECEBIDOS!$F$2:$F$5010,-1),2,)</f>
        <v>R02</v>
      </c>
      <c r="C475" s="15" t="s">
        <v>5987</v>
      </c>
      <c r="D475" s="6" t="s">
        <v>4317</v>
      </c>
      <c r="E475" s="8" t="s">
        <v>4076</v>
      </c>
      <c r="F475" s="8" t="s">
        <v>4332</v>
      </c>
      <c r="G475" s="6" t="str">
        <f>_xlfn.XLOOKUP(LD_01[[#This Row],[DISCIPLINA]],'CLASSES DE PROJETOS'!$F$3:$F$37,'CLASSES DE PROJETOS'!$C$3:$C$37)</f>
        <v>GG</v>
      </c>
      <c r="H475" t="str">
        <f>_xlfn.TEXTJOIN("/",TRUE,"MSV-163MS-"&amp;LD_01[[#This Row],[TRECHO]],_xlfn.XLOOKUP(LD_01[[#This Row],[SIGLA]],'CLASSES DE PROJETOS'!$C$3:$C$37,'CLASSES DE PROJETOS'!$E$3:$E$37))</f>
        <v>MSV-163MS-535-545/19.GG</v>
      </c>
      <c r="I475" s="6" t="str" cm="1">
        <f t="array" ref="I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J475" s="6" t="str" cm="1">
        <f t="array" ref="J475">_xlfn.TEXTJOIN(", ",TRUE,_xlfn.UNIQUE(_xlfn._xlws.FILTER(ARQUIVOS_RECEBIDOS!$F$2:$F$5010,ARQUIVOS_RECEBIDOS!$E$2:$E$5010=LD_01[[#This Row],[DOCUMENTO]])))</f>
        <v>R02</v>
      </c>
      <c r="K475" s="12" cm="1">
        <f t="array" ref="K475">_xlfn.UNIQUE(_xlfn._xlws.FILTER(ARQUIVOS[DATA RECEBIMENTO],(ARQUIVOS[DOCUMENTO]=LD_01[[#This Row],[DOCUMENTO]])*(ARQUIVOS[REVISÃO]=LD_01[[#This Row],[REVISÃO]])))</f>
        <v>45838</v>
      </c>
      <c r="L4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M475" s="6" t="str">
        <f>LD_01[[#This Row],[PASTA]]&amp;"/"&amp;LD_01[[#This Row],[ARQUIVO]]</f>
        <v>MSV-163MS-535-545/19.GG/MSV-163MS-535-545-ACA-EXE-DE-D3-006-R02.pdf</v>
      </c>
    </row>
    <row r="476" spans="1:13" ht="28.8" hidden="1" x14ac:dyDescent="0.3">
      <c r="A476" s="6" t="s">
        <v>3425</v>
      </c>
      <c r="B476" s="6" t="str">
        <f>VLOOKUP(LD_01[[#This Row],[DOCUMENTO]],_xlfn.SORTBY(ARQUIVOS_RECEBIDOS!$E$2:$F$5010,ARQUIVOS_RECEBIDOS!$F$2:$F$5010,-1),2,)</f>
        <v>R02</v>
      </c>
      <c r="C476" s="15" t="s">
        <v>5987</v>
      </c>
      <c r="D476" s="6" t="s">
        <v>4317</v>
      </c>
      <c r="E476" s="8" t="s">
        <v>4076</v>
      </c>
      <c r="F476" s="8" t="s">
        <v>4332</v>
      </c>
      <c r="G476" s="6" t="str">
        <f>_xlfn.XLOOKUP(LD_01[[#This Row],[DISCIPLINA]],'CLASSES DE PROJETOS'!$F$3:$F$37,'CLASSES DE PROJETOS'!$C$3:$C$37)</f>
        <v>GG</v>
      </c>
      <c r="H476" t="str">
        <f>_xlfn.TEXTJOIN("/",TRUE,"MSV-163MS-"&amp;LD_01[[#This Row],[TRECHO]],_xlfn.XLOOKUP(LD_01[[#This Row],[SIGLA]],'CLASSES DE PROJETOS'!$C$3:$C$37,'CLASSES DE PROJETOS'!$E$3:$E$37))</f>
        <v>MSV-163MS-535-545/19.GG</v>
      </c>
      <c r="I476" s="6" t="str" cm="1">
        <f t="array" ref="I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J476" s="6" t="str" cm="1">
        <f t="array" ref="J476">_xlfn.TEXTJOIN(", ",TRUE,_xlfn.UNIQUE(_xlfn._xlws.FILTER(ARQUIVOS_RECEBIDOS!$F$2:$F$5010,ARQUIVOS_RECEBIDOS!$E$2:$E$5010=LD_01[[#This Row],[DOCUMENTO]])))</f>
        <v>R02</v>
      </c>
      <c r="K476" s="12" cm="1">
        <f t="array" ref="K476">_xlfn.UNIQUE(_xlfn._xlws.FILTER(ARQUIVOS[DATA RECEBIMENTO],(ARQUIVOS[DOCUMENTO]=LD_01[[#This Row],[DOCUMENTO]])*(ARQUIVOS[REVISÃO]=LD_01[[#This Row],[REVISÃO]])))</f>
        <v>45838</v>
      </c>
      <c r="L4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M476" s="6" t="str">
        <f>LD_01[[#This Row],[PASTA]]&amp;"/"&amp;LD_01[[#This Row],[ARQUIVO]]</f>
        <v>MSV-163MS-535-545/19.GG/MSV-163MS-535-545-ACA-EXE-DE-D3-007-R02.pdf</v>
      </c>
    </row>
    <row r="477" spans="1:13" ht="28.8" hidden="1" x14ac:dyDescent="0.3">
      <c r="A477" s="6" t="s">
        <v>3426</v>
      </c>
      <c r="B477" s="6" t="str">
        <f>VLOOKUP(LD_01[[#This Row],[DOCUMENTO]],_xlfn.SORTBY(ARQUIVOS_RECEBIDOS!$E$2:$F$5010,ARQUIVOS_RECEBIDOS!$F$2:$F$5010,-1),2,)</f>
        <v>R02</v>
      </c>
      <c r="C477" s="15" t="s">
        <v>5987</v>
      </c>
      <c r="D477" s="6" t="s">
        <v>4317</v>
      </c>
      <c r="E477" s="8" t="s">
        <v>4076</v>
      </c>
      <c r="F477" s="8" t="s">
        <v>4332</v>
      </c>
      <c r="G477" s="6" t="str">
        <f>_xlfn.XLOOKUP(LD_01[[#This Row],[DISCIPLINA]],'CLASSES DE PROJETOS'!$F$3:$F$37,'CLASSES DE PROJETOS'!$C$3:$C$37)</f>
        <v>GG</v>
      </c>
      <c r="H477" t="str">
        <f>_xlfn.TEXTJOIN("/",TRUE,"MSV-163MS-"&amp;LD_01[[#This Row],[TRECHO]],_xlfn.XLOOKUP(LD_01[[#This Row],[SIGLA]],'CLASSES DE PROJETOS'!$C$3:$C$37,'CLASSES DE PROJETOS'!$E$3:$E$37))</f>
        <v>MSV-163MS-535-545/19.GG</v>
      </c>
      <c r="I477" s="6" t="str" cm="1">
        <f t="array" ref="I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J477" s="6" t="str" cm="1">
        <f t="array" ref="J477">_xlfn.TEXTJOIN(", ",TRUE,_xlfn.UNIQUE(_xlfn._xlws.FILTER(ARQUIVOS_RECEBIDOS!$F$2:$F$5010,ARQUIVOS_RECEBIDOS!$E$2:$E$5010=LD_01[[#This Row],[DOCUMENTO]])))</f>
        <v>R02</v>
      </c>
      <c r="K477" s="12" cm="1">
        <f t="array" ref="K477">_xlfn.UNIQUE(_xlfn._xlws.FILTER(ARQUIVOS[DATA RECEBIMENTO],(ARQUIVOS[DOCUMENTO]=LD_01[[#This Row],[DOCUMENTO]])*(ARQUIVOS[REVISÃO]=LD_01[[#This Row],[REVISÃO]])))</f>
        <v>45838</v>
      </c>
      <c r="L4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M477" s="6" t="str">
        <f>LD_01[[#This Row],[PASTA]]&amp;"/"&amp;LD_01[[#This Row],[ARQUIVO]]</f>
        <v>MSV-163MS-535-545/19.GG/MSV-163MS-535-545-ACA-EXE-DE-D3-008-R02.pdf</v>
      </c>
    </row>
    <row r="478" spans="1:13" ht="28.8" hidden="1" x14ac:dyDescent="0.3">
      <c r="A478" s="6" t="s">
        <v>3427</v>
      </c>
      <c r="B478" s="6" t="str">
        <f>VLOOKUP(LD_01[[#This Row],[DOCUMENTO]],_xlfn.SORTBY(ARQUIVOS_RECEBIDOS!$E$2:$F$5010,ARQUIVOS_RECEBIDOS!$F$2:$F$5010,-1),2,)</f>
        <v>R01</v>
      </c>
      <c r="C478" s="15" t="s">
        <v>5987</v>
      </c>
      <c r="D478" s="6" t="s">
        <v>4317</v>
      </c>
      <c r="E478" s="8" t="s">
        <v>4076</v>
      </c>
      <c r="F478" s="8" t="s">
        <v>4332</v>
      </c>
      <c r="G478" s="6" t="str">
        <f>_xlfn.XLOOKUP(LD_01[[#This Row],[DISCIPLINA]],'CLASSES DE PROJETOS'!$F$3:$F$37,'CLASSES DE PROJETOS'!$C$3:$C$37)</f>
        <v>GG</v>
      </c>
      <c r="H478" t="str">
        <f>_xlfn.TEXTJOIN("/",TRUE,"MSV-163MS-"&amp;LD_01[[#This Row],[TRECHO]],_xlfn.XLOOKUP(LD_01[[#This Row],[SIGLA]],'CLASSES DE PROJETOS'!$C$3:$C$37,'CLASSES DE PROJETOS'!$E$3:$E$37))</f>
        <v>MSV-163MS-535-545/19.GG</v>
      </c>
      <c r="I478" s="6" t="str" cm="1">
        <f t="array" ref="I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J478" s="6" t="str" cm="1">
        <f t="array" ref="J478">_xlfn.TEXTJOIN(", ",TRUE,_xlfn.UNIQUE(_xlfn._xlws.FILTER(ARQUIVOS_RECEBIDOS!$F$2:$F$5010,ARQUIVOS_RECEBIDOS!$E$2:$E$5010=LD_01[[#This Row],[DOCUMENTO]])))</f>
        <v>R01</v>
      </c>
      <c r="K478" s="12" cm="1">
        <f t="array" ref="K478">_xlfn.UNIQUE(_xlfn._xlws.FILTER(ARQUIVOS[DATA RECEBIMENTO],(ARQUIVOS[DOCUMENTO]=LD_01[[#This Row],[DOCUMENTO]])*(ARQUIVOS[REVISÃO]=LD_01[[#This Row],[REVISÃO]])))</f>
        <v>45838</v>
      </c>
      <c r="L4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M478" s="6" t="str">
        <f>LD_01[[#This Row],[PASTA]]&amp;"/"&amp;LD_01[[#This Row],[ARQUIVO]]</f>
        <v>MSV-163MS-535-545/19.GG/MSV-163MS-535-545-ACA-EXE-DE-D3-009-R01.pdf</v>
      </c>
    </row>
    <row r="479" spans="1:13" ht="28.8" hidden="1" x14ac:dyDescent="0.3">
      <c r="A479" s="6" t="s">
        <v>3428</v>
      </c>
      <c r="B479" s="6" t="str">
        <f>VLOOKUP(LD_01[[#This Row],[DOCUMENTO]],_xlfn.SORTBY(ARQUIVOS_RECEBIDOS!$E$2:$F$5010,ARQUIVOS_RECEBIDOS!$F$2:$F$5010,-1),2,)</f>
        <v>R02</v>
      </c>
      <c r="C479" s="15" t="s">
        <v>5987</v>
      </c>
      <c r="D479" s="6" t="s">
        <v>4317</v>
      </c>
      <c r="E479" s="8" t="s">
        <v>4076</v>
      </c>
      <c r="F479" s="8" t="s">
        <v>4332</v>
      </c>
      <c r="G479" s="6" t="str">
        <f>_xlfn.XLOOKUP(LD_01[[#This Row],[DISCIPLINA]],'CLASSES DE PROJETOS'!$F$3:$F$37,'CLASSES DE PROJETOS'!$C$3:$C$37)</f>
        <v>GG</v>
      </c>
      <c r="H479" t="str">
        <f>_xlfn.TEXTJOIN("/",TRUE,"MSV-163MS-"&amp;LD_01[[#This Row],[TRECHO]],_xlfn.XLOOKUP(LD_01[[#This Row],[SIGLA]],'CLASSES DE PROJETOS'!$C$3:$C$37,'CLASSES DE PROJETOS'!$E$3:$E$37))</f>
        <v>MSV-163MS-535-545/19.GG</v>
      </c>
      <c r="I479" s="6" t="str" cm="1">
        <f t="array" ref="I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J479" s="6" t="str" cm="1">
        <f t="array" ref="J479">_xlfn.TEXTJOIN(", ",TRUE,_xlfn.UNIQUE(_xlfn._xlws.FILTER(ARQUIVOS_RECEBIDOS!$F$2:$F$5010,ARQUIVOS_RECEBIDOS!$E$2:$E$5010=LD_01[[#This Row],[DOCUMENTO]])))</f>
        <v>R02</v>
      </c>
      <c r="K479" s="12" cm="1">
        <f t="array" ref="K479">_xlfn.UNIQUE(_xlfn._xlws.FILTER(ARQUIVOS[DATA RECEBIMENTO],(ARQUIVOS[DOCUMENTO]=LD_01[[#This Row],[DOCUMENTO]])*(ARQUIVOS[REVISÃO]=LD_01[[#This Row],[REVISÃO]])))</f>
        <v>45838</v>
      </c>
      <c r="L4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M479" s="6" t="str">
        <f>LD_01[[#This Row],[PASTA]]&amp;"/"&amp;LD_01[[#This Row],[ARQUIVO]]</f>
        <v>MSV-163MS-535-545/19.GG/MSV-163MS-535-545-ACA-EXE-DE-D3-010-R02.pdf</v>
      </c>
    </row>
    <row r="480" spans="1:13" ht="28.8" hidden="1" x14ac:dyDescent="0.3">
      <c r="A480" s="6" t="s">
        <v>3429</v>
      </c>
      <c r="B480" s="6" t="str">
        <f>VLOOKUP(LD_01[[#This Row],[DOCUMENTO]],_xlfn.SORTBY(ARQUIVOS_RECEBIDOS!$E$2:$F$5010,ARQUIVOS_RECEBIDOS!$F$2:$F$5010,-1),2,)</f>
        <v>R02</v>
      </c>
      <c r="C480" s="15" t="s">
        <v>5987</v>
      </c>
      <c r="D480" s="6" t="s">
        <v>4317</v>
      </c>
      <c r="E480" s="8" t="s">
        <v>4076</v>
      </c>
      <c r="F480" s="8" t="s">
        <v>4332</v>
      </c>
      <c r="G480" s="6" t="str">
        <f>_xlfn.XLOOKUP(LD_01[[#This Row],[DISCIPLINA]],'CLASSES DE PROJETOS'!$F$3:$F$37,'CLASSES DE PROJETOS'!$C$3:$C$37)</f>
        <v>GG</v>
      </c>
      <c r="H480" t="str">
        <f>_xlfn.TEXTJOIN("/",TRUE,"MSV-163MS-"&amp;LD_01[[#This Row],[TRECHO]],_xlfn.XLOOKUP(LD_01[[#This Row],[SIGLA]],'CLASSES DE PROJETOS'!$C$3:$C$37,'CLASSES DE PROJETOS'!$E$3:$E$37))</f>
        <v>MSV-163MS-535-545/19.GG</v>
      </c>
      <c r="I480" s="6" t="str" cm="1">
        <f t="array" ref="I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J480" s="6" t="str" cm="1">
        <f t="array" ref="J480">_xlfn.TEXTJOIN(", ",TRUE,_xlfn.UNIQUE(_xlfn._xlws.FILTER(ARQUIVOS_RECEBIDOS!$F$2:$F$5010,ARQUIVOS_RECEBIDOS!$E$2:$E$5010=LD_01[[#This Row],[DOCUMENTO]])))</f>
        <v>R02</v>
      </c>
      <c r="K480" s="12" cm="1">
        <f t="array" ref="K480">_xlfn.UNIQUE(_xlfn._xlws.FILTER(ARQUIVOS[DATA RECEBIMENTO],(ARQUIVOS[DOCUMENTO]=LD_01[[#This Row],[DOCUMENTO]])*(ARQUIVOS[REVISÃO]=LD_01[[#This Row],[REVISÃO]])))</f>
        <v>45838</v>
      </c>
      <c r="L4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M480" s="6" t="str">
        <f>LD_01[[#This Row],[PASTA]]&amp;"/"&amp;LD_01[[#This Row],[ARQUIVO]]</f>
        <v>MSV-163MS-535-545/19.GG/MSV-163MS-535-545-ACA-EXE-DE-D3-011-R02.pdf</v>
      </c>
    </row>
    <row r="481" spans="1:13" ht="28.8" hidden="1" x14ac:dyDescent="0.3">
      <c r="A481" s="6" t="s">
        <v>3430</v>
      </c>
      <c r="B481" s="6" t="str">
        <f>VLOOKUP(LD_01[[#This Row],[DOCUMENTO]],_xlfn.SORTBY(ARQUIVOS_RECEBIDOS!$E$2:$F$5010,ARQUIVOS_RECEBIDOS!$F$2:$F$5010,-1),2,)</f>
        <v>R02</v>
      </c>
      <c r="C481" s="15" t="s">
        <v>5987</v>
      </c>
      <c r="D481" s="6" t="s">
        <v>4317</v>
      </c>
      <c r="E481" s="8" t="s">
        <v>4076</v>
      </c>
      <c r="F481" s="8" t="s">
        <v>4332</v>
      </c>
      <c r="G481" s="6" t="str">
        <f>_xlfn.XLOOKUP(LD_01[[#This Row],[DISCIPLINA]],'CLASSES DE PROJETOS'!$F$3:$F$37,'CLASSES DE PROJETOS'!$C$3:$C$37)</f>
        <v>GG</v>
      </c>
      <c r="H481" t="str">
        <f>_xlfn.TEXTJOIN("/",TRUE,"MSV-163MS-"&amp;LD_01[[#This Row],[TRECHO]],_xlfn.XLOOKUP(LD_01[[#This Row],[SIGLA]],'CLASSES DE PROJETOS'!$C$3:$C$37,'CLASSES DE PROJETOS'!$E$3:$E$37))</f>
        <v>MSV-163MS-535-545/19.GG</v>
      </c>
      <c r="I481" s="6" t="str" cm="1">
        <f t="array" ref="I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J481" s="6" t="str" cm="1">
        <f t="array" ref="J481">_xlfn.TEXTJOIN(", ",TRUE,_xlfn.UNIQUE(_xlfn._xlws.FILTER(ARQUIVOS_RECEBIDOS!$F$2:$F$5010,ARQUIVOS_RECEBIDOS!$E$2:$E$5010=LD_01[[#This Row],[DOCUMENTO]])))</f>
        <v>R02</v>
      </c>
      <c r="K481" s="12" cm="1">
        <f t="array" ref="K481">_xlfn.UNIQUE(_xlfn._xlws.FILTER(ARQUIVOS[DATA RECEBIMENTO],(ARQUIVOS[DOCUMENTO]=LD_01[[#This Row],[DOCUMENTO]])*(ARQUIVOS[REVISÃO]=LD_01[[#This Row],[REVISÃO]])))</f>
        <v>45838</v>
      </c>
      <c r="L4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M481" s="6" t="str">
        <f>LD_01[[#This Row],[PASTA]]&amp;"/"&amp;LD_01[[#This Row],[ARQUIVO]]</f>
        <v>MSV-163MS-535-545/19.GG/MSV-163MS-535-545-ACA-EXE-DE-D3-012-R02.pdf</v>
      </c>
    </row>
    <row r="482" spans="1:13" ht="28.8" hidden="1" x14ac:dyDescent="0.3">
      <c r="A482" s="6" t="s">
        <v>3431</v>
      </c>
      <c r="B482" s="6" t="str">
        <f>VLOOKUP(LD_01[[#This Row],[DOCUMENTO]],_xlfn.SORTBY(ARQUIVOS_RECEBIDOS!$E$2:$F$5010,ARQUIVOS_RECEBIDOS!$F$2:$F$5010,-1),2,)</f>
        <v>R02</v>
      </c>
      <c r="C482" s="15" t="s">
        <v>5987</v>
      </c>
      <c r="D482" s="6" t="s">
        <v>4317</v>
      </c>
      <c r="E482" s="8" t="s">
        <v>4076</v>
      </c>
      <c r="F482" s="8" t="s">
        <v>4332</v>
      </c>
      <c r="G482" s="6" t="str">
        <f>_xlfn.XLOOKUP(LD_01[[#This Row],[DISCIPLINA]],'CLASSES DE PROJETOS'!$F$3:$F$37,'CLASSES DE PROJETOS'!$C$3:$C$37)</f>
        <v>GG</v>
      </c>
      <c r="H482" t="str">
        <f>_xlfn.TEXTJOIN("/",TRUE,"MSV-163MS-"&amp;LD_01[[#This Row],[TRECHO]],_xlfn.XLOOKUP(LD_01[[#This Row],[SIGLA]],'CLASSES DE PROJETOS'!$C$3:$C$37,'CLASSES DE PROJETOS'!$E$3:$E$37))</f>
        <v>MSV-163MS-535-545/19.GG</v>
      </c>
      <c r="I482" s="6" t="str" cm="1">
        <f t="array" ref="I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J482" s="6" t="str" cm="1">
        <f t="array" ref="J482">_xlfn.TEXTJOIN(", ",TRUE,_xlfn.UNIQUE(_xlfn._xlws.FILTER(ARQUIVOS_RECEBIDOS!$F$2:$F$5010,ARQUIVOS_RECEBIDOS!$E$2:$E$5010=LD_01[[#This Row],[DOCUMENTO]])))</f>
        <v>R02</v>
      </c>
      <c r="K482" s="12" cm="1">
        <f t="array" ref="K482">_xlfn.UNIQUE(_xlfn._xlws.FILTER(ARQUIVOS[DATA RECEBIMENTO],(ARQUIVOS[DOCUMENTO]=LD_01[[#This Row],[DOCUMENTO]])*(ARQUIVOS[REVISÃO]=LD_01[[#This Row],[REVISÃO]])))</f>
        <v>45838</v>
      </c>
      <c r="L4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M482" s="6" t="str">
        <f>LD_01[[#This Row],[PASTA]]&amp;"/"&amp;LD_01[[#This Row],[ARQUIVO]]</f>
        <v>MSV-163MS-535-545/19.GG/MSV-163MS-535-545-ACA-EXE-DE-D3-013-R02.pdf</v>
      </c>
    </row>
    <row r="483" spans="1:13" ht="28.8" hidden="1" x14ac:dyDescent="0.3">
      <c r="A483" s="6" t="s">
        <v>3432</v>
      </c>
      <c r="B483" s="6" t="str">
        <f>VLOOKUP(LD_01[[#This Row],[DOCUMENTO]],_xlfn.SORTBY(ARQUIVOS_RECEBIDOS!$E$2:$F$5010,ARQUIVOS_RECEBIDOS!$F$2:$F$5010,-1),2,)</f>
        <v>R02</v>
      </c>
      <c r="C483" s="15" t="s">
        <v>5987</v>
      </c>
      <c r="D483" s="6" t="s">
        <v>4317</v>
      </c>
      <c r="E483" s="8" t="s">
        <v>4076</v>
      </c>
      <c r="F483" s="8" t="s">
        <v>4332</v>
      </c>
      <c r="G483" s="6" t="str">
        <f>_xlfn.XLOOKUP(LD_01[[#This Row],[DISCIPLINA]],'CLASSES DE PROJETOS'!$F$3:$F$37,'CLASSES DE PROJETOS'!$C$3:$C$37)</f>
        <v>GG</v>
      </c>
      <c r="H483" t="str">
        <f>_xlfn.TEXTJOIN("/",TRUE,"MSV-163MS-"&amp;LD_01[[#This Row],[TRECHO]],_xlfn.XLOOKUP(LD_01[[#This Row],[SIGLA]],'CLASSES DE PROJETOS'!$C$3:$C$37,'CLASSES DE PROJETOS'!$E$3:$E$37))</f>
        <v>MSV-163MS-535-545/19.GG</v>
      </c>
      <c r="I483" s="6" t="str" cm="1">
        <f t="array" ref="I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J483" s="6" t="str" cm="1">
        <f t="array" ref="J483">_xlfn.TEXTJOIN(", ",TRUE,_xlfn.UNIQUE(_xlfn._xlws.FILTER(ARQUIVOS_RECEBIDOS!$F$2:$F$5010,ARQUIVOS_RECEBIDOS!$E$2:$E$5010=LD_01[[#This Row],[DOCUMENTO]])))</f>
        <v>R02</v>
      </c>
      <c r="K483" s="12" cm="1">
        <f t="array" ref="K483">_xlfn.UNIQUE(_xlfn._xlws.FILTER(ARQUIVOS[DATA RECEBIMENTO],(ARQUIVOS[DOCUMENTO]=LD_01[[#This Row],[DOCUMENTO]])*(ARQUIVOS[REVISÃO]=LD_01[[#This Row],[REVISÃO]])))</f>
        <v>45838</v>
      </c>
      <c r="L4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M483" s="6" t="str">
        <f>LD_01[[#This Row],[PASTA]]&amp;"/"&amp;LD_01[[#This Row],[ARQUIVO]]</f>
        <v>MSV-163MS-535-545/19.GG/MSV-163MS-535-545-ACA-EXE-DE-D3-014-R02.pdf</v>
      </c>
    </row>
    <row r="484" spans="1:13" ht="28.8" hidden="1" x14ac:dyDescent="0.3">
      <c r="A484" s="6" t="s">
        <v>3433</v>
      </c>
      <c r="B484" s="6" t="str">
        <f>VLOOKUP(LD_01[[#This Row],[DOCUMENTO]],_xlfn.SORTBY(ARQUIVOS_RECEBIDOS!$E$2:$F$5010,ARQUIVOS_RECEBIDOS!$F$2:$F$5010,-1),2,)</f>
        <v>R02</v>
      </c>
      <c r="C484" s="15" t="s">
        <v>5987</v>
      </c>
      <c r="D484" s="6" t="s">
        <v>4317</v>
      </c>
      <c r="E484" s="8" t="s">
        <v>4076</v>
      </c>
      <c r="F484" s="8" t="s">
        <v>4332</v>
      </c>
      <c r="G484" s="6" t="str">
        <f>_xlfn.XLOOKUP(LD_01[[#This Row],[DISCIPLINA]],'CLASSES DE PROJETOS'!$F$3:$F$37,'CLASSES DE PROJETOS'!$C$3:$C$37)</f>
        <v>GG</v>
      </c>
      <c r="H484" t="str">
        <f>_xlfn.TEXTJOIN("/",TRUE,"MSV-163MS-"&amp;LD_01[[#This Row],[TRECHO]],_xlfn.XLOOKUP(LD_01[[#This Row],[SIGLA]],'CLASSES DE PROJETOS'!$C$3:$C$37,'CLASSES DE PROJETOS'!$E$3:$E$37))</f>
        <v>MSV-163MS-535-545/19.GG</v>
      </c>
      <c r="I484" s="6" t="str" cm="1">
        <f t="array" ref="I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J484" s="6" t="str" cm="1">
        <f t="array" ref="J484">_xlfn.TEXTJOIN(", ",TRUE,_xlfn.UNIQUE(_xlfn._xlws.FILTER(ARQUIVOS_RECEBIDOS!$F$2:$F$5010,ARQUIVOS_RECEBIDOS!$E$2:$E$5010=LD_01[[#This Row],[DOCUMENTO]])))</f>
        <v>R02</v>
      </c>
      <c r="K484" s="12" cm="1">
        <f t="array" ref="K484">_xlfn.UNIQUE(_xlfn._xlws.FILTER(ARQUIVOS[DATA RECEBIMENTO],(ARQUIVOS[DOCUMENTO]=LD_01[[#This Row],[DOCUMENTO]])*(ARQUIVOS[REVISÃO]=LD_01[[#This Row],[REVISÃO]])))</f>
        <v>45838</v>
      </c>
      <c r="L4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M484" s="6" t="str">
        <f>LD_01[[#This Row],[PASTA]]&amp;"/"&amp;LD_01[[#This Row],[ARQUIVO]]</f>
        <v>MSV-163MS-535-545/19.GG/MSV-163MS-535-545-ACA-EXE-DE-D3-015-R02.pdf</v>
      </c>
    </row>
    <row r="485" spans="1:13" ht="28.8" hidden="1" x14ac:dyDescent="0.3">
      <c r="A485" s="6" t="s">
        <v>3434</v>
      </c>
      <c r="B485" s="6" t="str">
        <f>VLOOKUP(LD_01[[#This Row],[DOCUMENTO]],_xlfn.SORTBY(ARQUIVOS_RECEBIDOS!$E$2:$F$5010,ARQUIVOS_RECEBIDOS!$F$2:$F$5010,-1),2,)</f>
        <v>R01</v>
      </c>
      <c r="C485" s="15" t="s">
        <v>5987</v>
      </c>
      <c r="D485" s="6" t="s">
        <v>4317</v>
      </c>
      <c r="E485" s="8" t="s">
        <v>4076</v>
      </c>
      <c r="F485" s="8" t="s">
        <v>4332</v>
      </c>
      <c r="G485" s="6" t="str">
        <f>_xlfn.XLOOKUP(LD_01[[#This Row],[DISCIPLINA]],'CLASSES DE PROJETOS'!$F$3:$F$37,'CLASSES DE PROJETOS'!$C$3:$C$37)</f>
        <v>GG</v>
      </c>
      <c r="H485" t="str">
        <f>_xlfn.TEXTJOIN("/",TRUE,"MSV-163MS-"&amp;LD_01[[#This Row],[TRECHO]],_xlfn.XLOOKUP(LD_01[[#This Row],[SIGLA]],'CLASSES DE PROJETOS'!$C$3:$C$37,'CLASSES DE PROJETOS'!$E$3:$E$37))</f>
        <v>MSV-163MS-535-545/19.GG</v>
      </c>
      <c r="I485" s="6" t="str" cm="1">
        <f t="array" ref="I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J485" s="6" t="str" cm="1">
        <f t="array" ref="J485">_xlfn.TEXTJOIN(", ",TRUE,_xlfn.UNIQUE(_xlfn._xlws.FILTER(ARQUIVOS_RECEBIDOS!$F$2:$F$5010,ARQUIVOS_RECEBIDOS!$E$2:$E$5010=LD_01[[#This Row],[DOCUMENTO]])))</f>
        <v>R01</v>
      </c>
      <c r="K485" s="12" cm="1">
        <f t="array" ref="K485">_xlfn.UNIQUE(_xlfn._xlws.FILTER(ARQUIVOS[DATA RECEBIMENTO],(ARQUIVOS[DOCUMENTO]=LD_01[[#This Row],[DOCUMENTO]])*(ARQUIVOS[REVISÃO]=LD_01[[#This Row],[REVISÃO]])))</f>
        <v>45838</v>
      </c>
      <c r="L4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M485" s="6" t="str">
        <f>LD_01[[#This Row],[PASTA]]&amp;"/"&amp;LD_01[[#This Row],[ARQUIVO]]</f>
        <v>MSV-163MS-535-545/19.GG/MSV-163MS-535-545-ACA-EXE-DE-D3-016-R01.pdf</v>
      </c>
    </row>
    <row r="486" spans="1:13" ht="28.8" hidden="1" x14ac:dyDescent="0.3">
      <c r="A486" s="6" t="s">
        <v>3435</v>
      </c>
      <c r="B486" s="6" t="str">
        <f>VLOOKUP(LD_01[[#This Row],[DOCUMENTO]],_xlfn.SORTBY(ARQUIVOS_RECEBIDOS!$E$2:$F$5010,ARQUIVOS_RECEBIDOS!$F$2:$F$5010,-1),2,)</f>
        <v>R01</v>
      </c>
      <c r="C486" s="15" t="s">
        <v>5987</v>
      </c>
      <c r="D486" s="6" t="s">
        <v>4317</v>
      </c>
      <c r="E486" s="8" t="s">
        <v>4076</v>
      </c>
      <c r="F486" s="8" t="s">
        <v>4332</v>
      </c>
      <c r="G486" s="6" t="str">
        <f>_xlfn.XLOOKUP(LD_01[[#This Row],[DISCIPLINA]],'CLASSES DE PROJETOS'!$F$3:$F$37,'CLASSES DE PROJETOS'!$C$3:$C$37)</f>
        <v>GG</v>
      </c>
      <c r="H486" t="str">
        <f>_xlfn.TEXTJOIN("/",TRUE,"MSV-163MS-"&amp;LD_01[[#This Row],[TRECHO]],_xlfn.XLOOKUP(LD_01[[#This Row],[SIGLA]],'CLASSES DE PROJETOS'!$C$3:$C$37,'CLASSES DE PROJETOS'!$E$3:$E$37))</f>
        <v>MSV-163MS-535-545/19.GG</v>
      </c>
      <c r="I486" s="6" t="str" cm="1">
        <f t="array" ref="I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J486" s="6" t="str" cm="1">
        <f t="array" ref="J486">_xlfn.TEXTJOIN(", ",TRUE,_xlfn.UNIQUE(_xlfn._xlws.FILTER(ARQUIVOS_RECEBIDOS!$F$2:$F$5010,ARQUIVOS_RECEBIDOS!$E$2:$E$5010=LD_01[[#This Row],[DOCUMENTO]])))</f>
        <v>R01</v>
      </c>
      <c r="K486" s="12" cm="1">
        <f t="array" ref="K486">_xlfn.UNIQUE(_xlfn._xlws.FILTER(ARQUIVOS[DATA RECEBIMENTO],(ARQUIVOS[DOCUMENTO]=LD_01[[#This Row],[DOCUMENTO]])*(ARQUIVOS[REVISÃO]=LD_01[[#This Row],[REVISÃO]])))</f>
        <v>45838</v>
      </c>
      <c r="L4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M486" s="6" t="str">
        <f>LD_01[[#This Row],[PASTA]]&amp;"/"&amp;LD_01[[#This Row],[ARQUIVO]]</f>
        <v>MSV-163MS-535-545/19.GG/MSV-163MS-535-545-ACA-EXE-DE-D3-017-R01.pdf</v>
      </c>
    </row>
    <row r="487" spans="1:13" ht="28.8" hidden="1" x14ac:dyDescent="0.3">
      <c r="A487" s="6" t="s">
        <v>3436</v>
      </c>
      <c r="B487" s="6" t="str">
        <f>VLOOKUP(LD_01[[#This Row],[DOCUMENTO]],_xlfn.SORTBY(ARQUIVOS_RECEBIDOS!$E$2:$F$5010,ARQUIVOS_RECEBIDOS!$F$2:$F$5010,-1),2,)</f>
        <v>R02</v>
      </c>
      <c r="C487" s="15" t="s">
        <v>5987</v>
      </c>
      <c r="D487" s="6" t="s">
        <v>4317</v>
      </c>
      <c r="E487" s="8" t="s">
        <v>4076</v>
      </c>
      <c r="F487" s="8" t="s">
        <v>4332</v>
      </c>
      <c r="G487" s="6" t="str">
        <f>_xlfn.XLOOKUP(LD_01[[#This Row],[DISCIPLINA]],'CLASSES DE PROJETOS'!$F$3:$F$37,'CLASSES DE PROJETOS'!$C$3:$C$37)</f>
        <v>GG</v>
      </c>
      <c r="H487" t="str">
        <f>_xlfn.TEXTJOIN("/",TRUE,"MSV-163MS-"&amp;LD_01[[#This Row],[TRECHO]],_xlfn.XLOOKUP(LD_01[[#This Row],[SIGLA]],'CLASSES DE PROJETOS'!$C$3:$C$37,'CLASSES DE PROJETOS'!$E$3:$E$37))</f>
        <v>MSV-163MS-535-545/19.GG</v>
      </c>
      <c r="I487" s="6" t="str" cm="1">
        <f t="array" ref="I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J487" s="6" t="str" cm="1">
        <f t="array" ref="J487">_xlfn.TEXTJOIN(", ",TRUE,_xlfn.UNIQUE(_xlfn._xlws.FILTER(ARQUIVOS_RECEBIDOS!$F$2:$F$5010,ARQUIVOS_RECEBIDOS!$E$2:$E$5010=LD_01[[#This Row],[DOCUMENTO]])))</f>
        <v>R02</v>
      </c>
      <c r="K487" s="12" cm="1">
        <f t="array" ref="K487">_xlfn.UNIQUE(_xlfn._xlws.FILTER(ARQUIVOS[DATA RECEBIMENTO],(ARQUIVOS[DOCUMENTO]=LD_01[[#This Row],[DOCUMENTO]])*(ARQUIVOS[REVISÃO]=LD_01[[#This Row],[REVISÃO]])))</f>
        <v>45838</v>
      </c>
      <c r="L4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M487" s="6" t="str">
        <f>LD_01[[#This Row],[PASTA]]&amp;"/"&amp;LD_01[[#This Row],[ARQUIVO]]</f>
        <v>MSV-163MS-535-545/19.GG/MSV-163MS-535-545-ACA-EXE-DE-D3-018-R02.pdf</v>
      </c>
    </row>
    <row r="488" spans="1:13" ht="28.8" hidden="1" x14ac:dyDescent="0.3">
      <c r="A488" s="6" t="s">
        <v>3437</v>
      </c>
      <c r="B488" s="6" t="str">
        <f>VLOOKUP(LD_01[[#This Row],[DOCUMENTO]],_xlfn.SORTBY(ARQUIVOS_RECEBIDOS!$E$2:$F$5010,ARQUIVOS_RECEBIDOS!$F$2:$F$5010,-1),2,)</f>
        <v>R02</v>
      </c>
      <c r="C488" s="15" t="s">
        <v>5987</v>
      </c>
      <c r="D488" s="6" t="s">
        <v>4317</v>
      </c>
      <c r="E488" s="8" t="s">
        <v>4076</v>
      </c>
      <c r="F488" s="8" t="s">
        <v>4332</v>
      </c>
      <c r="G488" s="6" t="str">
        <f>_xlfn.XLOOKUP(LD_01[[#This Row],[DISCIPLINA]],'CLASSES DE PROJETOS'!$F$3:$F$37,'CLASSES DE PROJETOS'!$C$3:$C$37)</f>
        <v>GG</v>
      </c>
      <c r="H488" t="str">
        <f>_xlfn.TEXTJOIN("/",TRUE,"MSV-163MS-"&amp;LD_01[[#This Row],[TRECHO]],_xlfn.XLOOKUP(LD_01[[#This Row],[SIGLA]],'CLASSES DE PROJETOS'!$C$3:$C$37,'CLASSES DE PROJETOS'!$E$3:$E$37))</f>
        <v>MSV-163MS-535-545/19.GG</v>
      </c>
      <c r="I488" s="6" t="str" cm="1">
        <f t="array" ref="I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J488" s="6" t="str" cm="1">
        <f t="array" ref="J488">_xlfn.TEXTJOIN(", ",TRUE,_xlfn.UNIQUE(_xlfn._xlws.FILTER(ARQUIVOS_RECEBIDOS!$F$2:$F$5010,ARQUIVOS_RECEBIDOS!$E$2:$E$5010=LD_01[[#This Row],[DOCUMENTO]])))</f>
        <v>R02</v>
      </c>
      <c r="K488" s="12" cm="1">
        <f t="array" ref="K488">_xlfn.UNIQUE(_xlfn._xlws.FILTER(ARQUIVOS[DATA RECEBIMENTO],(ARQUIVOS[DOCUMENTO]=LD_01[[#This Row],[DOCUMENTO]])*(ARQUIVOS[REVISÃO]=LD_01[[#This Row],[REVISÃO]])))</f>
        <v>45838</v>
      </c>
      <c r="L4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M488" s="6" t="str">
        <f>LD_01[[#This Row],[PASTA]]&amp;"/"&amp;LD_01[[#This Row],[ARQUIVO]]</f>
        <v>MSV-163MS-535-545/19.GG/MSV-163MS-535-545-ACA-EXE-DE-D3-019-R02.pdf</v>
      </c>
    </row>
    <row r="489" spans="1:13" ht="28.8" hidden="1" x14ac:dyDescent="0.3">
      <c r="A489" s="6" t="s">
        <v>3438</v>
      </c>
      <c r="B489" s="6" t="str">
        <f>VLOOKUP(LD_01[[#This Row],[DOCUMENTO]],_xlfn.SORTBY(ARQUIVOS_RECEBIDOS!$E$2:$F$5010,ARQUIVOS_RECEBIDOS!$F$2:$F$5010,-1),2,)</f>
        <v>R02</v>
      </c>
      <c r="C489" s="15" t="s">
        <v>5987</v>
      </c>
      <c r="D489" s="6" t="s">
        <v>4317</v>
      </c>
      <c r="E489" s="8" t="s">
        <v>4076</v>
      </c>
      <c r="F489" s="8" t="s">
        <v>4332</v>
      </c>
      <c r="G489" s="6" t="str">
        <f>_xlfn.XLOOKUP(LD_01[[#This Row],[DISCIPLINA]],'CLASSES DE PROJETOS'!$F$3:$F$37,'CLASSES DE PROJETOS'!$C$3:$C$37)</f>
        <v>GG</v>
      </c>
      <c r="H489" t="str">
        <f>_xlfn.TEXTJOIN("/",TRUE,"MSV-163MS-"&amp;LD_01[[#This Row],[TRECHO]],_xlfn.XLOOKUP(LD_01[[#This Row],[SIGLA]],'CLASSES DE PROJETOS'!$C$3:$C$37,'CLASSES DE PROJETOS'!$E$3:$E$37))</f>
        <v>MSV-163MS-535-545/19.GG</v>
      </c>
      <c r="I489" s="6" t="str" cm="1">
        <f t="array" ref="I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J489" s="6" t="str" cm="1">
        <f t="array" ref="J489">_xlfn.TEXTJOIN(", ",TRUE,_xlfn.UNIQUE(_xlfn._xlws.FILTER(ARQUIVOS_RECEBIDOS!$F$2:$F$5010,ARQUIVOS_RECEBIDOS!$E$2:$E$5010=LD_01[[#This Row],[DOCUMENTO]])))</f>
        <v>R02</v>
      </c>
      <c r="K489" s="12" cm="1">
        <f t="array" ref="K489">_xlfn.UNIQUE(_xlfn._xlws.FILTER(ARQUIVOS[DATA RECEBIMENTO],(ARQUIVOS[DOCUMENTO]=LD_01[[#This Row],[DOCUMENTO]])*(ARQUIVOS[REVISÃO]=LD_01[[#This Row],[REVISÃO]])))</f>
        <v>45838</v>
      </c>
      <c r="L4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M489" s="6" t="str">
        <f>LD_01[[#This Row],[PASTA]]&amp;"/"&amp;LD_01[[#This Row],[ARQUIVO]]</f>
        <v>MSV-163MS-535-545/19.GG/MSV-163MS-535-545-ACA-EXE-DE-D3-020-R02.pdf</v>
      </c>
    </row>
    <row r="490" spans="1:13" ht="28.8" hidden="1" x14ac:dyDescent="0.3">
      <c r="A490" s="6" t="s">
        <v>3439</v>
      </c>
      <c r="B490" s="6" t="str">
        <f>VLOOKUP(LD_01[[#This Row],[DOCUMENTO]],_xlfn.SORTBY(ARQUIVOS_RECEBIDOS!$E$2:$F$5010,ARQUIVOS_RECEBIDOS!$F$2:$F$5010,-1),2,)</f>
        <v>R02</v>
      </c>
      <c r="C490" s="15" t="s">
        <v>5987</v>
      </c>
      <c r="D490" s="6" t="s">
        <v>4317</v>
      </c>
      <c r="E490" s="8" t="s">
        <v>4120</v>
      </c>
      <c r="F490" s="8" t="s">
        <v>4332</v>
      </c>
      <c r="G490" s="6" t="str">
        <f>_xlfn.XLOOKUP(LD_01[[#This Row],[DISCIPLINA]],'CLASSES DE PROJETOS'!$F$3:$F$37,'CLASSES DE PROJETOS'!$C$3:$C$37)</f>
        <v>GG</v>
      </c>
      <c r="H490" t="str">
        <f>_xlfn.TEXTJOIN("/",TRUE,"MSV-163MS-"&amp;LD_01[[#This Row],[TRECHO]],_xlfn.XLOOKUP(LD_01[[#This Row],[SIGLA]],'CLASSES DE PROJETOS'!$C$3:$C$37,'CLASSES DE PROJETOS'!$E$3:$E$37))</f>
        <v>MSV-163MS-535-545/19.GG</v>
      </c>
      <c r="I490" s="6" t="str" cm="1">
        <f t="array" ref="I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J490" s="6" t="str" cm="1">
        <f t="array" ref="J490">_xlfn.TEXTJOIN(", ",TRUE,_xlfn.UNIQUE(_xlfn._xlws.FILTER(ARQUIVOS_RECEBIDOS!$F$2:$F$5010,ARQUIVOS_RECEBIDOS!$E$2:$E$5010=LD_01[[#This Row],[DOCUMENTO]])))</f>
        <v>R02</v>
      </c>
      <c r="K490" s="12" cm="1">
        <f t="array" ref="K490">_xlfn.UNIQUE(_xlfn._xlws.FILTER(ARQUIVOS[DATA RECEBIMENTO],(ARQUIVOS[DOCUMENTO]=LD_01[[#This Row],[DOCUMENTO]])*(ARQUIVOS[REVISÃO]=LD_01[[#This Row],[REVISÃO]])))</f>
        <v>45838</v>
      </c>
      <c r="L4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M490" s="6" t="str">
        <f>LD_01[[#This Row],[PASTA]]&amp;"/"&amp;LD_01[[#This Row],[ARQUIVO]]</f>
        <v>MSV-163MS-535-545/19.GG/MSV-163MS-535-545-ACA-EXE-DE-D3-101-R02.pdf</v>
      </c>
    </row>
    <row r="491" spans="1:13" ht="28.8" hidden="1" x14ac:dyDescent="0.3">
      <c r="A491" s="6" t="s">
        <v>3440</v>
      </c>
      <c r="B491" s="6" t="str">
        <f>VLOOKUP(LD_01[[#This Row],[DOCUMENTO]],_xlfn.SORTBY(ARQUIVOS_RECEBIDOS!$E$2:$F$5010,ARQUIVOS_RECEBIDOS!$F$2:$F$5010,-1),2,)</f>
        <v>R02</v>
      </c>
      <c r="C491" s="15" t="s">
        <v>5987</v>
      </c>
      <c r="D491" s="6" t="s">
        <v>4317</v>
      </c>
      <c r="E491" s="8" t="s">
        <v>4121</v>
      </c>
      <c r="F491" s="8" t="s">
        <v>4332</v>
      </c>
      <c r="G491" s="6" t="str">
        <f>_xlfn.XLOOKUP(LD_01[[#This Row],[DISCIPLINA]],'CLASSES DE PROJETOS'!$F$3:$F$37,'CLASSES DE PROJETOS'!$C$3:$C$37)</f>
        <v>GG</v>
      </c>
      <c r="H491" t="str">
        <f>_xlfn.TEXTJOIN("/",TRUE,"MSV-163MS-"&amp;LD_01[[#This Row],[TRECHO]],_xlfn.XLOOKUP(LD_01[[#This Row],[SIGLA]],'CLASSES DE PROJETOS'!$C$3:$C$37,'CLASSES DE PROJETOS'!$E$3:$E$37))</f>
        <v>MSV-163MS-535-545/19.GG</v>
      </c>
      <c r="I491" s="6" t="str" cm="1">
        <f t="array" ref="I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J491" s="6" t="str" cm="1">
        <f t="array" ref="J491">_xlfn.TEXTJOIN(", ",TRUE,_xlfn.UNIQUE(_xlfn._xlws.FILTER(ARQUIVOS_RECEBIDOS!$F$2:$F$5010,ARQUIVOS_RECEBIDOS!$E$2:$E$5010=LD_01[[#This Row],[DOCUMENTO]])))</f>
        <v>R02</v>
      </c>
      <c r="K491" s="12" cm="1">
        <f t="array" ref="K491">_xlfn.UNIQUE(_xlfn._xlws.FILTER(ARQUIVOS[DATA RECEBIMENTO],(ARQUIVOS[DOCUMENTO]=LD_01[[#This Row],[DOCUMENTO]])*(ARQUIVOS[REVISÃO]=LD_01[[#This Row],[REVISÃO]])))</f>
        <v>45838</v>
      </c>
      <c r="L4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M491" s="6" t="str">
        <f>LD_01[[#This Row],[PASTA]]&amp;"/"&amp;LD_01[[#This Row],[ARQUIVO]]</f>
        <v>MSV-163MS-535-545/19.GG/MSV-163MS-535-545-ACA-EXE-DE-D3-102-R02.pdf</v>
      </c>
    </row>
    <row r="492" spans="1:13" ht="28.8" hidden="1" x14ac:dyDescent="0.3">
      <c r="A492" s="6" t="s">
        <v>3441</v>
      </c>
      <c r="B492" s="6" t="str">
        <f>VLOOKUP(LD_01[[#This Row],[DOCUMENTO]],_xlfn.SORTBY(ARQUIVOS_RECEBIDOS!$E$2:$F$5010,ARQUIVOS_RECEBIDOS!$F$2:$F$5010,-1),2,)</f>
        <v>R04</v>
      </c>
      <c r="C492" s="15" t="s">
        <v>5987</v>
      </c>
      <c r="D492" s="6" t="s">
        <v>4317</v>
      </c>
      <c r="E492" s="8" t="s">
        <v>4122</v>
      </c>
      <c r="F492" s="8" t="s">
        <v>4332</v>
      </c>
      <c r="G492" s="6" t="str">
        <f>_xlfn.XLOOKUP(LD_01[[#This Row],[DISCIPLINA]],'CLASSES DE PROJETOS'!$F$3:$F$37,'CLASSES DE PROJETOS'!$C$3:$C$37)</f>
        <v>GG</v>
      </c>
      <c r="H492" t="str">
        <f>_xlfn.TEXTJOIN("/",TRUE,"MSV-163MS-"&amp;LD_01[[#This Row],[TRECHO]],_xlfn.XLOOKUP(LD_01[[#This Row],[SIGLA]],'CLASSES DE PROJETOS'!$C$3:$C$37,'CLASSES DE PROJETOS'!$E$3:$E$37))</f>
        <v>MSV-163MS-535-545/19.GG</v>
      </c>
      <c r="I492" s="6" t="str" cm="1">
        <f t="array" ref="I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J492" s="6" t="str" cm="1">
        <f t="array" ref="J492">_xlfn.TEXTJOIN(", ",TRUE,_xlfn.UNIQUE(_xlfn._xlws.FILTER(ARQUIVOS_RECEBIDOS!$F$2:$F$5010,ARQUIVOS_RECEBIDOS!$E$2:$E$5010=LD_01[[#This Row],[DOCUMENTO]])))</f>
        <v>R04</v>
      </c>
      <c r="K492" s="12" cm="1">
        <f t="array" ref="K492">_xlfn.UNIQUE(_xlfn._xlws.FILTER(ARQUIVOS[DATA RECEBIMENTO],(ARQUIVOS[DOCUMENTO]=LD_01[[#This Row],[DOCUMENTO]])*(ARQUIVOS[REVISÃO]=LD_01[[#This Row],[REVISÃO]])))</f>
        <v>45838</v>
      </c>
      <c r="L4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M492" s="6" t="str">
        <f>LD_01[[#This Row],[PASTA]]&amp;"/"&amp;LD_01[[#This Row],[ARQUIVO]]</f>
        <v>MSV-163MS-535-545/19.GG/MSV-163MS-535-545-ACA-EXE-DE-D3-103-R04.pdf</v>
      </c>
    </row>
    <row r="493" spans="1:13" ht="28.8" hidden="1" x14ac:dyDescent="0.3">
      <c r="A493" s="6" t="s">
        <v>3442</v>
      </c>
      <c r="B493" s="6" t="str">
        <f>VLOOKUP(LD_01[[#This Row],[DOCUMENTO]],_xlfn.SORTBY(ARQUIVOS_RECEBIDOS!$E$2:$F$5010,ARQUIVOS_RECEBIDOS!$F$2:$F$5010,-1),2,)</f>
        <v>R03</v>
      </c>
      <c r="C493" s="15" t="s">
        <v>5987</v>
      </c>
      <c r="D493" s="6" t="s">
        <v>4317</v>
      </c>
      <c r="E493" s="8" t="s">
        <v>4123</v>
      </c>
      <c r="F493" s="8" t="s">
        <v>4332</v>
      </c>
      <c r="G493" s="6" t="str">
        <f>_xlfn.XLOOKUP(LD_01[[#This Row],[DISCIPLINA]],'CLASSES DE PROJETOS'!$F$3:$F$37,'CLASSES DE PROJETOS'!$C$3:$C$37)</f>
        <v>GG</v>
      </c>
      <c r="H493" t="str">
        <f>_xlfn.TEXTJOIN("/",TRUE,"MSV-163MS-"&amp;LD_01[[#This Row],[TRECHO]],_xlfn.XLOOKUP(LD_01[[#This Row],[SIGLA]],'CLASSES DE PROJETOS'!$C$3:$C$37,'CLASSES DE PROJETOS'!$E$3:$E$37))</f>
        <v>MSV-163MS-535-545/19.GG</v>
      </c>
      <c r="I493" s="6" t="str" cm="1">
        <f t="array" ref="I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J493" s="6" t="str" cm="1">
        <f t="array" ref="J493">_xlfn.TEXTJOIN(", ",TRUE,_xlfn.UNIQUE(_xlfn._xlws.FILTER(ARQUIVOS_RECEBIDOS!$F$2:$F$5010,ARQUIVOS_RECEBIDOS!$E$2:$E$5010=LD_01[[#This Row],[DOCUMENTO]])))</f>
        <v>R03</v>
      </c>
      <c r="K493" s="12" cm="1">
        <f t="array" ref="K493">_xlfn.UNIQUE(_xlfn._xlws.FILTER(ARQUIVOS[DATA RECEBIMENTO],(ARQUIVOS[DOCUMENTO]=LD_01[[#This Row],[DOCUMENTO]])*(ARQUIVOS[REVISÃO]=LD_01[[#This Row],[REVISÃO]])))</f>
        <v>45838</v>
      </c>
      <c r="L4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M493" s="6" t="str">
        <f>LD_01[[#This Row],[PASTA]]&amp;"/"&amp;LD_01[[#This Row],[ARQUIVO]]</f>
        <v>MSV-163MS-535-545/19.GG/MSV-163MS-535-545-ACA-EXE-DE-D3-104-R03.pdf</v>
      </c>
    </row>
    <row r="494" spans="1:13" ht="28.8" hidden="1" x14ac:dyDescent="0.3">
      <c r="A494" s="6" t="s">
        <v>3443</v>
      </c>
      <c r="B494" s="6" t="str">
        <f>VLOOKUP(LD_01[[#This Row],[DOCUMENTO]],_xlfn.SORTBY(ARQUIVOS_RECEBIDOS!$E$2:$F$5010,ARQUIVOS_RECEBIDOS!$F$2:$F$5010,-1),2,)</f>
        <v>R03</v>
      </c>
      <c r="C494" s="15" t="s">
        <v>5987</v>
      </c>
      <c r="D494" s="6" t="s">
        <v>4317</v>
      </c>
      <c r="E494" s="8" t="s">
        <v>4123</v>
      </c>
      <c r="F494" s="8" t="s">
        <v>4332</v>
      </c>
      <c r="G494" s="6" t="str">
        <f>_xlfn.XLOOKUP(LD_01[[#This Row],[DISCIPLINA]],'CLASSES DE PROJETOS'!$F$3:$F$37,'CLASSES DE PROJETOS'!$C$3:$C$37)</f>
        <v>GG</v>
      </c>
      <c r="H494" t="str">
        <f>_xlfn.TEXTJOIN("/",TRUE,"MSV-163MS-"&amp;LD_01[[#This Row],[TRECHO]],_xlfn.XLOOKUP(LD_01[[#This Row],[SIGLA]],'CLASSES DE PROJETOS'!$C$3:$C$37,'CLASSES DE PROJETOS'!$E$3:$E$37))</f>
        <v>MSV-163MS-535-545/19.GG</v>
      </c>
      <c r="I494" s="6" t="str" cm="1">
        <f t="array" ref="I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J494" s="6" t="str" cm="1">
        <f t="array" ref="J494">_xlfn.TEXTJOIN(", ",TRUE,_xlfn.UNIQUE(_xlfn._xlws.FILTER(ARQUIVOS_RECEBIDOS!$F$2:$F$5010,ARQUIVOS_RECEBIDOS!$E$2:$E$5010=LD_01[[#This Row],[DOCUMENTO]])))</f>
        <v>R03</v>
      </c>
      <c r="K494" s="12" cm="1">
        <f t="array" ref="K494">_xlfn.UNIQUE(_xlfn._xlws.FILTER(ARQUIVOS[DATA RECEBIMENTO],(ARQUIVOS[DOCUMENTO]=LD_01[[#This Row],[DOCUMENTO]])*(ARQUIVOS[REVISÃO]=LD_01[[#This Row],[REVISÃO]])))</f>
        <v>45838</v>
      </c>
      <c r="L4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M494" s="6" t="str">
        <f>LD_01[[#This Row],[PASTA]]&amp;"/"&amp;LD_01[[#This Row],[ARQUIVO]]</f>
        <v>MSV-163MS-535-545/19.GG/MSV-163MS-535-545-ACA-EXE-DE-D3-105-R03.pdf</v>
      </c>
    </row>
    <row r="495" spans="1:13" ht="28.8" hidden="1" x14ac:dyDescent="0.3">
      <c r="A495" s="6" t="s">
        <v>3444</v>
      </c>
      <c r="B495" s="6" t="str">
        <f>VLOOKUP(LD_01[[#This Row],[DOCUMENTO]],_xlfn.SORTBY(ARQUIVOS_RECEBIDOS!$E$2:$F$5010,ARQUIVOS_RECEBIDOS!$F$2:$F$5010,-1),2,)</f>
        <v>R02</v>
      </c>
      <c r="C495" s="15" t="s">
        <v>5987</v>
      </c>
      <c r="D495" s="6" t="s">
        <v>4317</v>
      </c>
      <c r="E495" s="8" t="s">
        <v>5387</v>
      </c>
      <c r="F495" s="8" t="s">
        <v>4332</v>
      </c>
      <c r="G495" s="6" t="str">
        <f>_xlfn.XLOOKUP(LD_01[[#This Row],[DISCIPLINA]],'CLASSES DE PROJETOS'!$F$3:$F$37,'CLASSES DE PROJETOS'!$C$3:$C$37)</f>
        <v>GG</v>
      </c>
      <c r="H495" t="str">
        <f>_xlfn.TEXTJOIN("/",TRUE,"MSV-163MS-"&amp;LD_01[[#This Row],[TRECHO]],_xlfn.XLOOKUP(LD_01[[#This Row],[SIGLA]],'CLASSES DE PROJETOS'!$C$3:$C$37,'CLASSES DE PROJETOS'!$E$3:$E$37))</f>
        <v>MSV-163MS-535-545/19.GG</v>
      </c>
      <c r="I495" s="6" t="str" cm="1">
        <f t="array" ref="I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J495" s="6" t="str" cm="1">
        <f t="array" ref="J495">_xlfn.TEXTJOIN(", ",TRUE,_xlfn.UNIQUE(_xlfn._xlws.FILTER(ARQUIVOS_RECEBIDOS!$F$2:$F$5010,ARQUIVOS_RECEBIDOS!$E$2:$E$5010=LD_01[[#This Row],[DOCUMENTO]])))</f>
        <v>R02</v>
      </c>
      <c r="K495" s="12" cm="1">
        <f t="array" ref="K495">_xlfn.UNIQUE(_xlfn._xlws.FILTER(ARQUIVOS[DATA RECEBIMENTO],(ARQUIVOS[DOCUMENTO]=LD_01[[#This Row],[DOCUMENTO]])*(ARQUIVOS[REVISÃO]=LD_01[[#This Row],[REVISÃO]])))</f>
        <v>45838</v>
      </c>
      <c r="L4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M495" s="6" t="str">
        <f>LD_01[[#This Row],[PASTA]]&amp;"/"&amp;LD_01[[#This Row],[ARQUIVO]]</f>
        <v>MSV-163MS-535-545/19.GG/MSV-163MS-535-545-ACA-EXE-DE-D3-106-R02.pdf</v>
      </c>
    </row>
    <row r="496" spans="1:13" ht="43.2" hidden="1" x14ac:dyDescent="0.3">
      <c r="A496" s="6" t="s">
        <v>3445</v>
      </c>
      <c r="B496" s="6" t="str">
        <f>VLOOKUP(LD_01[[#This Row],[DOCUMENTO]],_xlfn.SORTBY(ARQUIVOS_RECEBIDOS!$E$2:$F$5010,ARQUIVOS_RECEBIDOS!$F$2:$F$5010,-1),2,)</f>
        <v>R03</v>
      </c>
      <c r="C496" s="15" t="s">
        <v>5987</v>
      </c>
      <c r="D496" s="6" t="s">
        <v>4317</v>
      </c>
      <c r="E496" s="8" t="s">
        <v>4257</v>
      </c>
      <c r="F496" s="8" t="s">
        <v>4332</v>
      </c>
      <c r="G496" s="6" t="str">
        <f>_xlfn.XLOOKUP(LD_01[[#This Row],[DISCIPLINA]],'CLASSES DE PROJETOS'!$F$3:$F$37,'CLASSES DE PROJETOS'!$C$3:$C$37)</f>
        <v>GG</v>
      </c>
      <c r="H496" t="str">
        <f>_xlfn.TEXTJOIN("/",TRUE,"MSV-163MS-"&amp;LD_01[[#This Row],[TRECHO]],_xlfn.XLOOKUP(LD_01[[#This Row],[SIGLA]],'CLASSES DE PROJETOS'!$C$3:$C$37,'CLASSES DE PROJETOS'!$E$3:$E$37))</f>
        <v>MSV-163MS-535-545/19.GG</v>
      </c>
      <c r="I496" s="6" t="str" cm="1">
        <f t="array" ref="I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J496" s="6" t="str" cm="1">
        <f t="array" ref="J496">_xlfn.TEXTJOIN(", ",TRUE,_xlfn.UNIQUE(_xlfn._xlws.FILTER(ARQUIVOS_RECEBIDOS!$F$2:$F$5010,ARQUIVOS_RECEBIDOS!$E$2:$E$5010=LD_01[[#This Row],[DOCUMENTO]])))</f>
        <v>R03</v>
      </c>
      <c r="K496" s="12" cm="1">
        <f t="array" ref="K496">_xlfn.UNIQUE(_xlfn._xlws.FILTER(ARQUIVOS[DATA RECEBIMENTO],(ARQUIVOS[DOCUMENTO]=LD_01[[#This Row],[DOCUMENTO]])*(ARQUIVOS[REVISÃO]=LD_01[[#This Row],[REVISÃO]])))</f>
        <v>45838</v>
      </c>
      <c r="L4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M496" s="6" t="str">
        <f>LD_01[[#This Row],[PASTA]]&amp;"/"&amp;LD_01[[#This Row],[ARQUIVO]]</f>
        <v>MSV-163MS-535-545/19.GG/MSV-163MS-535-545-ACA-EXE-DE-D3-107-R03.pdf</v>
      </c>
    </row>
    <row r="497" spans="1:13" ht="28.8" hidden="1" x14ac:dyDescent="0.3">
      <c r="A497" s="6" t="s">
        <v>3255</v>
      </c>
      <c r="B497" s="6" t="str">
        <f>VLOOKUP(LD_01[[#This Row],[DOCUMENTO]],_xlfn.SORTBY(ARQUIVOS_RECEBIDOS!$E$2:$F$5010,ARQUIVOS_RECEBIDOS!$F$2:$F$5010,-1),2,)</f>
        <v>R05</v>
      </c>
      <c r="C497" s="15" t="s">
        <v>5987</v>
      </c>
      <c r="D497" s="6" t="s">
        <v>4317</v>
      </c>
      <c r="E497" s="8" t="s">
        <v>4305</v>
      </c>
      <c r="F497" s="8" t="s">
        <v>4141</v>
      </c>
      <c r="G497" s="6" t="str">
        <f>_xlfn.XLOOKUP(LD_01[[#This Row],[DISCIPLINA]],'CLASSES DE PROJETOS'!$F$3:$F$37,'CLASSES DE PROJETOS'!$C$3:$C$37)</f>
        <v>GE</v>
      </c>
      <c r="H497" t="str">
        <f>_xlfn.TEXTJOIN("/",TRUE,"MSV-163MS-"&amp;LD_01[[#This Row],[TRECHO]],_xlfn.XLOOKUP(LD_01[[#This Row],[SIGLA]],'CLASSES DE PROJETOS'!$C$3:$C$37,'CLASSES DE PROJETOS'!$E$3:$E$37))</f>
        <v>MSV-163MS-535-545/18.GE</v>
      </c>
      <c r="I497" s="6" t="str" cm="1">
        <f t="array" ref="I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J497" s="6" t="str" cm="1">
        <f t="array" ref="J497">_xlfn.TEXTJOIN(", ",TRUE,_xlfn.UNIQUE(_xlfn._xlws.FILTER(ARQUIVOS_RECEBIDOS!$F$2:$F$5010,ARQUIVOS_RECEBIDOS!$E$2:$E$5010=LD_01[[#This Row],[DOCUMENTO]])))</f>
        <v>R05</v>
      </c>
      <c r="K497" s="12" cm="1">
        <f t="array" ref="K497">_xlfn.UNIQUE(_xlfn._xlws.FILTER(ARQUIVOS[DATA RECEBIMENTO],(ARQUIVOS[DOCUMENTO]=LD_01[[#This Row],[DOCUMENTO]])*(ARQUIVOS[REVISÃO]=LD_01[[#This Row],[REVISÃO]])))</f>
        <v>45838</v>
      </c>
      <c r="L4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M497" s="6" t="str">
        <f>LD_01[[#This Row],[PASTA]]&amp;"/"&amp;LD_01[[#This Row],[ARQUIVO]]</f>
        <v>MSV-163MS-535-545/18.GE/MSV-163MS-535-545-ACA-EXE-DE-F1-001-R05.pdf</v>
      </c>
    </row>
    <row r="498" spans="1:13" ht="28.8" hidden="1" x14ac:dyDescent="0.3">
      <c r="A498" s="6" t="s">
        <v>3256</v>
      </c>
      <c r="B498" s="6" t="str">
        <f>VLOOKUP(LD_01[[#This Row],[DOCUMENTO]],_xlfn.SORTBY(ARQUIVOS_RECEBIDOS!$E$2:$F$5010,ARQUIVOS_RECEBIDOS!$F$2:$F$5010,-1),2,)</f>
        <v>R05</v>
      </c>
      <c r="C498" s="15" t="s">
        <v>5987</v>
      </c>
      <c r="D498" s="6" t="s">
        <v>4317</v>
      </c>
      <c r="E498" s="8" t="s">
        <v>4305</v>
      </c>
      <c r="F498" s="8" t="s">
        <v>4141</v>
      </c>
      <c r="G498" s="6" t="str">
        <f>_xlfn.XLOOKUP(LD_01[[#This Row],[DISCIPLINA]],'CLASSES DE PROJETOS'!$F$3:$F$37,'CLASSES DE PROJETOS'!$C$3:$C$37)</f>
        <v>GE</v>
      </c>
      <c r="H498" t="str">
        <f>_xlfn.TEXTJOIN("/",TRUE,"MSV-163MS-"&amp;LD_01[[#This Row],[TRECHO]],_xlfn.XLOOKUP(LD_01[[#This Row],[SIGLA]],'CLASSES DE PROJETOS'!$C$3:$C$37,'CLASSES DE PROJETOS'!$E$3:$E$37))</f>
        <v>MSV-163MS-535-545/18.GE</v>
      </c>
      <c r="I498" s="6" t="str" cm="1">
        <f t="array" ref="I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J498" s="6" t="str" cm="1">
        <f t="array" ref="J498">_xlfn.TEXTJOIN(", ",TRUE,_xlfn.UNIQUE(_xlfn._xlws.FILTER(ARQUIVOS_RECEBIDOS!$F$2:$F$5010,ARQUIVOS_RECEBIDOS!$E$2:$E$5010=LD_01[[#This Row],[DOCUMENTO]])))</f>
        <v>R05</v>
      </c>
      <c r="K498" s="12" cm="1">
        <f t="array" ref="K498">_xlfn.UNIQUE(_xlfn._xlws.FILTER(ARQUIVOS[DATA RECEBIMENTO],(ARQUIVOS[DOCUMENTO]=LD_01[[#This Row],[DOCUMENTO]])*(ARQUIVOS[REVISÃO]=LD_01[[#This Row],[REVISÃO]])))</f>
        <v>45838</v>
      </c>
      <c r="L4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M498" s="6" t="str">
        <f>LD_01[[#This Row],[PASTA]]&amp;"/"&amp;LD_01[[#This Row],[ARQUIVO]]</f>
        <v>MSV-163MS-535-545/18.GE/MSV-163MS-535-545-ACA-EXE-DE-F1-002-R05.pdf</v>
      </c>
    </row>
    <row r="499" spans="1:13" ht="28.8" hidden="1" x14ac:dyDescent="0.3">
      <c r="A499" s="6" t="s">
        <v>3257</v>
      </c>
      <c r="B499" s="6" t="str">
        <f>VLOOKUP(LD_01[[#This Row],[DOCUMENTO]],_xlfn.SORTBY(ARQUIVOS_RECEBIDOS!$E$2:$F$5010,ARQUIVOS_RECEBIDOS!$F$2:$F$5010,-1),2,)</f>
        <v>R06</v>
      </c>
      <c r="C499" s="15" t="s">
        <v>5987</v>
      </c>
      <c r="D499" s="6" t="s">
        <v>4317</v>
      </c>
      <c r="E499" s="8" t="s">
        <v>4305</v>
      </c>
      <c r="F499" s="8" t="s">
        <v>4141</v>
      </c>
      <c r="G499" s="6" t="str">
        <f>_xlfn.XLOOKUP(LD_01[[#This Row],[DISCIPLINA]],'CLASSES DE PROJETOS'!$F$3:$F$37,'CLASSES DE PROJETOS'!$C$3:$C$37)</f>
        <v>GE</v>
      </c>
      <c r="H499" t="str">
        <f>_xlfn.TEXTJOIN("/",TRUE,"MSV-163MS-"&amp;LD_01[[#This Row],[TRECHO]],_xlfn.XLOOKUP(LD_01[[#This Row],[SIGLA]],'CLASSES DE PROJETOS'!$C$3:$C$37,'CLASSES DE PROJETOS'!$E$3:$E$37))</f>
        <v>MSV-163MS-535-545/18.GE</v>
      </c>
      <c r="I499" s="6" t="str" cm="1">
        <f t="array" ref="I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J499" s="6" t="str" cm="1">
        <f t="array" ref="J499">_xlfn.TEXTJOIN(", ",TRUE,_xlfn.UNIQUE(_xlfn._xlws.FILTER(ARQUIVOS_RECEBIDOS!$F$2:$F$5010,ARQUIVOS_RECEBIDOS!$E$2:$E$5010=LD_01[[#This Row],[DOCUMENTO]])))</f>
        <v>R06</v>
      </c>
      <c r="K499" s="12" cm="1">
        <f t="array" ref="K499">_xlfn.UNIQUE(_xlfn._xlws.FILTER(ARQUIVOS[DATA RECEBIMENTO],(ARQUIVOS[DOCUMENTO]=LD_01[[#This Row],[DOCUMENTO]])*(ARQUIVOS[REVISÃO]=LD_01[[#This Row],[REVISÃO]])))</f>
        <v>45838</v>
      </c>
      <c r="L4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M499" s="6" t="str">
        <f>LD_01[[#This Row],[PASTA]]&amp;"/"&amp;LD_01[[#This Row],[ARQUIVO]]</f>
        <v>MSV-163MS-535-545/18.GE/MSV-163MS-535-545-ACA-EXE-DE-F1-003-R06.pdf</v>
      </c>
    </row>
    <row r="500" spans="1:13" ht="28.8" hidden="1" x14ac:dyDescent="0.3">
      <c r="A500" s="6" t="s">
        <v>3258</v>
      </c>
      <c r="B500" s="6" t="str">
        <f>VLOOKUP(LD_01[[#This Row],[DOCUMENTO]],_xlfn.SORTBY(ARQUIVOS_RECEBIDOS!$E$2:$F$5010,ARQUIVOS_RECEBIDOS!$F$2:$F$5010,-1),2,)</f>
        <v>R04</v>
      </c>
      <c r="C500" s="15" t="s">
        <v>5987</v>
      </c>
      <c r="D500" s="6" t="s">
        <v>4317</v>
      </c>
      <c r="E500" s="8" t="s">
        <v>4305</v>
      </c>
      <c r="F500" s="8" t="s">
        <v>4141</v>
      </c>
      <c r="G500" s="6" t="str">
        <f>_xlfn.XLOOKUP(LD_01[[#This Row],[DISCIPLINA]],'CLASSES DE PROJETOS'!$F$3:$F$37,'CLASSES DE PROJETOS'!$C$3:$C$37)</f>
        <v>GE</v>
      </c>
      <c r="H500" t="str">
        <f>_xlfn.TEXTJOIN("/",TRUE,"MSV-163MS-"&amp;LD_01[[#This Row],[TRECHO]],_xlfn.XLOOKUP(LD_01[[#This Row],[SIGLA]],'CLASSES DE PROJETOS'!$C$3:$C$37,'CLASSES DE PROJETOS'!$E$3:$E$37))</f>
        <v>MSV-163MS-535-545/18.GE</v>
      </c>
      <c r="I500" s="6" t="str" cm="1">
        <f t="array" ref="I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J500" s="6" t="str" cm="1">
        <f t="array" ref="J500">_xlfn.TEXTJOIN(", ",TRUE,_xlfn.UNIQUE(_xlfn._xlws.FILTER(ARQUIVOS_RECEBIDOS!$F$2:$F$5010,ARQUIVOS_RECEBIDOS!$E$2:$E$5010=LD_01[[#This Row],[DOCUMENTO]])))</f>
        <v>R04</v>
      </c>
      <c r="K500" s="12" cm="1">
        <f t="array" ref="K500">_xlfn.UNIQUE(_xlfn._xlws.FILTER(ARQUIVOS[DATA RECEBIMENTO],(ARQUIVOS[DOCUMENTO]=LD_01[[#This Row],[DOCUMENTO]])*(ARQUIVOS[REVISÃO]=LD_01[[#This Row],[REVISÃO]])))</f>
        <v>45838</v>
      </c>
      <c r="L5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M500" s="6" t="str">
        <f>LD_01[[#This Row],[PASTA]]&amp;"/"&amp;LD_01[[#This Row],[ARQUIVO]]</f>
        <v>MSV-163MS-535-545/18.GE/MSV-163MS-535-545-ACA-EXE-DE-F1-004-R04.pdf</v>
      </c>
    </row>
    <row r="501" spans="1:13" ht="28.8" hidden="1" x14ac:dyDescent="0.3">
      <c r="A501" s="6" t="s">
        <v>3259</v>
      </c>
      <c r="B501" s="6" t="str">
        <f>VLOOKUP(LD_01[[#This Row],[DOCUMENTO]],_xlfn.SORTBY(ARQUIVOS_RECEBIDOS!$E$2:$F$5010,ARQUIVOS_RECEBIDOS!$F$2:$F$5010,-1),2,)</f>
        <v>R04</v>
      </c>
      <c r="C501" s="15" t="s">
        <v>5987</v>
      </c>
      <c r="D501" s="6" t="s">
        <v>4317</v>
      </c>
      <c r="E501" s="8" t="s">
        <v>4305</v>
      </c>
      <c r="F501" s="8" t="s">
        <v>4141</v>
      </c>
      <c r="G501" s="6" t="str">
        <f>_xlfn.XLOOKUP(LD_01[[#This Row],[DISCIPLINA]],'CLASSES DE PROJETOS'!$F$3:$F$37,'CLASSES DE PROJETOS'!$C$3:$C$37)</f>
        <v>GE</v>
      </c>
      <c r="H501" t="str">
        <f>_xlfn.TEXTJOIN("/",TRUE,"MSV-163MS-"&amp;LD_01[[#This Row],[TRECHO]],_xlfn.XLOOKUP(LD_01[[#This Row],[SIGLA]],'CLASSES DE PROJETOS'!$C$3:$C$37,'CLASSES DE PROJETOS'!$E$3:$E$37))</f>
        <v>MSV-163MS-535-545/18.GE</v>
      </c>
      <c r="I501" s="6" t="str" cm="1">
        <f t="array" ref="I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J501" s="6" t="str" cm="1">
        <f t="array" ref="J501">_xlfn.TEXTJOIN(", ",TRUE,_xlfn.UNIQUE(_xlfn._xlws.FILTER(ARQUIVOS_RECEBIDOS!$F$2:$F$5010,ARQUIVOS_RECEBIDOS!$E$2:$E$5010=LD_01[[#This Row],[DOCUMENTO]])))</f>
        <v>R03, R04</v>
      </c>
      <c r="K501" s="12" cm="1">
        <f t="array" ref="K501">_xlfn.UNIQUE(_xlfn._xlws.FILTER(ARQUIVOS[DATA RECEBIMENTO],(ARQUIVOS[DOCUMENTO]=LD_01[[#This Row],[DOCUMENTO]])*(ARQUIVOS[REVISÃO]=LD_01[[#This Row],[REVISÃO]])))</f>
        <v>46091</v>
      </c>
      <c r="L5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M501" s="6" t="str">
        <f>LD_01[[#This Row],[PASTA]]&amp;"/"&amp;LD_01[[#This Row],[ARQUIVO]]</f>
        <v>MSV-163MS-535-545/18.GE/MSV-163MS-535-545-ACA-EXE-DE-F1-005-R04.pdf</v>
      </c>
    </row>
    <row r="502" spans="1:13" ht="28.8" hidden="1" x14ac:dyDescent="0.3">
      <c r="A502" s="6" t="s">
        <v>3260</v>
      </c>
      <c r="B502" s="6" t="str">
        <f>VLOOKUP(LD_01[[#This Row],[DOCUMENTO]],_xlfn.SORTBY(ARQUIVOS_RECEBIDOS!$E$2:$F$5010,ARQUIVOS_RECEBIDOS!$F$2:$F$5010,-1),2,)</f>
        <v>R06</v>
      </c>
      <c r="C502" s="15" t="s">
        <v>5987</v>
      </c>
      <c r="D502" s="6" t="s">
        <v>4317</v>
      </c>
      <c r="E502" s="8" t="s">
        <v>4305</v>
      </c>
      <c r="F502" s="8" t="s">
        <v>4141</v>
      </c>
      <c r="G502" s="6" t="str">
        <f>_xlfn.XLOOKUP(LD_01[[#This Row],[DISCIPLINA]],'CLASSES DE PROJETOS'!$F$3:$F$37,'CLASSES DE PROJETOS'!$C$3:$C$37)</f>
        <v>GE</v>
      </c>
      <c r="H502" t="str">
        <f>_xlfn.TEXTJOIN("/",TRUE,"MSV-163MS-"&amp;LD_01[[#This Row],[TRECHO]],_xlfn.XLOOKUP(LD_01[[#This Row],[SIGLA]],'CLASSES DE PROJETOS'!$C$3:$C$37,'CLASSES DE PROJETOS'!$E$3:$E$37))</f>
        <v>MSV-163MS-535-545/18.GE</v>
      </c>
      <c r="I502" s="6" t="str" cm="1">
        <f t="array" ref="I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J502" s="6" t="str" cm="1">
        <f t="array" ref="J502">_xlfn.TEXTJOIN(", ",TRUE,_xlfn.UNIQUE(_xlfn._xlws.FILTER(ARQUIVOS_RECEBIDOS!$F$2:$F$5010,ARQUIVOS_RECEBIDOS!$E$2:$E$5010=LD_01[[#This Row],[DOCUMENTO]])))</f>
        <v>R05, R06</v>
      </c>
      <c r="K502" s="12" cm="1">
        <f t="array" ref="K502">_xlfn.UNIQUE(_xlfn._xlws.FILTER(ARQUIVOS[DATA RECEBIMENTO],(ARQUIVOS[DOCUMENTO]=LD_01[[#This Row],[DOCUMENTO]])*(ARQUIVOS[REVISÃO]=LD_01[[#This Row],[REVISÃO]])))</f>
        <v>46001</v>
      </c>
      <c r="L5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M502" s="6" t="str">
        <f>LD_01[[#This Row],[PASTA]]&amp;"/"&amp;LD_01[[#This Row],[ARQUIVO]]</f>
        <v>MSV-163MS-535-545/18.GE/MSV-163MS-535-545-ACA-EXE-DE-F1-006-R06.pdf</v>
      </c>
    </row>
    <row r="503" spans="1:13" ht="28.8" hidden="1" x14ac:dyDescent="0.3">
      <c r="A503" s="6" t="s">
        <v>3261</v>
      </c>
      <c r="B503" s="6" t="str">
        <f>VLOOKUP(LD_01[[#This Row],[DOCUMENTO]],_xlfn.SORTBY(ARQUIVOS_RECEBIDOS!$E$2:$F$5010,ARQUIVOS_RECEBIDOS!$F$2:$F$5010,-1),2,)</f>
        <v>R07</v>
      </c>
      <c r="C503" s="15" t="s">
        <v>5987</v>
      </c>
      <c r="D503" s="6" t="s">
        <v>4317</v>
      </c>
      <c r="E503" s="8" t="s">
        <v>4305</v>
      </c>
      <c r="F503" s="8" t="s">
        <v>4141</v>
      </c>
      <c r="G503" s="6" t="str">
        <f>_xlfn.XLOOKUP(LD_01[[#This Row],[DISCIPLINA]],'CLASSES DE PROJETOS'!$F$3:$F$37,'CLASSES DE PROJETOS'!$C$3:$C$37)</f>
        <v>GE</v>
      </c>
      <c r="H503" t="str">
        <f>_xlfn.TEXTJOIN("/",TRUE,"MSV-163MS-"&amp;LD_01[[#This Row],[TRECHO]],_xlfn.XLOOKUP(LD_01[[#This Row],[SIGLA]],'CLASSES DE PROJETOS'!$C$3:$C$37,'CLASSES DE PROJETOS'!$E$3:$E$37))</f>
        <v>MSV-163MS-535-545/18.GE</v>
      </c>
      <c r="I503" s="6" t="str" cm="1">
        <f t="array" ref="I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J503" s="6" t="str" cm="1">
        <f t="array" ref="J503">_xlfn.TEXTJOIN(", ",TRUE,_xlfn.UNIQUE(_xlfn._xlws.FILTER(ARQUIVOS_RECEBIDOS!$F$2:$F$5010,ARQUIVOS_RECEBIDOS!$E$2:$E$5010=LD_01[[#This Row],[DOCUMENTO]])))</f>
        <v>R06, R07</v>
      </c>
      <c r="K503" s="12" cm="1">
        <f t="array" ref="K503">_xlfn.UNIQUE(_xlfn._xlws.FILTER(ARQUIVOS[DATA RECEBIMENTO],(ARQUIVOS[DOCUMENTO]=LD_01[[#This Row],[DOCUMENTO]])*(ARQUIVOS[REVISÃO]=LD_01[[#This Row],[REVISÃO]])))</f>
        <v>46001</v>
      </c>
      <c r="L5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M503" s="6" t="str">
        <f>LD_01[[#This Row],[PASTA]]&amp;"/"&amp;LD_01[[#This Row],[ARQUIVO]]</f>
        <v>MSV-163MS-535-545/18.GE/MSV-163MS-535-545-ACA-EXE-DE-F1-007-R07.pdf</v>
      </c>
    </row>
    <row r="504" spans="1:13" ht="28.8" hidden="1" x14ac:dyDescent="0.3">
      <c r="A504" s="6" t="s">
        <v>3262</v>
      </c>
      <c r="B504" s="6" t="str">
        <f>VLOOKUP(LD_01[[#This Row],[DOCUMENTO]],_xlfn.SORTBY(ARQUIVOS_RECEBIDOS!$E$2:$F$5010,ARQUIVOS_RECEBIDOS!$F$2:$F$5010,-1),2,)</f>
        <v>R05</v>
      </c>
      <c r="C504" s="15" t="s">
        <v>5987</v>
      </c>
      <c r="D504" s="6" t="s">
        <v>4317</v>
      </c>
      <c r="E504" s="8" t="s">
        <v>4305</v>
      </c>
      <c r="F504" s="8" t="s">
        <v>4141</v>
      </c>
      <c r="G504" s="6" t="str">
        <f>_xlfn.XLOOKUP(LD_01[[#This Row],[DISCIPLINA]],'CLASSES DE PROJETOS'!$F$3:$F$37,'CLASSES DE PROJETOS'!$C$3:$C$37)</f>
        <v>GE</v>
      </c>
      <c r="H504" t="str">
        <f>_xlfn.TEXTJOIN("/",TRUE,"MSV-163MS-"&amp;LD_01[[#This Row],[TRECHO]],_xlfn.XLOOKUP(LD_01[[#This Row],[SIGLA]],'CLASSES DE PROJETOS'!$C$3:$C$37,'CLASSES DE PROJETOS'!$E$3:$E$37))</f>
        <v>MSV-163MS-535-545/18.GE</v>
      </c>
      <c r="I504" s="6" t="str" cm="1">
        <f t="array" ref="I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J504" s="6" t="str" cm="1">
        <f t="array" ref="J504">_xlfn.TEXTJOIN(", ",TRUE,_xlfn.UNIQUE(_xlfn._xlws.FILTER(ARQUIVOS_RECEBIDOS!$F$2:$F$5010,ARQUIVOS_RECEBIDOS!$E$2:$E$5010=LD_01[[#This Row],[DOCUMENTO]])))</f>
        <v>R05</v>
      </c>
      <c r="K504" s="12" cm="1">
        <f t="array" ref="K504">_xlfn.UNIQUE(_xlfn._xlws.FILTER(ARQUIVOS[DATA RECEBIMENTO],(ARQUIVOS[DOCUMENTO]=LD_01[[#This Row],[DOCUMENTO]])*(ARQUIVOS[REVISÃO]=LD_01[[#This Row],[REVISÃO]])))</f>
        <v>45838</v>
      </c>
      <c r="L5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M504" s="6" t="str">
        <f>LD_01[[#This Row],[PASTA]]&amp;"/"&amp;LD_01[[#This Row],[ARQUIVO]]</f>
        <v>MSV-163MS-535-545/18.GE/MSV-163MS-535-545-ACA-EXE-DE-F1-008-R05.pdf</v>
      </c>
    </row>
    <row r="505" spans="1:13" ht="28.8" hidden="1" x14ac:dyDescent="0.3">
      <c r="A505" s="6" t="s">
        <v>3263</v>
      </c>
      <c r="B505" s="6" t="str">
        <f>VLOOKUP(LD_01[[#This Row],[DOCUMENTO]],_xlfn.SORTBY(ARQUIVOS_RECEBIDOS!$E$2:$F$5010,ARQUIVOS_RECEBIDOS!$F$2:$F$5010,-1),2,)</f>
        <v>R04</v>
      </c>
      <c r="C505" s="15" t="s">
        <v>5987</v>
      </c>
      <c r="D505" s="6" t="s">
        <v>4317</v>
      </c>
      <c r="E505" s="8" t="s">
        <v>4305</v>
      </c>
      <c r="F505" s="8" t="s">
        <v>4141</v>
      </c>
      <c r="G505" s="6" t="str">
        <f>_xlfn.XLOOKUP(LD_01[[#This Row],[DISCIPLINA]],'CLASSES DE PROJETOS'!$F$3:$F$37,'CLASSES DE PROJETOS'!$C$3:$C$37)</f>
        <v>GE</v>
      </c>
      <c r="H505" t="str">
        <f>_xlfn.TEXTJOIN("/",TRUE,"MSV-163MS-"&amp;LD_01[[#This Row],[TRECHO]],_xlfn.XLOOKUP(LD_01[[#This Row],[SIGLA]],'CLASSES DE PROJETOS'!$C$3:$C$37,'CLASSES DE PROJETOS'!$E$3:$E$37))</f>
        <v>MSV-163MS-535-545/18.GE</v>
      </c>
      <c r="I505" s="6" t="str" cm="1">
        <f t="array" ref="I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J505" s="6" t="str" cm="1">
        <f t="array" ref="J505">_xlfn.TEXTJOIN(", ",TRUE,_xlfn.UNIQUE(_xlfn._xlws.FILTER(ARQUIVOS_RECEBIDOS!$F$2:$F$5010,ARQUIVOS_RECEBIDOS!$E$2:$E$5010=LD_01[[#This Row],[DOCUMENTO]])))</f>
        <v>R04</v>
      </c>
      <c r="K505" s="12" cm="1">
        <f t="array" ref="K505">_xlfn.UNIQUE(_xlfn._xlws.FILTER(ARQUIVOS[DATA RECEBIMENTO],(ARQUIVOS[DOCUMENTO]=LD_01[[#This Row],[DOCUMENTO]])*(ARQUIVOS[REVISÃO]=LD_01[[#This Row],[REVISÃO]])))</f>
        <v>45838</v>
      </c>
      <c r="L5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M505" s="6" t="str">
        <f>LD_01[[#This Row],[PASTA]]&amp;"/"&amp;LD_01[[#This Row],[ARQUIVO]]</f>
        <v>MSV-163MS-535-545/18.GE/MSV-163MS-535-545-ACA-EXE-DE-F1-009-R04.pdf</v>
      </c>
    </row>
    <row r="506" spans="1:13" ht="28.8" hidden="1" x14ac:dyDescent="0.3">
      <c r="A506" s="6" t="s">
        <v>3264</v>
      </c>
      <c r="B506" s="6" t="str">
        <f>VLOOKUP(LD_01[[#This Row],[DOCUMENTO]],_xlfn.SORTBY(ARQUIVOS_RECEBIDOS!$E$2:$F$5010,ARQUIVOS_RECEBIDOS!$F$2:$F$5010,-1),2,)</f>
        <v>R06</v>
      </c>
      <c r="C506" s="15" t="s">
        <v>5987</v>
      </c>
      <c r="D506" s="6" t="s">
        <v>4317</v>
      </c>
      <c r="E506" s="8" t="s">
        <v>4305</v>
      </c>
      <c r="F506" s="8" t="s">
        <v>4141</v>
      </c>
      <c r="G506" s="6" t="str">
        <f>_xlfn.XLOOKUP(LD_01[[#This Row],[DISCIPLINA]],'CLASSES DE PROJETOS'!$F$3:$F$37,'CLASSES DE PROJETOS'!$C$3:$C$37)</f>
        <v>GE</v>
      </c>
      <c r="H506" t="str">
        <f>_xlfn.TEXTJOIN("/",TRUE,"MSV-163MS-"&amp;LD_01[[#This Row],[TRECHO]],_xlfn.XLOOKUP(LD_01[[#This Row],[SIGLA]],'CLASSES DE PROJETOS'!$C$3:$C$37,'CLASSES DE PROJETOS'!$E$3:$E$37))</f>
        <v>MSV-163MS-535-545/18.GE</v>
      </c>
      <c r="I506" s="6" t="str" cm="1">
        <f t="array" ref="I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J506" s="6" t="str" cm="1">
        <f t="array" ref="J506">_xlfn.TEXTJOIN(", ",TRUE,_xlfn.UNIQUE(_xlfn._xlws.FILTER(ARQUIVOS_RECEBIDOS!$F$2:$F$5010,ARQUIVOS_RECEBIDOS!$E$2:$E$5010=LD_01[[#This Row],[DOCUMENTO]])))</f>
        <v>R06</v>
      </c>
      <c r="K506" s="12" cm="1">
        <f t="array" ref="K506">_xlfn.UNIQUE(_xlfn._xlws.FILTER(ARQUIVOS[DATA RECEBIMENTO],(ARQUIVOS[DOCUMENTO]=LD_01[[#This Row],[DOCUMENTO]])*(ARQUIVOS[REVISÃO]=LD_01[[#This Row],[REVISÃO]])))</f>
        <v>45838</v>
      </c>
      <c r="L5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M506" s="6" t="str">
        <f>LD_01[[#This Row],[PASTA]]&amp;"/"&amp;LD_01[[#This Row],[ARQUIVO]]</f>
        <v>MSV-163MS-535-545/18.GE/MSV-163MS-535-545-ACA-EXE-DE-F1-010-R06.pdf</v>
      </c>
    </row>
    <row r="507" spans="1:13" ht="28.8" hidden="1" x14ac:dyDescent="0.3">
      <c r="A507" s="6" t="s">
        <v>3265</v>
      </c>
      <c r="B507" s="6" t="str">
        <f>VLOOKUP(LD_01[[#This Row],[DOCUMENTO]],_xlfn.SORTBY(ARQUIVOS_RECEBIDOS!$E$2:$F$5010,ARQUIVOS_RECEBIDOS!$F$2:$F$5010,-1),2,)</f>
        <v>R05</v>
      </c>
      <c r="C507" s="15" t="s">
        <v>5987</v>
      </c>
      <c r="D507" s="6" t="s">
        <v>4317</v>
      </c>
      <c r="E507" s="8" t="s">
        <v>4305</v>
      </c>
      <c r="F507" s="8" t="s">
        <v>4141</v>
      </c>
      <c r="G507" s="6" t="str">
        <f>_xlfn.XLOOKUP(LD_01[[#This Row],[DISCIPLINA]],'CLASSES DE PROJETOS'!$F$3:$F$37,'CLASSES DE PROJETOS'!$C$3:$C$37)</f>
        <v>GE</v>
      </c>
      <c r="H507" t="str">
        <f>_xlfn.TEXTJOIN("/",TRUE,"MSV-163MS-"&amp;LD_01[[#This Row],[TRECHO]],_xlfn.XLOOKUP(LD_01[[#This Row],[SIGLA]],'CLASSES DE PROJETOS'!$C$3:$C$37,'CLASSES DE PROJETOS'!$E$3:$E$37))</f>
        <v>MSV-163MS-535-545/18.GE</v>
      </c>
      <c r="I507" s="6" t="str" cm="1">
        <f t="array" ref="I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J507" s="6" t="str" cm="1">
        <f t="array" ref="J507">_xlfn.TEXTJOIN(", ",TRUE,_xlfn.UNIQUE(_xlfn._xlws.FILTER(ARQUIVOS_RECEBIDOS!$F$2:$F$5010,ARQUIVOS_RECEBIDOS!$E$2:$E$5010=LD_01[[#This Row],[DOCUMENTO]])))</f>
        <v>R05</v>
      </c>
      <c r="K507" s="12" cm="1">
        <f t="array" ref="K507">_xlfn.UNIQUE(_xlfn._xlws.FILTER(ARQUIVOS[DATA RECEBIMENTO],(ARQUIVOS[DOCUMENTO]=LD_01[[#This Row],[DOCUMENTO]])*(ARQUIVOS[REVISÃO]=LD_01[[#This Row],[REVISÃO]])))</f>
        <v>45838</v>
      </c>
      <c r="L5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M507" s="6" t="str">
        <f>LD_01[[#This Row],[PASTA]]&amp;"/"&amp;LD_01[[#This Row],[ARQUIVO]]</f>
        <v>MSV-163MS-535-545/18.GE/MSV-163MS-535-545-ACA-EXE-DE-F1-011-R05.pdf</v>
      </c>
    </row>
    <row r="508" spans="1:13" ht="28.8" hidden="1" x14ac:dyDescent="0.3">
      <c r="A508" s="6" t="s">
        <v>3266</v>
      </c>
      <c r="B508" s="6" t="str">
        <f>VLOOKUP(LD_01[[#This Row],[DOCUMENTO]],_xlfn.SORTBY(ARQUIVOS_RECEBIDOS!$E$2:$F$5010,ARQUIVOS_RECEBIDOS!$F$2:$F$5010,-1),2,)</f>
        <v>R05</v>
      </c>
      <c r="C508" s="15" t="s">
        <v>5987</v>
      </c>
      <c r="D508" s="6" t="s">
        <v>4317</v>
      </c>
      <c r="E508" s="8" t="s">
        <v>4305</v>
      </c>
      <c r="F508" s="8" t="s">
        <v>4141</v>
      </c>
      <c r="G508" s="6" t="str">
        <f>_xlfn.XLOOKUP(LD_01[[#This Row],[DISCIPLINA]],'CLASSES DE PROJETOS'!$F$3:$F$37,'CLASSES DE PROJETOS'!$C$3:$C$37)</f>
        <v>GE</v>
      </c>
      <c r="H508" t="str">
        <f>_xlfn.TEXTJOIN("/",TRUE,"MSV-163MS-"&amp;LD_01[[#This Row],[TRECHO]],_xlfn.XLOOKUP(LD_01[[#This Row],[SIGLA]],'CLASSES DE PROJETOS'!$C$3:$C$37,'CLASSES DE PROJETOS'!$E$3:$E$37))</f>
        <v>MSV-163MS-535-545/18.GE</v>
      </c>
      <c r="I508" s="6" t="str" cm="1">
        <f t="array" ref="I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J508" s="6" t="str" cm="1">
        <f t="array" ref="J508">_xlfn.TEXTJOIN(", ",TRUE,_xlfn.UNIQUE(_xlfn._xlws.FILTER(ARQUIVOS_RECEBIDOS!$F$2:$F$5010,ARQUIVOS_RECEBIDOS!$E$2:$E$5010=LD_01[[#This Row],[DOCUMENTO]])))</f>
        <v>R05</v>
      </c>
      <c r="K508" s="12" cm="1">
        <f t="array" ref="K508">_xlfn.UNIQUE(_xlfn._xlws.FILTER(ARQUIVOS[DATA RECEBIMENTO],(ARQUIVOS[DOCUMENTO]=LD_01[[#This Row],[DOCUMENTO]])*(ARQUIVOS[REVISÃO]=LD_01[[#This Row],[REVISÃO]])))</f>
        <v>45838</v>
      </c>
      <c r="L5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M508" s="6" t="str">
        <f>LD_01[[#This Row],[PASTA]]&amp;"/"&amp;LD_01[[#This Row],[ARQUIVO]]</f>
        <v>MSV-163MS-535-545/18.GE/MSV-163MS-535-545-ACA-EXE-DE-F1-012-R05.pdf</v>
      </c>
    </row>
    <row r="509" spans="1:13" ht="28.8" hidden="1" x14ac:dyDescent="0.3">
      <c r="A509" s="6" t="s">
        <v>3267</v>
      </c>
      <c r="B509" s="6" t="str">
        <f>VLOOKUP(LD_01[[#This Row],[DOCUMENTO]],_xlfn.SORTBY(ARQUIVOS_RECEBIDOS!$E$2:$F$5010,ARQUIVOS_RECEBIDOS!$F$2:$F$5010,-1),2,)</f>
        <v>R03</v>
      </c>
      <c r="C509" s="15" t="s">
        <v>5987</v>
      </c>
      <c r="D509" s="6" t="s">
        <v>4317</v>
      </c>
      <c r="E509" s="8" t="s">
        <v>4305</v>
      </c>
      <c r="F509" s="8" t="s">
        <v>4141</v>
      </c>
      <c r="G509" s="6" t="str">
        <f>_xlfn.XLOOKUP(LD_01[[#This Row],[DISCIPLINA]],'CLASSES DE PROJETOS'!$F$3:$F$37,'CLASSES DE PROJETOS'!$C$3:$C$37)</f>
        <v>GE</v>
      </c>
      <c r="H509" t="str">
        <f>_xlfn.TEXTJOIN("/",TRUE,"MSV-163MS-"&amp;LD_01[[#This Row],[TRECHO]],_xlfn.XLOOKUP(LD_01[[#This Row],[SIGLA]],'CLASSES DE PROJETOS'!$C$3:$C$37,'CLASSES DE PROJETOS'!$E$3:$E$37))</f>
        <v>MSV-163MS-535-545/18.GE</v>
      </c>
      <c r="I509" s="6" t="str" cm="1">
        <f t="array" ref="I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J509" s="6" t="str" cm="1">
        <f t="array" ref="J509">_xlfn.TEXTJOIN(", ",TRUE,_xlfn.UNIQUE(_xlfn._xlws.FILTER(ARQUIVOS_RECEBIDOS!$F$2:$F$5010,ARQUIVOS_RECEBIDOS!$E$2:$E$5010=LD_01[[#This Row],[DOCUMENTO]])))</f>
        <v>R03</v>
      </c>
      <c r="K509" s="12" cm="1">
        <f t="array" ref="K509">_xlfn.UNIQUE(_xlfn._xlws.FILTER(ARQUIVOS[DATA RECEBIMENTO],(ARQUIVOS[DOCUMENTO]=LD_01[[#This Row],[DOCUMENTO]])*(ARQUIVOS[REVISÃO]=LD_01[[#This Row],[REVISÃO]])))</f>
        <v>45838</v>
      </c>
      <c r="L5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M509" s="6" t="str">
        <f>LD_01[[#This Row],[PASTA]]&amp;"/"&amp;LD_01[[#This Row],[ARQUIVO]]</f>
        <v>MSV-163MS-535-545/18.GE/MSV-163MS-535-545-ACA-EXE-DE-F1-013-R03.pdf</v>
      </c>
    </row>
    <row r="510" spans="1:13" ht="28.8" hidden="1" x14ac:dyDescent="0.3">
      <c r="A510" s="6" t="s">
        <v>3268</v>
      </c>
      <c r="B510" s="6" t="str">
        <f>VLOOKUP(LD_01[[#This Row],[DOCUMENTO]],_xlfn.SORTBY(ARQUIVOS_RECEBIDOS!$E$2:$F$5010,ARQUIVOS_RECEBIDOS!$F$2:$F$5010,-1),2,)</f>
        <v>R06</v>
      </c>
      <c r="C510" s="15" t="s">
        <v>5987</v>
      </c>
      <c r="D510" s="6" t="s">
        <v>4317</v>
      </c>
      <c r="E510" s="8" t="s">
        <v>4305</v>
      </c>
      <c r="F510" s="8" t="s">
        <v>4141</v>
      </c>
      <c r="G510" s="6" t="str">
        <f>_xlfn.XLOOKUP(LD_01[[#This Row],[DISCIPLINA]],'CLASSES DE PROJETOS'!$F$3:$F$37,'CLASSES DE PROJETOS'!$C$3:$C$37)</f>
        <v>GE</v>
      </c>
      <c r="H510" t="str">
        <f>_xlfn.TEXTJOIN("/",TRUE,"MSV-163MS-"&amp;LD_01[[#This Row],[TRECHO]],_xlfn.XLOOKUP(LD_01[[#This Row],[SIGLA]],'CLASSES DE PROJETOS'!$C$3:$C$37,'CLASSES DE PROJETOS'!$E$3:$E$37))</f>
        <v>MSV-163MS-535-545/18.GE</v>
      </c>
      <c r="I510" s="6" t="str" cm="1">
        <f t="array" ref="I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J510" s="6" t="str" cm="1">
        <f t="array" ref="J510">_xlfn.TEXTJOIN(", ",TRUE,_xlfn.UNIQUE(_xlfn._xlws.FILTER(ARQUIVOS_RECEBIDOS!$F$2:$F$5010,ARQUIVOS_RECEBIDOS!$E$2:$E$5010=LD_01[[#This Row],[DOCUMENTO]])))</f>
        <v>R06</v>
      </c>
      <c r="K510" s="12" cm="1">
        <f t="array" ref="K510">_xlfn.UNIQUE(_xlfn._xlws.FILTER(ARQUIVOS[DATA RECEBIMENTO],(ARQUIVOS[DOCUMENTO]=LD_01[[#This Row],[DOCUMENTO]])*(ARQUIVOS[REVISÃO]=LD_01[[#This Row],[REVISÃO]])))</f>
        <v>45838</v>
      </c>
      <c r="L5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M510" s="6" t="str">
        <f>LD_01[[#This Row],[PASTA]]&amp;"/"&amp;LD_01[[#This Row],[ARQUIVO]]</f>
        <v>MSV-163MS-535-545/18.GE/MSV-163MS-535-545-ACA-EXE-DE-F1-014-R06.pdf</v>
      </c>
    </row>
    <row r="511" spans="1:13" ht="28.8" hidden="1" x14ac:dyDescent="0.3">
      <c r="A511" s="6" t="s">
        <v>3269</v>
      </c>
      <c r="B511" s="6" t="str">
        <f>VLOOKUP(LD_01[[#This Row],[DOCUMENTO]],_xlfn.SORTBY(ARQUIVOS_RECEBIDOS!$E$2:$F$5010,ARQUIVOS_RECEBIDOS!$F$2:$F$5010,-1),2,)</f>
        <v>R04</v>
      </c>
      <c r="C511" s="15" t="s">
        <v>5987</v>
      </c>
      <c r="D511" s="6" t="s">
        <v>4317</v>
      </c>
      <c r="E511" s="8" t="s">
        <v>4305</v>
      </c>
      <c r="F511" s="8" t="s">
        <v>4141</v>
      </c>
      <c r="G511" s="6" t="str">
        <f>_xlfn.XLOOKUP(LD_01[[#This Row],[DISCIPLINA]],'CLASSES DE PROJETOS'!$F$3:$F$37,'CLASSES DE PROJETOS'!$C$3:$C$37)</f>
        <v>GE</v>
      </c>
      <c r="H511" t="str">
        <f>_xlfn.TEXTJOIN("/",TRUE,"MSV-163MS-"&amp;LD_01[[#This Row],[TRECHO]],_xlfn.XLOOKUP(LD_01[[#This Row],[SIGLA]],'CLASSES DE PROJETOS'!$C$3:$C$37,'CLASSES DE PROJETOS'!$E$3:$E$37))</f>
        <v>MSV-163MS-535-545/18.GE</v>
      </c>
      <c r="I511" s="6" t="str" cm="1">
        <f t="array" ref="I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J511" s="6" t="str" cm="1">
        <f t="array" ref="J511">_xlfn.TEXTJOIN(", ",TRUE,_xlfn.UNIQUE(_xlfn._xlws.FILTER(ARQUIVOS_RECEBIDOS!$F$2:$F$5010,ARQUIVOS_RECEBIDOS!$E$2:$E$5010=LD_01[[#This Row],[DOCUMENTO]])))</f>
        <v>R04</v>
      </c>
      <c r="K511" s="12" cm="1">
        <f t="array" ref="K511">_xlfn.UNIQUE(_xlfn._xlws.FILTER(ARQUIVOS[DATA RECEBIMENTO],(ARQUIVOS[DOCUMENTO]=LD_01[[#This Row],[DOCUMENTO]])*(ARQUIVOS[REVISÃO]=LD_01[[#This Row],[REVISÃO]])))</f>
        <v>45838</v>
      </c>
      <c r="L5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M511" s="6" t="str">
        <f>LD_01[[#This Row],[PASTA]]&amp;"/"&amp;LD_01[[#This Row],[ARQUIVO]]</f>
        <v>MSV-163MS-535-545/18.GE/MSV-163MS-535-545-ACA-EXE-DE-F1-015-R04.pdf</v>
      </c>
    </row>
    <row r="512" spans="1:13" ht="28.8" hidden="1" x14ac:dyDescent="0.3">
      <c r="A512" s="6" t="s">
        <v>3270</v>
      </c>
      <c r="B512" s="6" t="str">
        <f>VLOOKUP(LD_01[[#This Row],[DOCUMENTO]],_xlfn.SORTBY(ARQUIVOS_RECEBIDOS!$E$2:$F$5010,ARQUIVOS_RECEBIDOS!$F$2:$F$5010,-1),2,)</f>
        <v>R05</v>
      </c>
      <c r="C512" s="15" t="s">
        <v>5987</v>
      </c>
      <c r="D512" s="6" t="s">
        <v>4317</v>
      </c>
      <c r="E512" s="8" t="s">
        <v>4305</v>
      </c>
      <c r="F512" s="8" t="s">
        <v>4141</v>
      </c>
      <c r="G512" s="6" t="str">
        <f>_xlfn.XLOOKUP(LD_01[[#This Row],[DISCIPLINA]],'CLASSES DE PROJETOS'!$F$3:$F$37,'CLASSES DE PROJETOS'!$C$3:$C$37)</f>
        <v>GE</v>
      </c>
      <c r="H512" t="str">
        <f>_xlfn.TEXTJOIN("/",TRUE,"MSV-163MS-"&amp;LD_01[[#This Row],[TRECHO]],_xlfn.XLOOKUP(LD_01[[#This Row],[SIGLA]],'CLASSES DE PROJETOS'!$C$3:$C$37,'CLASSES DE PROJETOS'!$E$3:$E$37))</f>
        <v>MSV-163MS-535-545/18.GE</v>
      </c>
      <c r="I512" s="6" t="str" cm="1">
        <f t="array" ref="I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J512" s="6" t="str" cm="1">
        <f t="array" ref="J512">_xlfn.TEXTJOIN(", ",TRUE,_xlfn.UNIQUE(_xlfn._xlws.FILTER(ARQUIVOS_RECEBIDOS!$F$2:$F$5010,ARQUIVOS_RECEBIDOS!$E$2:$E$5010=LD_01[[#This Row],[DOCUMENTO]])))</f>
        <v>R05</v>
      </c>
      <c r="K512" s="12" cm="1">
        <f t="array" ref="K512">_xlfn.UNIQUE(_xlfn._xlws.FILTER(ARQUIVOS[DATA RECEBIMENTO],(ARQUIVOS[DOCUMENTO]=LD_01[[#This Row],[DOCUMENTO]])*(ARQUIVOS[REVISÃO]=LD_01[[#This Row],[REVISÃO]])))</f>
        <v>45838</v>
      </c>
      <c r="L5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M512" s="6" t="str">
        <f>LD_01[[#This Row],[PASTA]]&amp;"/"&amp;LD_01[[#This Row],[ARQUIVO]]</f>
        <v>MSV-163MS-535-545/18.GE/MSV-163MS-535-545-ACA-EXE-DE-F1-016-R05.pdf</v>
      </c>
    </row>
    <row r="513" spans="1:13" ht="28.8" hidden="1" x14ac:dyDescent="0.3">
      <c r="A513" s="6" t="s">
        <v>3271</v>
      </c>
      <c r="B513" s="6" t="str">
        <f>VLOOKUP(LD_01[[#This Row],[DOCUMENTO]],_xlfn.SORTBY(ARQUIVOS_RECEBIDOS!$E$2:$F$5010,ARQUIVOS_RECEBIDOS!$F$2:$F$5010,-1),2,)</f>
        <v>R05</v>
      </c>
      <c r="C513" s="15" t="s">
        <v>5987</v>
      </c>
      <c r="D513" s="6" t="s">
        <v>4317</v>
      </c>
      <c r="E513" s="8" t="s">
        <v>4305</v>
      </c>
      <c r="F513" s="8" t="s">
        <v>4141</v>
      </c>
      <c r="G513" s="6" t="str">
        <f>_xlfn.XLOOKUP(LD_01[[#This Row],[DISCIPLINA]],'CLASSES DE PROJETOS'!$F$3:$F$37,'CLASSES DE PROJETOS'!$C$3:$C$37)</f>
        <v>GE</v>
      </c>
      <c r="H513" t="str">
        <f>_xlfn.TEXTJOIN("/",TRUE,"MSV-163MS-"&amp;LD_01[[#This Row],[TRECHO]],_xlfn.XLOOKUP(LD_01[[#This Row],[SIGLA]],'CLASSES DE PROJETOS'!$C$3:$C$37,'CLASSES DE PROJETOS'!$E$3:$E$37))</f>
        <v>MSV-163MS-535-545/18.GE</v>
      </c>
      <c r="I513" s="6" t="str" cm="1">
        <f t="array" ref="I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J513" s="6" t="str" cm="1">
        <f t="array" ref="J513">_xlfn.TEXTJOIN(", ",TRUE,_xlfn.UNIQUE(_xlfn._xlws.FILTER(ARQUIVOS_RECEBIDOS!$F$2:$F$5010,ARQUIVOS_RECEBIDOS!$E$2:$E$5010=LD_01[[#This Row],[DOCUMENTO]])))</f>
        <v>R05</v>
      </c>
      <c r="K513" s="12" cm="1">
        <f t="array" ref="K513">_xlfn.UNIQUE(_xlfn._xlws.FILTER(ARQUIVOS[DATA RECEBIMENTO],(ARQUIVOS[DOCUMENTO]=LD_01[[#This Row],[DOCUMENTO]])*(ARQUIVOS[REVISÃO]=LD_01[[#This Row],[REVISÃO]])))</f>
        <v>45838</v>
      </c>
      <c r="L5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M513" s="6" t="str">
        <f>LD_01[[#This Row],[PASTA]]&amp;"/"&amp;LD_01[[#This Row],[ARQUIVO]]</f>
        <v>MSV-163MS-535-545/18.GE/MSV-163MS-535-545-ACA-EXE-DE-F1-017-R05.pdf</v>
      </c>
    </row>
    <row r="514" spans="1:13" ht="28.8" hidden="1" x14ac:dyDescent="0.3">
      <c r="A514" s="6" t="s">
        <v>3272</v>
      </c>
      <c r="B514" s="6" t="str">
        <f>VLOOKUP(LD_01[[#This Row],[DOCUMENTO]],_xlfn.SORTBY(ARQUIVOS_RECEBIDOS!$E$2:$F$5010,ARQUIVOS_RECEBIDOS!$F$2:$F$5010,-1),2,)</f>
        <v>R07</v>
      </c>
      <c r="C514" s="15" t="s">
        <v>5987</v>
      </c>
      <c r="D514" s="6" t="s">
        <v>4317</v>
      </c>
      <c r="E514" s="8" t="s">
        <v>4305</v>
      </c>
      <c r="F514" s="8" t="s">
        <v>4141</v>
      </c>
      <c r="G514" s="6" t="str">
        <f>_xlfn.XLOOKUP(LD_01[[#This Row],[DISCIPLINA]],'CLASSES DE PROJETOS'!$F$3:$F$37,'CLASSES DE PROJETOS'!$C$3:$C$37)</f>
        <v>GE</v>
      </c>
      <c r="H514" t="str">
        <f>_xlfn.TEXTJOIN("/",TRUE,"MSV-163MS-"&amp;LD_01[[#This Row],[TRECHO]],_xlfn.XLOOKUP(LD_01[[#This Row],[SIGLA]],'CLASSES DE PROJETOS'!$C$3:$C$37,'CLASSES DE PROJETOS'!$E$3:$E$37))</f>
        <v>MSV-163MS-535-545/18.GE</v>
      </c>
      <c r="I514" s="6" t="str" cm="1">
        <f t="array" ref="I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J514" s="6" t="str" cm="1">
        <f t="array" ref="J514">_xlfn.TEXTJOIN(", ",TRUE,_xlfn.UNIQUE(_xlfn._xlws.FILTER(ARQUIVOS_RECEBIDOS!$F$2:$F$5010,ARQUIVOS_RECEBIDOS!$E$2:$E$5010=LD_01[[#This Row],[DOCUMENTO]])))</f>
        <v>R07</v>
      </c>
      <c r="K514" s="12" cm="1">
        <f t="array" ref="K514">_xlfn.UNIQUE(_xlfn._xlws.FILTER(ARQUIVOS[DATA RECEBIMENTO],(ARQUIVOS[DOCUMENTO]=LD_01[[#This Row],[DOCUMENTO]])*(ARQUIVOS[REVISÃO]=LD_01[[#This Row],[REVISÃO]])))</f>
        <v>45838</v>
      </c>
      <c r="L5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M514" s="6" t="str">
        <f>LD_01[[#This Row],[PASTA]]&amp;"/"&amp;LD_01[[#This Row],[ARQUIVO]]</f>
        <v>MSV-163MS-535-545/18.GE/MSV-163MS-535-545-ACA-EXE-DE-F1-018-R07.pdf</v>
      </c>
    </row>
    <row r="515" spans="1:13" ht="28.8" hidden="1" x14ac:dyDescent="0.3">
      <c r="A515" s="6" t="s">
        <v>3273</v>
      </c>
      <c r="B515" s="6" t="str">
        <f>VLOOKUP(LD_01[[#This Row],[DOCUMENTO]],_xlfn.SORTBY(ARQUIVOS_RECEBIDOS!$E$2:$F$5010,ARQUIVOS_RECEBIDOS!$F$2:$F$5010,-1),2,)</f>
        <v>R07</v>
      </c>
      <c r="C515" s="15" t="s">
        <v>5987</v>
      </c>
      <c r="D515" s="6" t="s">
        <v>4317</v>
      </c>
      <c r="E515" s="8" t="s">
        <v>4305</v>
      </c>
      <c r="F515" s="8" t="s">
        <v>4141</v>
      </c>
      <c r="G515" s="6" t="str">
        <f>_xlfn.XLOOKUP(LD_01[[#This Row],[DISCIPLINA]],'CLASSES DE PROJETOS'!$F$3:$F$37,'CLASSES DE PROJETOS'!$C$3:$C$37)</f>
        <v>GE</v>
      </c>
      <c r="H515" t="str">
        <f>_xlfn.TEXTJOIN("/",TRUE,"MSV-163MS-"&amp;LD_01[[#This Row],[TRECHO]],_xlfn.XLOOKUP(LD_01[[#This Row],[SIGLA]],'CLASSES DE PROJETOS'!$C$3:$C$37,'CLASSES DE PROJETOS'!$E$3:$E$37))</f>
        <v>MSV-163MS-535-545/18.GE</v>
      </c>
      <c r="I515" s="6" t="str" cm="1">
        <f t="array" ref="I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J515" s="6" t="str" cm="1">
        <f t="array" ref="J515">_xlfn.TEXTJOIN(", ",TRUE,_xlfn.UNIQUE(_xlfn._xlws.FILTER(ARQUIVOS_RECEBIDOS!$F$2:$F$5010,ARQUIVOS_RECEBIDOS!$E$2:$E$5010=LD_01[[#This Row],[DOCUMENTO]])))</f>
        <v>R07</v>
      </c>
      <c r="K515" s="12" cm="1">
        <f t="array" ref="K515">_xlfn.UNIQUE(_xlfn._xlws.FILTER(ARQUIVOS[DATA RECEBIMENTO],(ARQUIVOS[DOCUMENTO]=LD_01[[#This Row],[DOCUMENTO]])*(ARQUIVOS[REVISÃO]=LD_01[[#This Row],[REVISÃO]])))</f>
        <v>45838</v>
      </c>
      <c r="L5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M515" s="6" t="str">
        <f>LD_01[[#This Row],[PASTA]]&amp;"/"&amp;LD_01[[#This Row],[ARQUIVO]]</f>
        <v>MSV-163MS-535-545/18.GE/MSV-163MS-535-545-ACA-EXE-DE-F1-019-R07.pdf</v>
      </c>
    </row>
    <row r="516" spans="1:13" ht="28.8" hidden="1" x14ac:dyDescent="0.3">
      <c r="A516" s="6" t="s">
        <v>3274</v>
      </c>
      <c r="B516" s="6" t="str">
        <f>VLOOKUP(LD_01[[#This Row],[DOCUMENTO]],_xlfn.SORTBY(ARQUIVOS_RECEBIDOS!$E$2:$F$5010,ARQUIVOS_RECEBIDOS!$F$2:$F$5010,-1),2,)</f>
        <v>R05</v>
      </c>
      <c r="C516" s="15" t="s">
        <v>5987</v>
      </c>
      <c r="D516" s="6" t="s">
        <v>4317</v>
      </c>
      <c r="E516" s="8" t="s">
        <v>4305</v>
      </c>
      <c r="F516" s="8" t="s">
        <v>4141</v>
      </c>
      <c r="G516" s="6" t="str">
        <f>_xlfn.XLOOKUP(LD_01[[#This Row],[DISCIPLINA]],'CLASSES DE PROJETOS'!$F$3:$F$37,'CLASSES DE PROJETOS'!$C$3:$C$37)</f>
        <v>GE</v>
      </c>
      <c r="H516" t="str">
        <f>_xlfn.TEXTJOIN("/",TRUE,"MSV-163MS-"&amp;LD_01[[#This Row],[TRECHO]],_xlfn.XLOOKUP(LD_01[[#This Row],[SIGLA]],'CLASSES DE PROJETOS'!$C$3:$C$37,'CLASSES DE PROJETOS'!$E$3:$E$37))</f>
        <v>MSV-163MS-535-545/18.GE</v>
      </c>
      <c r="I516" s="6" t="str" cm="1">
        <f t="array" ref="I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J516" s="6" t="str" cm="1">
        <f t="array" ref="J516">_xlfn.TEXTJOIN(", ",TRUE,_xlfn.UNIQUE(_xlfn._xlws.FILTER(ARQUIVOS_RECEBIDOS!$F$2:$F$5010,ARQUIVOS_RECEBIDOS!$E$2:$E$5010=LD_01[[#This Row],[DOCUMENTO]])))</f>
        <v>R05</v>
      </c>
      <c r="K516" s="12" cm="1">
        <f t="array" ref="K516">_xlfn.UNIQUE(_xlfn._xlws.FILTER(ARQUIVOS[DATA RECEBIMENTO],(ARQUIVOS[DOCUMENTO]=LD_01[[#This Row],[DOCUMENTO]])*(ARQUIVOS[REVISÃO]=LD_01[[#This Row],[REVISÃO]])))</f>
        <v>45838</v>
      </c>
      <c r="L5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M516" s="6" t="str">
        <f>LD_01[[#This Row],[PASTA]]&amp;"/"&amp;LD_01[[#This Row],[ARQUIVO]]</f>
        <v>MSV-163MS-535-545/18.GE/MSV-163MS-535-545-ACA-EXE-DE-F1-020-R05.pdf</v>
      </c>
    </row>
    <row r="517" spans="1:13" ht="28.8" hidden="1" x14ac:dyDescent="0.3">
      <c r="A517" s="6" t="s">
        <v>3275</v>
      </c>
      <c r="B517" s="6" t="str">
        <f>VLOOKUP(LD_01[[#This Row],[DOCUMENTO]],_xlfn.SORTBY(ARQUIVOS_RECEBIDOS!$E$2:$F$5010,ARQUIVOS_RECEBIDOS!$F$2:$F$5010,-1),2,)</f>
        <v>R02</v>
      </c>
      <c r="C517" s="15" t="s">
        <v>5987</v>
      </c>
      <c r="D517" s="6" t="s">
        <v>4317</v>
      </c>
      <c r="E517" s="8" t="s">
        <v>4306</v>
      </c>
      <c r="F517" s="8" t="s">
        <v>4141</v>
      </c>
      <c r="G517" s="6" t="str">
        <f>_xlfn.XLOOKUP(LD_01[[#This Row],[DISCIPLINA]],'CLASSES DE PROJETOS'!$F$3:$F$37,'CLASSES DE PROJETOS'!$C$3:$C$37)</f>
        <v>GE</v>
      </c>
      <c r="H517" t="str">
        <f>_xlfn.TEXTJOIN("/",TRUE,"MSV-163MS-"&amp;LD_01[[#This Row],[TRECHO]],_xlfn.XLOOKUP(LD_01[[#This Row],[SIGLA]],'CLASSES DE PROJETOS'!$C$3:$C$37,'CLASSES DE PROJETOS'!$E$3:$E$37))</f>
        <v>MSV-163MS-535-545/18.GE</v>
      </c>
      <c r="I517" s="6" t="str" cm="1">
        <f t="array" ref="I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J517" s="6" t="str" cm="1">
        <f t="array" ref="J517">_xlfn.TEXTJOIN(", ",TRUE,_xlfn.UNIQUE(_xlfn._xlws.FILTER(ARQUIVOS_RECEBIDOS!$F$2:$F$5010,ARQUIVOS_RECEBIDOS!$E$2:$E$5010=LD_01[[#This Row],[DOCUMENTO]])))</f>
        <v>R02</v>
      </c>
      <c r="K517" s="12" cm="1">
        <f t="array" ref="K517">_xlfn.UNIQUE(_xlfn._xlws.FILTER(ARQUIVOS[DATA RECEBIMENTO],(ARQUIVOS[DOCUMENTO]=LD_01[[#This Row],[DOCUMENTO]])*(ARQUIVOS[REVISÃO]=LD_01[[#This Row],[REVISÃO]])))</f>
        <v>45838</v>
      </c>
      <c r="L5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M517" s="6" t="str">
        <f>LD_01[[#This Row],[PASTA]]&amp;"/"&amp;LD_01[[#This Row],[ARQUIVO]]</f>
        <v>MSV-163MS-535-545/18.GE/MSV-163MS-535-545-ACA-EXE-DE-F1-021-R02.pdf</v>
      </c>
    </row>
    <row r="518" spans="1:13" ht="28.8" hidden="1" x14ac:dyDescent="0.3">
      <c r="A518" s="6" t="s">
        <v>3276</v>
      </c>
      <c r="B518" s="6" t="str">
        <f>VLOOKUP(LD_01[[#This Row],[DOCUMENTO]],_xlfn.SORTBY(ARQUIVOS_RECEBIDOS!$E$2:$F$5010,ARQUIVOS_RECEBIDOS!$F$2:$F$5010,-1),2,)</f>
        <v>R02</v>
      </c>
      <c r="C518" s="15" t="s">
        <v>5987</v>
      </c>
      <c r="D518" s="6" t="s">
        <v>4317</v>
      </c>
      <c r="E518" s="8" t="s">
        <v>4306</v>
      </c>
      <c r="F518" s="8" t="s">
        <v>4141</v>
      </c>
      <c r="G518" s="6" t="str">
        <f>_xlfn.XLOOKUP(LD_01[[#This Row],[DISCIPLINA]],'CLASSES DE PROJETOS'!$F$3:$F$37,'CLASSES DE PROJETOS'!$C$3:$C$37)</f>
        <v>GE</v>
      </c>
      <c r="H518" t="str">
        <f>_xlfn.TEXTJOIN("/",TRUE,"MSV-163MS-"&amp;LD_01[[#This Row],[TRECHO]],_xlfn.XLOOKUP(LD_01[[#This Row],[SIGLA]],'CLASSES DE PROJETOS'!$C$3:$C$37,'CLASSES DE PROJETOS'!$E$3:$E$37))</f>
        <v>MSV-163MS-535-545/18.GE</v>
      </c>
      <c r="I518" s="6" t="str" cm="1">
        <f t="array" ref="I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J518" s="6" t="str" cm="1">
        <f t="array" ref="J518">_xlfn.TEXTJOIN(", ",TRUE,_xlfn.UNIQUE(_xlfn._xlws.FILTER(ARQUIVOS_RECEBIDOS!$F$2:$F$5010,ARQUIVOS_RECEBIDOS!$E$2:$E$5010=LD_01[[#This Row],[DOCUMENTO]])))</f>
        <v>R02</v>
      </c>
      <c r="K518" s="12" cm="1">
        <f t="array" ref="K518">_xlfn.UNIQUE(_xlfn._xlws.FILTER(ARQUIVOS[DATA RECEBIMENTO],(ARQUIVOS[DOCUMENTO]=LD_01[[#This Row],[DOCUMENTO]])*(ARQUIVOS[REVISÃO]=LD_01[[#This Row],[REVISÃO]])))</f>
        <v>45838</v>
      </c>
      <c r="L5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M518" s="6" t="str">
        <f>LD_01[[#This Row],[PASTA]]&amp;"/"&amp;LD_01[[#This Row],[ARQUIVO]]</f>
        <v>MSV-163MS-535-545/18.GE/MSV-163MS-535-545-ACA-EXE-DE-F1-022-R02.pdf</v>
      </c>
    </row>
    <row r="519" spans="1:13" ht="28.8" hidden="1" x14ac:dyDescent="0.3">
      <c r="A519" s="6" t="s">
        <v>3277</v>
      </c>
      <c r="B519" s="6" t="str">
        <f>VLOOKUP(LD_01[[#This Row],[DOCUMENTO]],_xlfn.SORTBY(ARQUIVOS_RECEBIDOS!$E$2:$F$5010,ARQUIVOS_RECEBIDOS!$F$2:$F$5010,-1),2,)</f>
        <v>R01</v>
      </c>
      <c r="C519" s="15" t="s">
        <v>5987</v>
      </c>
      <c r="D519" s="6" t="s">
        <v>4317</v>
      </c>
      <c r="E519" s="8" t="s">
        <v>4306</v>
      </c>
      <c r="F519" s="8" t="s">
        <v>4141</v>
      </c>
      <c r="G519" s="6" t="str">
        <f>_xlfn.XLOOKUP(LD_01[[#This Row],[DISCIPLINA]],'CLASSES DE PROJETOS'!$F$3:$F$37,'CLASSES DE PROJETOS'!$C$3:$C$37)</f>
        <v>GE</v>
      </c>
      <c r="H519" t="str">
        <f>_xlfn.TEXTJOIN("/",TRUE,"MSV-163MS-"&amp;LD_01[[#This Row],[TRECHO]],_xlfn.XLOOKUP(LD_01[[#This Row],[SIGLA]],'CLASSES DE PROJETOS'!$C$3:$C$37,'CLASSES DE PROJETOS'!$E$3:$E$37))</f>
        <v>MSV-163MS-535-545/18.GE</v>
      </c>
      <c r="I519" s="6" t="str" cm="1">
        <f t="array" ref="I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J519" s="6" t="str" cm="1">
        <f t="array" ref="J519">_xlfn.TEXTJOIN(", ",TRUE,_xlfn.UNIQUE(_xlfn._xlws.FILTER(ARQUIVOS_RECEBIDOS!$F$2:$F$5010,ARQUIVOS_RECEBIDOS!$E$2:$E$5010=LD_01[[#This Row],[DOCUMENTO]])))</f>
        <v>R01</v>
      </c>
      <c r="K519" s="12" cm="1">
        <f t="array" ref="K519">_xlfn.UNIQUE(_xlfn._xlws.FILTER(ARQUIVOS[DATA RECEBIMENTO],(ARQUIVOS[DOCUMENTO]=LD_01[[#This Row],[DOCUMENTO]])*(ARQUIVOS[REVISÃO]=LD_01[[#This Row],[REVISÃO]])))</f>
        <v>45838</v>
      </c>
      <c r="L5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M519" s="6" t="str">
        <f>LD_01[[#This Row],[PASTA]]&amp;"/"&amp;LD_01[[#This Row],[ARQUIVO]]</f>
        <v>MSV-163MS-535-545/18.GE/MSV-163MS-535-545-ACA-EXE-DE-F1-023-R01.pdf</v>
      </c>
    </row>
    <row r="520" spans="1:13" ht="28.8" hidden="1" x14ac:dyDescent="0.3">
      <c r="A520" s="6" t="s">
        <v>3278</v>
      </c>
      <c r="B520" s="6" t="str">
        <f>VLOOKUP(LD_01[[#This Row],[DOCUMENTO]],_xlfn.SORTBY(ARQUIVOS_RECEBIDOS!$E$2:$F$5010,ARQUIVOS_RECEBIDOS!$F$2:$F$5010,-1),2,)</f>
        <v>R03</v>
      </c>
      <c r="C520" s="15" t="s">
        <v>5987</v>
      </c>
      <c r="D520" s="6" t="s">
        <v>4317</v>
      </c>
      <c r="E520" s="8" t="s">
        <v>4194</v>
      </c>
      <c r="F520" s="8" t="s">
        <v>4141</v>
      </c>
      <c r="G520" s="6" t="str">
        <f>_xlfn.XLOOKUP(LD_01[[#This Row],[DISCIPLINA]],'CLASSES DE PROJETOS'!$F$3:$F$37,'CLASSES DE PROJETOS'!$C$3:$C$37)</f>
        <v>GE</v>
      </c>
      <c r="H520" t="str">
        <f>_xlfn.TEXTJOIN("/",TRUE,"MSV-163MS-"&amp;LD_01[[#This Row],[TRECHO]],_xlfn.XLOOKUP(LD_01[[#This Row],[SIGLA]],'CLASSES DE PROJETOS'!$C$3:$C$37,'CLASSES DE PROJETOS'!$E$3:$E$37))</f>
        <v>MSV-163MS-535-545/18.GE</v>
      </c>
      <c r="I520" s="6" t="str" cm="1">
        <f t="array" ref="I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J520" s="6" t="str" cm="1">
        <f t="array" ref="J520">_xlfn.TEXTJOIN(", ",TRUE,_xlfn.UNIQUE(_xlfn._xlws.FILTER(ARQUIVOS_RECEBIDOS!$F$2:$F$5010,ARQUIVOS_RECEBIDOS!$E$2:$E$5010=LD_01[[#This Row],[DOCUMENTO]])))</f>
        <v>R03</v>
      </c>
      <c r="K520" s="12" cm="1">
        <f t="array" ref="K520">_xlfn.UNIQUE(_xlfn._xlws.FILTER(ARQUIVOS[DATA RECEBIMENTO],(ARQUIVOS[DOCUMENTO]=LD_01[[#This Row],[DOCUMENTO]])*(ARQUIVOS[REVISÃO]=LD_01[[#This Row],[REVISÃO]])))</f>
        <v>45838</v>
      </c>
      <c r="L5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M520" s="6" t="str">
        <f>LD_01[[#This Row],[PASTA]]&amp;"/"&amp;LD_01[[#This Row],[ARQUIVO]]</f>
        <v>MSV-163MS-535-545/18.GE/MSV-163MS-535-545-ACA-EXE-DE-F1-024-R03.pdf</v>
      </c>
    </row>
    <row r="521" spans="1:13" ht="28.8" hidden="1" x14ac:dyDescent="0.3">
      <c r="A521" s="6" t="s">
        <v>3280</v>
      </c>
      <c r="B521" s="6" t="str">
        <f>VLOOKUP(LD_01[[#This Row],[DOCUMENTO]],_xlfn.SORTBY(ARQUIVOS_RECEBIDOS!$E$2:$F$5010,ARQUIVOS_RECEBIDOS!$F$2:$F$5010,-1),2,)</f>
        <v>R01</v>
      </c>
      <c r="C521" s="15" t="s">
        <v>5987</v>
      </c>
      <c r="D521" s="6" t="s">
        <v>4317</v>
      </c>
      <c r="E521" s="8" t="s">
        <v>4077</v>
      </c>
      <c r="F521" s="8" t="s">
        <v>4330</v>
      </c>
      <c r="G521" s="6" t="str">
        <f>_xlfn.XLOOKUP(LD_01[[#This Row],[DISCIPLINA]],'CLASSES DE PROJETOS'!$F$3:$F$37,'CLASSES DE PROJETOS'!$C$3:$C$37)</f>
        <v>TE</v>
      </c>
      <c r="H521" t="str">
        <f>_xlfn.TEXTJOIN("/",TRUE,"MSV-163MS-"&amp;LD_01[[#This Row],[TRECHO]],_xlfn.XLOOKUP(LD_01[[#This Row],[SIGLA]],'CLASSES DE PROJETOS'!$C$3:$C$37,'CLASSES DE PROJETOS'!$E$3:$E$37))</f>
        <v>MSV-163MS-535-545/32.TE</v>
      </c>
      <c r="I521" s="6" t="str" cm="1">
        <f t="array" ref="I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J521" s="6" t="str" cm="1">
        <f t="array" ref="J521">_xlfn.TEXTJOIN(", ",TRUE,_xlfn.UNIQUE(_xlfn._xlws.FILTER(ARQUIVOS_RECEBIDOS!$F$2:$F$5010,ARQUIVOS_RECEBIDOS!$E$2:$E$5010=LD_01[[#This Row],[DOCUMENTO]])))</f>
        <v>R01</v>
      </c>
      <c r="K521" s="12" cm="1">
        <f t="array" ref="K521">_xlfn.UNIQUE(_xlfn._xlws.FILTER(ARQUIVOS[DATA RECEBIMENTO],(ARQUIVOS[DOCUMENTO]=LD_01[[#This Row],[DOCUMENTO]])*(ARQUIVOS[REVISÃO]=LD_01[[#This Row],[REVISÃO]])))</f>
        <v>45838</v>
      </c>
      <c r="L5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M521" s="6" t="str">
        <f>LD_01[[#This Row],[PASTA]]&amp;"/"&amp;LD_01[[#This Row],[ARQUIVO]]</f>
        <v>MSV-163MS-535-545/32.TE/MSV-163MS-535-545-ACA-EXE-DE-G1-001-R01.pdf</v>
      </c>
    </row>
    <row r="522" spans="1:13" ht="28.8" hidden="1" x14ac:dyDescent="0.3">
      <c r="A522" s="6" t="s">
        <v>3281</v>
      </c>
      <c r="B522" s="6" t="str">
        <f>VLOOKUP(LD_01[[#This Row],[DOCUMENTO]],_xlfn.SORTBY(ARQUIVOS_RECEBIDOS!$E$2:$F$5010,ARQUIVOS_RECEBIDOS!$F$2:$F$5010,-1),2,)</f>
        <v>R01</v>
      </c>
      <c r="C522" s="15" t="s">
        <v>5987</v>
      </c>
      <c r="D522" s="6" t="s">
        <v>4317</v>
      </c>
      <c r="E522" s="8" t="s">
        <v>4077</v>
      </c>
      <c r="F522" s="8" t="s">
        <v>4330</v>
      </c>
      <c r="G522" s="6" t="str">
        <f>_xlfn.XLOOKUP(LD_01[[#This Row],[DISCIPLINA]],'CLASSES DE PROJETOS'!$F$3:$F$37,'CLASSES DE PROJETOS'!$C$3:$C$37)</f>
        <v>TE</v>
      </c>
      <c r="H522" t="str">
        <f>_xlfn.TEXTJOIN("/",TRUE,"MSV-163MS-"&amp;LD_01[[#This Row],[TRECHO]],_xlfn.XLOOKUP(LD_01[[#This Row],[SIGLA]],'CLASSES DE PROJETOS'!$C$3:$C$37,'CLASSES DE PROJETOS'!$E$3:$E$37))</f>
        <v>MSV-163MS-535-545/32.TE</v>
      </c>
      <c r="I522" s="6" t="str" cm="1">
        <f t="array" ref="I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J522" s="6" t="str" cm="1">
        <f t="array" ref="J522">_xlfn.TEXTJOIN(", ",TRUE,_xlfn.UNIQUE(_xlfn._xlws.FILTER(ARQUIVOS_RECEBIDOS!$F$2:$F$5010,ARQUIVOS_RECEBIDOS!$E$2:$E$5010=LD_01[[#This Row],[DOCUMENTO]])))</f>
        <v>R01</v>
      </c>
      <c r="K522" s="12" cm="1">
        <f t="array" ref="K522">_xlfn.UNIQUE(_xlfn._xlws.FILTER(ARQUIVOS[DATA RECEBIMENTO],(ARQUIVOS[DOCUMENTO]=LD_01[[#This Row],[DOCUMENTO]])*(ARQUIVOS[REVISÃO]=LD_01[[#This Row],[REVISÃO]])))</f>
        <v>45838</v>
      </c>
      <c r="L5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M522" s="6" t="str">
        <f>LD_01[[#This Row],[PASTA]]&amp;"/"&amp;LD_01[[#This Row],[ARQUIVO]]</f>
        <v>MSV-163MS-535-545/32.TE/MSV-163MS-535-545-ACA-EXE-DE-G1-002-R01.pdf</v>
      </c>
    </row>
    <row r="523" spans="1:13" ht="28.8" hidden="1" x14ac:dyDescent="0.3">
      <c r="A523" s="6" t="s">
        <v>3282</v>
      </c>
      <c r="B523" s="6" t="str">
        <f>VLOOKUP(LD_01[[#This Row],[DOCUMENTO]],_xlfn.SORTBY(ARQUIVOS_RECEBIDOS!$E$2:$F$5010,ARQUIVOS_RECEBIDOS!$F$2:$F$5010,-1),2,)</f>
        <v>R01</v>
      </c>
      <c r="C523" s="15" t="s">
        <v>5987</v>
      </c>
      <c r="D523" s="6" t="s">
        <v>4317</v>
      </c>
      <c r="E523" s="8" t="s">
        <v>4077</v>
      </c>
      <c r="F523" s="8" t="s">
        <v>4330</v>
      </c>
      <c r="G523" s="6" t="str">
        <f>_xlfn.XLOOKUP(LD_01[[#This Row],[DISCIPLINA]],'CLASSES DE PROJETOS'!$F$3:$F$37,'CLASSES DE PROJETOS'!$C$3:$C$37)</f>
        <v>TE</v>
      </c>
      <c r="H523" t="str">
        <f>_xlfn.TEXTJOIN("/",TRUE,"MSV-163MS-"&amp;LD_01[[#This Row],[TRECHO]],_xlfn.XLOOKUP(LD_01[[#This Row],[SIGLA]],'CLASSES DE PROJETOS'!$C$3:$C$37,'CLASSES DE PROJETOS'!$E$3:$E$37))</f>
        <v>MSV-163MS-535-545/32.TE</v>
      </c>
      <c r="I523" s="6" t="str" cm="1">
        <f t="array" ref="I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J523" s="6" t="str" cm="1">
        <f t="array" ref="J523">_xlfn.TEXTJOIN(", ",TRUE,_xlfn.UNIQUE(_xlfn._xlws.FILTER(ARQUIVOS_RECEBIDOS!$F$2:$F$5010,ARQUIVOS_RECEBIDOS!$E$2:$E$5010=LD_01[[#This Row],[DOCUMENTO]])))</f>
        <v>R01</v>
      </c>
      <c r="K523" s="12" cm="1">
        <f t="array" ref="K523">_xlfn.UNIQUE(_xlfn._xlws.FILTER(ARQUIVOS[DATA RECEBIMENTO],(ARQUIVOS[DOCUMENTO]=LD_01[[#This Row],[DOCUMENTO]])*(ARQUIVOS[REVISÃO]=LD_01[[#This Row],[REVISÃO]])))</f>
        <v>45838</v>
      </c>
      <c r="L5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M523" s="6" t="str">
        <f>LD_01[[#This Row],[PASTA]]&amp;"/"&amp;LD_01[[#This Row],[ARQUIVO]]</f>
        <v>MSV-163MS-535-545/32.TE/MSV-163MS-535-545-ACA-EXE-DE-G1-003-R01.pdf</v>
      </c>
    </row>
    <row r="524" spans="1:13" ht="28.8" hidden="1" x14ac:dyDescent="0.3">
      <c r="A524" s="6" t="s">
        <v>3283</v>
      </c>
      <c r="B524" s="6" t="str">
        <f>VLOOKUP(LD_01[[#This Row],[DOCUMENTO]],_xlfn.SORTBY(ARQUIVOS_RECEBIDOS!$E$2:$F$5010,ARQUIVOS_RECEBIDOS!$F$2:$F$5010,-1),2,)</f>
        <v>R01</v>
      </c>
      <c r="C524" s="15" t="s">
        <v>5987</v>
      </c>
      <c r="D524" s="6" t="s">
        <v>4317</v>
      </c>
      <c r="E524" s="8" t="s">
        <v>4077</v>
      </c>
      <c r="F524" s="8" t="s">
        <v>4330</v>
      </c>
      <c r="G524" s="6" t="str">
        <f>_xlfn.XLOOKUP(LD_01[[#This Row],[DISCIPLINA]],'CLASSES DE PROJETOS'!$F$3:$F$37,'CLASSES DE PROJETOS'!$C$3:$C$37)</f>
        <v>TE</v>
      </c>
      <c r="H524" t="str">
        <f>_xlfn.TEXTJOIN("/",TRUE,"MSV-163MS-"&amp;LD_01[[#This Row],[TRECHO]],_xlfn.XLOOKUP(LD_01[[#This Row],[SIGLA]],'CLASSES DE PROJETOS'!$C$3:$C$37,'CLASSES DE PROJETOS'!$E$3:$E$37))</f>
        <v>MSV-163MS-535-545/32.TE</v>
      </c>
      <c r="I524" s="6" t="str" cm="1">
        <f t="array" ref="I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J524" s="6" t="str" cm="1">
        <f t="array" ref="J524">_xlfn.TEXTJOIN(", ",TRUE,_xlfn.UNIQUE(_xlfn._xlws.FILTER(ARQUIVOS_RECEBIDOS!$F$2:$F$5010,ARQUIVOS_RECEBIDOS!$E$2:$E$5010=LD_01[[#This Row],[DOCUMENTO]])))</f>
        <v>R01</v>
      </c>
      <c r="K524" s="12" cm="1">
        <f t="array" ref="K524">_xlfn.UNIQUE(_xlfn._xlws.FILTER(ARQUIVOS[DATA RECEBIMENTO],(ARQUIVOS[DOCUMENTO]=LD_01[[#This Row],[DOCUMENTO]])*(ARQUIVOS[REVISÃO]=LD_01[[#This Row],[REVISÃO]])))</f>
        <v>45838</v>
      </c>
      <c r="L5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M524" s="6" t="str">
        <f>LD_01[[#This Row],[PASTA]]&amp;"/"&amp;LD_01[[#This Row],[ARQUIVO]]</f>
        <v>MSV-163MS-535-545/32.TE/MSV-163MS-535-545-ACA-EXE-DE-G1-004-R01.pdf</v>
      </c>
    </row>
    <row r="525" spans="1:13" ht="28.8" hidden="1" x14ac:dyDescent="0.3">
      <c r="A525" s="6" t="s">
        <v>3284</v>
      </c>
      <c r="B525" s="6" t="str">
        <f>VLOOKUP(LD_01[[#This Row],[DOCUMENTO]],_xlfn.SORTBY(ARQUIVOS_RECEBIDOS!$E$2:$F$5010,ARQUIVOS_RECEBIDOS!$F$2:$F$5010,-1),2,)</f>
        <v>R01</v>
      </c>
      <c r="C525" s="15" t="s">
        <v>5987</v>
      </c>
      <c r="D525" s="6" t="s">
        <v>4317</v>
      </c>
      <c r="E525" s="8" t="s">
        <v>4077</v>
      </c>
      <c r="F525" s="8" t="s">
        <v>4330</v>
      </c>
      <c r="G525" s="6" t="str">
        <f>_xlfn.XLOOKUP(LD_01[[#This Row],[DISCIPLINA]],'CLASSES DE PROJETOS'!$F$3:$F$37,'CLASSES DE PROJETOS'!$C$3:$C$37)</f>
        <v>TE</v>
      </c>
      <c r="H525" t="str">
        <f>_xlfn.TEXTJOIN("/",TRUE,"MSV-163MS-"&amp;LD_01[[#This Row],[TRECHO]],_xlfn.XLOOKUP(LD_01[[#This Row],[SIGLA]],'CLASSES DE PROJETOS'!$C$3:$C$37,'CLASSES DE PROJETOS'!$E$3:$E$37))</f>
        <v>MSV-163MS-535-545/32.TE</v>
      </c>
      <c r="I525" s="6" t="str" cm="1">
        <f t="array" ref="I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J525" s="6" t="str" cm="1">
        <f t="array" ref="J525">_xlfn.TEXTJOIN(", ",TRUE,_xlfn.UNIQUE(_xlfn._xlws.FILTER(ARQUIVOS_RECEBIDOS!$F$2:$F$5010,ARQUIVOS_RECEBIDOS!$E$2:$E$5010=LD_01[[#This Row],[DOCUMENTO]])))</f>
        <v>R01</v>
      </c>
      <c r="K525" s="12" cm="1">
        <f t="array" ref="K525">_xlfn.UNIQUE(_xlfn._xlws.FILTER(ARQUIVOS[DATA RECEBIMENTO],(ARQUIVOS[DOCUMENTO]=LD_01[[#This Row],[DOCUMENTO]])*(ARQUIVOS[REVISÃO]=LD_01[[#This Row],[REVISÃO]])))</f>
        <v>45838</v>
      </c>
      <c r="L5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M525" s="6" t="str">
        <f>LD_01[[#This Row],[PASTA]]&amp;"/"&amp;LD_01[[#This Row],[ARQUIVO]]</f>
        <v>MSV-163MS-535-545/32.TE/MSV-163MS-535-545-ACA-EXE-DE-G1-005-R01.pdf</v>
      </c>
    </row>
    <row r="526" spans="1:13" ht="28.8" hidden="1" x14ac:dyDescent="0.3">
      <c r="A526" s="6" t="s">
        <v>3285</v>
      </c>
      <c r="B526" s="6" t="str">
        <f>VLOOKUP(LD_01[[#This Row],[DOCUMENTO]],_xlfn.SORTBY(ARQUIVOS_RECEBIDOS!$E$2:$F$5010,ARQUIVOS_RECEBIDOS!$F$2:$F$5010,-1),2,)</f>
        <v>R01</v>
      </c>
      <c r="C526" s="15" t="s">
        <v>5987</v>
      </c>
      <c r="D526" s="6" t="s">
        <v>4317</v>
      </c>
      <c r="E526" s="8" t="s">
        <v>4077</v>
      </c>
      <c r="F526" s="8" t="s">
        <v>4330</v>
      </c>
      <c r="G526" s="6" t="str">
        <f>_xlfn.XLOOKUP(LD_01[[#This Row],[DISCIPLINA]],'CLASSES DE PROJETOS'!$F$3:$F$37,'CLASSES DE PROJETOS'!$C$3:$C$37)</f>
        <v>TE</v>
      </c>
      <c r="H526" t="str">
        <f>_xlfn.TEXTJOIN("/",TRUE,"MSV-163MS-"&amp;LD_01[[#This Row],[TRECHO]],_xlfn.XLOOKUP(LD_01[[#This Row],[SIGLA]],'CLASSES DE PROJETOS'!$C$3:$C$37,'CLASSES DE PROJETOS'!$E$3:$E$37))</f>
        <v>MSV-163MS-535-545/32.TE</v>
      </c>
      <c r="I526" s="6" t="str" cm="1">
        <f t="array" ref="I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J526" s="6" t="str" cm="1">
        <f t="array" ref="J526">_xlfn.TEXTJOIN(", ",TRUE,_xlfn.UNIQUE(_xlfn._xlws.FILTER(ARQUIVOS_RECEBIDOS!$F$2:$F$5010,ARQUIVOS_RECEBIDOS!$E$2:$E$5010=LD_01[[#This Row],[DOCUMENTO]])))</f>
        <v>R01</v>
      </c>
      <c r="K526" s="12" cm="1">
        <f t="array" ref="K526">_xlfn.UNIQUE(_xlfn._xlws.FILTER(ARQUIVOS[DATA RECEBIMENTO],(ARQUIVOS[DOCUMENTO]=LD_01[[#This Row],[DOCUMENTO]])*(ARQUIVOS[REVISÃO]=LD_01[[#This Row],[REVISÃO]])))</f>
        <v>45838</v>
      </c>
      <c r="L5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M526" s="6" t="str">
        <f>LD_01[[#This Row],[PASTA]]&amp;"/"&amp;LD_01[[#This Row],[ARQUIVO]]</f>
        <v>MSV-163MS-535-545/32.TE/MSV-163MS-535-545-ACA-EXE-DE-G1-006-R01.pdf</v>
      </c>
    </row>
    <row r="527" spans="1:13" ht="28.8" hidden="1" x14ac:dyDescent="0.3">
      <c r="A527" s="6" t="s">
        <v>3286</v>
      </c>
      <c r="B527" s="6" t="str">
        <f>VLOOKUP(LD_01[[#This Row],[DOCUMENTO]],_xlfn.SORTBY(ARQUIVOS_RECEBIDOS!$E$2:$F$5010,ARQUIVOS_RECEBIDOS!$F$2:$F$5010,-1),2,)</f>
        <v>R02</v>
      </c>
      <c r="C527" s="15" t="s">
        <v>5987</v>
      </c>
      <c r="D527" s="6" t="s">
        <v>4317</v>
      </c>
      <c r="E527" s="8" t="s">
        <v>4077</v>
      </c>
      <c r="F527" s="8" t="s">
        <v>4330</v>
      </c>
      <c r="G527" s="6" t="str">
        <f>_xlfn.XLOOKUP(LD_01[[#This Row],[DISCIPLINA]],'CLASSES DE PROJETOS'!$F$3:$F$37,'CLASSES DE PROJETOS'!$C$3:$C$37)</f>
        <v>TE</v>
      </c>
      <c r="H527" t="str">
        <f>_xlfn.TEXTJOIN("/",TRUE,"MSV-163MS-"&amp;LD_01[[#This Row],[TRECHO]],_xlfn.XLOOKUP(LD_01[[#This Row],[SIGLA]],'CLASSES DE PROJETOS'!$C$3:$C$37,'CLASSES DE PROJETOS'!$E$3:$E$37))</f>
        <v>MSV-163MS-535-545/32.TE</v>
      </c>
      <c r="I527" s="6" t="str" cm="1">
        <f t="array" ref="I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J527" s="6" t="str" cm="1">
        <f t="array" ref="J527">_xlfn.TEXTJOIN(", ",TRUE,_xlfn.UNIQUE(_xlfn._xlws.FILTER(ARQUIVOS_RECEBIDOS!$F$2:$F$5010,ARQUIVOS_RECEBIDOS!$E$2:$E$5010=LD_01[[#This Row],[DOCUMENTO]])))</f>
        <v>R02</v>
      </c>
      <c r="K527" s="12" cm="1">
        <f t="array" ref="K527">_xlfn.UNIQUE(_xlfn._xlws.FILTER(ARQUIVOS[DATA RECEBIMENTO],(ARQUIVOS[DOCUMENTO]=LD_01[[#This Row],[DOCUMENTO]])*(ARQUIVOS[REVISÃO]=LD_01[[#This Row],[REVISÃO]])))</f>
        <v>45838</v>
      </c>
      <c r="L5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M527" s="6" t="str">
        <f>LD_01[[#This Row],[PASTA]]&amp;"/"&amp;LD_01[[#This Row],[ARQUIVO]]</f>
        <v>MSV-163MS-535-545/32.TE/MSV-163MS-535-545-ACA-EXE-DE-G1-007-R02.pdf</v>
      </c>
    </row>
    <row r="528" spans="1:13" ht="28.8" hidden="1" x14ac:dyDescent="0.3">
      <c r="A528" s="6" t="s">
        <v>3287</v>
      </c>
      <c r="B528" s="6" t="str">
        <f>VLOOKUP(LD_01[[#This Row],[DOCUMENTO]],_xlfn.SORTBY(ARQUIVOS_RECEBIDOS!$E$2:$F$5010,ARQUIVOS_RECEBIDOS!$F$2:$F$5010,-1),2,)</f>
        <v>R02</v>
      </c>
      <c r="C528" s="15" t="s">
        <v>5987</v>
      </c>
      <c r="D528" s="6" t="s">
        <v>4317</v>
      </c>
      <c r="E528" s="8" t="s">
        <v>4077</v>
      </c>
      <c r="F528" s="8" t="s">
        <v>4330</v>
      </c>
      <c r="G528" s="6" t="str">
        <f>_xlfn.XLOOKUP(LD_01[[#This Row],[DISCIPLINA]],'CLASSES DE PROJETOS'!$F$3:$F$37,'CLASSES DE PROJETOS'!$C$3:$C$37)</f>
        <v>TE</v>
      </c>
      <c r="H528" t="str">
        <f>_xlfn.TEXTJOIN("/",TRUE,"MSV-163MS-"&amp;LD_01[[#This Row],[TRECHO]],_xlfn.XLOOKUP(LD_01[[#This Row],[SIGLA]],'CLASSES DE PROJETOS'!$C$3:$C$37,'CLASSES DE PROJETOS'!$E$3:$E$37))</f>
        <v>MSV-163MS-535-545/32.TE</v>
      </c>
      <c r="I528" s="6" t="str" cm="1">
        <f t="array" ref="I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J528" s="6" t="str" cm="1">
        <f t="array" ref="J528">_xlfn.TEXTJOIN(", ",TRUE,_xlfn.UNIQUE(_xlfn._xlws.FILTER(ARQUIVOS_RECEBIDOS!$F$2:$F$5010,ARQUIVOS_RECEBIDOS!$E$2:$E$5010=LD_01[[#This Row],[DOCUMENTO]])))</f>
        <v>R02</v>
      </c>
      <c r="K528" s="12" cm="1">
        <f t="array" ref="K528">_xlfn.UNIQUE(_xlfn._xlws.FILTER(ARQUIVOS[DATA RECEBIMENTO],(ARQUIVOS[DOCUMENTO]=LD_01[[#This Row],[DOCUMENTO]])*(ARQUIVOS[REVISÃO]=LD_01[[#This Row],[REVISÃO]])))</f>
        <v>45838</v>
      </c>
      <c r="L5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M528" s="6" t="str">
        <f>LD_01[[#This Row],[PASTA]]&amp;"/"&amp;LD_01[[#This Row],[ARQUIVO]]</f>
        <v>MSV-163MS-535-545/32.TE/MSV-163MS-535-545-ACA-EXE-DE-G1-008-R02.pdf</v>
      </c>
    </row>
    <row r="529" spans="1:13" ht="28.8" hidden="1" x14ac:dyDescent="0.3">
      <c r="A529" s="6" t="s">
        <v>3288</v>
      </c>
      <c r="B529" s="6" t="str">
        <f>VLOOKUP(LD_01[[#This Row],[DOCUMENTO]],_xlfn.SORTBY(ARQUIVOS_RECEBIDOS!$E$2:$F$5010,ARQUIVOS_RECEBIDOS!$F$2:$F$5010,-1),2,)</f>
        <v>R02</v>
      </c>
      <c r="C529" s="15" t="s">
        <v>5987</v>
      </c>
      <c r="D529" s="6" t="s">
        <v>4317</v>
      </c>
      <c r="E529" s="8" t="s">
        <v>4077</v>
      </c>
      <c r="F529" s="8" t="s">
        <v>4330</v>
      </c>
      <c r="G529" s="6" t="str">
        <f>_xlfn.XLOOKUP(LD_01[[#This Row],[DISCIPLINA]],'CLASSES DE PROJETOS'!$F$3:$F$37,'CLASSES DE PROJETOS'!$C$3:$C$37)</f>
        <v>TE</v>
      </c>
      <c r="H529" t="str">
        <f>_xlfn.TEXTJOIN("/",TRUE,"MSV-163MS-"&amp;LD_01[[#This Row],[TRECHO]],_xlfn.XLOOKUP(LD_01[[#This Row],[SIGLA]],'CLASSES DE PROJETOS'!$C$3:$C$37,'CLASSES DE PROJETOS'!$E$3:$E$37))</f>
        <v>MSV-163MS-535-545/32.TE</v>
      </c>
      <c r="I529" s="6" t="str" cm="1">
        <f t="array" ref="I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J529" s="6" t="str" cm="1">
        <f t="array" ref="J529">_xlfn.TEXTJOIN(", ",TRUE,_xlfn.UNIQUE(_xlfn._xlws.FILTER(ARQUIVOS_RECEBIDOS!$F$2:$F$5010,ARQUIVOS_RECEBIDOS!$E$2:$E$5010=LD_01[[#This Row],[DOCUMENTO]])))</f>
        <v>R02</v>
      </c>
      <c r="K529" s="12" cm="1">
        <f t="array" ref="K529">_xlfn.UNIQUE(_xlfn._xlws.FILTER(ARQUIVOS[DATA RECEBIMENTO],(ARQUIVOS[DOCUMENTO]=LD_01[[#This Row],[DOCUMENTO]])*(ARQUIVOS[REVISÃO]=LD_01[[#This Row],[REVISÃO]])))</f>
        <v>45838</v>
      </c>
      <c r="L5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M529" s="6" t="str">
        <f>LD_01[[#This Row],[PASTA]]&amp;"/"&amp;LD_01[[#This Row],[ARQUIVO]]</f>
        <v>MSV-163MS-535-545/32.TE/MSV-163MS-535-545-ACA-EXE-DE-G1-009-R02.pdf</v>
      </c>
    </row>
    <row r="530" spans="1:13" ht="28.8" hidden="1" x14ac:dyDescent="0.3">
      <c r="A530" s="6" t="s">
        <v>3289</v>
      </c>
      <c r="B530" s="6" t="str">
        <f>VLOOKUP(LD_01[[#This Row],[DOCUMENTO]],_xlfn.SORTBY(ARQUIVOS_RECEBIDOS!$E$2:$F$5010,ARQUIVOS_RECEBIDOS!$F$2:$F$5010,-1),2,)</f>
        <v>R02</v>
      </c>
      <c r="C530" s="15" t="s">
        <v>5987</v>
      </c>
      <c r="D530" s="6" t="s">
        <v>4317</v>
      </c>
      <c r="E530" s="8" t="s">
        <v>4077</v>
      </c>
      <c r="F530" s="8" t="s">
        <v>4330</v>
      </c>
      <c r="G530" s="6" t="str">
        <f>_xlfn.XLOOKUP(LD_01[[#This Row],[DISCIPLINA]],'CLASSES DE PROJETOS'!$F$3:$F$37,'CLASSES DE PROJETOS'!$C$3:$C$37)</f>
        <v>TE</v>
      </c>
      <c r="H530" t="str">
        <f>_xlfn.TEXTJOIN("/",TRUE,"MSV-163MS-"&amp;LD_01[[#This Row],[TRECHO]],_xlfn.XLOOKUP(LD_01[[#This Row],[SIGLA]],'CLASSES DE PROJETOS'!$C$3:$C$37,'CLASSES DE PROJETOS'!$E$3:$E$37))</f>
        <v>MSV-163MS-535-545/32.TE</v>
      </c>
      <c r="I530" s="6" t="str" cm="1">
        <f t="array" ref="I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J530" s="6" t="str" cm="1">
        <f t="array" ref="J530">_xlfn.TEXTJOIN(", ",TRUE,_xlfn.UNIQUE(_xlfn._xlws.FILTER(ARQUIVOS_RECEBIDOS!$F$2:$F$5010,ARQUIVOS_RECEBIDOS!$E$2:$E$5010=LD_01[[#This Row],[DOCUMENTO]])))</f>
        <v>R02</v>
      </c>
      <c r="K530" s="12" cm="1">
        <f t="array" ref="K530">_xlfn.UNIQUE(_xlfn._xlws.FILTER(ARQUIVOS[DATA RECEBIMENTO],(ARQUIVOS[DOCUMENTO]=LD_01[[#This Row],[DOCUMENTO]])*(ARQUIVOS[REVISÃO]=LD_01[[#This Row],[REVISÃO]])))</f>
        <v>45838</v>
      </c>
      <c r="L5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M530" s="6" t="str">
        <f>LD_01[[#This Row],[PASTA]]&amp;"/"&amp;LD_01[[#This Row],[ARQUIVO]]</f>
        <v>MSV-163MS-535-545/32.TE/MSV-163MS-535-545-ACA-EXE-DE-G1-010-R02.pdf</v>
      </c>
    </row>
    <row r="531" spans="1:13" ht="28.8" hidden="1" x14ac:dyDescent="0.3">
      <c r="A531" s="6" t="s">
        <v>3290</v>
      </c>
      <c r="B531" s="6" t="str">
        <f>VLOOKUP(LD_01[[#This Row],[DOCUMENTO]],_xlfn.SORTBY(ARQUIVOS_RECEBIDOS!$E$2:$F$5010,ARQUIVOS_RECEBIDOS!$F$2:$F$5010,-1),2,)</f>
        <v>R02</v>
      </c>
      <c r="C531" s="15" t="s">
        <v>5987</v>
      </c>
      <c r="D531" s="6" t="s">
        <v>4317</v>
      </c>
      <c r="E531" s="8" t="s">
        <v>4077</v>
      </c>
      <c r="F531" s="8" t="s">
        <v>4330</v>
      </c>
      <c r="G531" s="6" t="str">
        <f>_xlfn.XLOOKUP(LD_01[[#This Row],[DISCIPLINA]],'CLASSES DE PROJETOS'!$F$3:$F$37,'CLASSES DE PROJETOS'!$C$3:$C$37)</f>
        <v>TE</v>
      </c>
      <c r="H531" t="str">
        <f>_xlfn.TEXTJOIN("/",TRUE,"MSV-163MS-"&amp;LD_01[[#This Row],[TRECHO]],_xlfn.XLOOKUP(LD_01[[#This Row],[SIGLA]],'CLASSES DE PROJETOS'!$C$3:$C$37,'CLASSES DE PROJETOS'!$E$3:$E$37))</f>
        <v>MSV-163MS-535-545/32.TE</v>
      </c>
      <c r="I531" s="6" t="str" cm="1">
        <f t="array" ref="I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J531" s="6" t="str" cm="1">
        <f t="array" ref="J531">_xlfn.TEXTJOIN(", ",TRUE,_xlfn.UNIQUE(_xlfn._xlws.FILTER(ARQUIVOS_RECEBIDOS!$F$2:$F$5010,ARQUIVOS_RECEBIDOS!$E$2:$E$5010=LD_01[[#This Row],[DOCUMENTO]])))</f>
        <v>R02</v>
      </c>
      <c r="K531" s="12" cm="1">
        <f t="array" ref="K531">_xlfn.UNIQUE(_xlfn._xlws.FILTER(ARQUIVOS[DATA RECEBIMENTO],(ARQUIVOS[DOCUMENTO]=LD_01[[#This Row],[DOCUMENTO]])*(ARQUIVOS[REVISÃO]=LD_01[[#This Row],[REVISÃO]])))</f>
        <v>45838</v>
      </c>
      <c r="L5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M531" s="6" t="str">
        <f>LD_01[[#This Row],[PASTA]]&amp;"/"&amp;LD_01[[#This Row],[ARQUIVO]]</f>
        <v>MSV-163MS-535-545/32.TE/MSV-163MS-535-545-ACA-EXE-DE-G1-011-R02.pdf</v>
      </c>
    </row>
    <row r="532" spans="1:13" ht="28.8" hidden="1" x14ac:dyDescent="0.3">
      <c r="A532" s="6" t="s">
        <v>3291</v>
      </c>
      <c r="B532" s="6" t="str">
        <f>VLOOKUP(LD_01[[#This Row],[DOCUMENTO]],_xlfn.SORTBY(ARQUIVOS_RECEBIDOS!$E$2:$F$5010,ARQUIVOS_RECEBIDOS!$F$2:$F$5010,-1),2,)</f>
        <v>R02</v>
      </c>
      <c r="C532" s="15" t="s">
        <v>5987</v>
      </c>
      <c r="D532" s="6" t="s">
        <v>4317</v>
      </c>
      <c r="E532" s="8" t="s">
        <v>4077</v>
      </c>
      <c r="F532" s="8" t="s">
        <v>4330</v>
      </c>
      <c r="G532" s="6" t="str">
        <f>_xlfn.XLOOKUP(LD_01[[#This Row],[DISCIPLINA]],'CLASSES DE PROJETOS'!$F$3:$F$37,'CLASSES DE PROJETOS'!$C$3:$C$37)</f>
        <v>TE</v>
      </c>
      <c r="H532" t="str">
        <f>_xlfn.TEXTJOIN("/",TRUE,"MSV-163MS-"&amp;LD_01[[#This Row],[TRECHO]],_xlfn.XLOOKUP(LD_01[[#This Row],[SIGLA]],'CLASSES DE PROJETOS'!$C$3:$C$37,'CLASSES DE PROJETOS'!$E$3:$E$37))</f>
        <v>MSV-163MS-535-545/32.TE</v>
      </c>
      <c r="I532" s="6" t="str" cm="1">
        <f t="array" ref="I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J532" s="6" t="str" cm="1">
        <f t="array" ref="J532">_xlfn.TEXTJOIN(", ",TRUE,_xlfn.UNIQUE(_xlfn._xlws.FILTER(ARQUIVOS_RECEBIDOS!$F$2:$F$5010,ARQUIVOS_RECEBIDOS!$E$2:$E$5010=LD_01[[#This Row],[DOCUMENTO]])))</f>
        <v>R02</v>
      </c>
      <c r="K532" s="12" cm="1">
        <f t="array" ref="K532">_xlfn.UNIQUE(_xlfn._xlws.FILTER(ARQUIVOS[DATA RECEBIMENTO],(ARQUIVOS[DOCUMENTO]=LD_01[[#This Row],[DOCUMENTO]])*(ARQUIVOS[REVISÃO]=LD_01[[#This Row],[REVISÃO]])))</f>
        <v>45838</v>
      </c>
      <c r="L5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M532" s="6" t="str">
        <f>LD_01[[#This Row],[PASTA]]&amp;"/"&amp;LD_01[[#This Row],[ARQUIVO]]</f>
        <v>MSV-163MS-535-545/32.TE/MSV-163MS-535-545-ACA-EXE-DE-G1-012-R02.pdf</v>
      </c>
    </row>
    <row r="533" spans="1:13" ht="28.8" hidden="1" x14ac:dyDescent="0.3">
      <c r="A533" s="6" t="s">
        <v>3292</v>
      </c>
      <c r="B533" s="6" t="str">
        <f>VLOOKUP(LD_01[[#This Row],[DOCUMENTO]],_xlfn.SORTBY(ARQUIVOS_RECEBIDOS!$E$2:$F$5010,ARQUIVOS_RECEBIDOS!$F$2:$F$5010,-1),2,)</f>
        <v>R02</v>
      </c>
      <c r="C533" s="15" t="s">
        <v>5987</v>
      </c>
      <c r="D533" s="6" t="s">
        <v>4317</v>
      </c>
      <c r="E533" s="8" t="s">
        <v>4077</v>
      </c>
      <c r="F533" s="8" t="s">
        <v>4330</v>
      </c>
      <c r="G533" s="6" t="str">
        <f>_xlfn.XLOOKUP(LD_01[[#This Row],[DISCIPLINA]],'CLASSES DE PROJETOS'!$F$3:$F$37,'CLASSES DE PROJETOS'!$C$3:$C$37)</f>
        <v>TE</v>
      </c>
      <c r="H533" t="str">
        <f>_xlfn.TEXTJOIN("/",TRUE,"MSV-163MS-"&amp;LD_01[[#This Row],[TRECHO]],_xlfn.XLOOKUP(LD_01[[#This Row],[SIGLA]],'CLASSES DE PROJETOS'!$C$3:$C$37,'CLASSES DE PROJETOS'!$E$3:$E$37))</f>
        <v>MSV-163MS-535-545/32.TE</v>
      </c>
      <c r="I533" s="6" t="str" cm="1">
        <f t="array" ref="I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J533" s="6" t="str" cm="1">
        <f t="array" ref="J533">_xlfn.TEXTJOIN(", ",TRUE,_xlfn.UNIQUE(_xlfn._xlws.FILTER(ARQUIVOS_RECEBIDOS!$F$2:$F$5010,ARQUIVOS_RECEBIDOS!$E$2:$E$5010=LD_01[[#This Row],[DOCUMENTO]])))</f>
        <v>R02</v>
      </c>
      <c r="K533" s="12" cm="1">
        <f t="array" ref="K533">_xlfn.UNIQUE(_xlfn._xlws.FILTER(ARQUIVOS[DATA RECEBIMENTO],(ARQUIVOS[DOCUMENTO]=LD_01[[#This Row],[DOCUMENTO]])*(ARQUIVOS[REVISÃO]=LD_01[[#This Row],[REVISÃO]])))</f>
        <v>45838</v>
      </c>
      <c r="L5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M533" s="6" t="str">
        <f>LD_01[[#This Row],[PASTA]]&amp;"/"&amp;LD_01[[#This Row],[ARQUIVO]]</f>
        <v>MSV-163MS-535-545/32.TE/MSV-163MS-535-545-ACA-EXE-DE-G1-013-R02.pdf</v>
      </c>
    </row>
    <row r="534" spans="1:13" ht="28.8" hidden="1" x14ac:dyDescent="0.3">
      <c r="A534" s="6" t="s">
        <v>3293</v>
      </c>
      <c r="B534" s="6" t="str">
        <f>VLOOKUP(LD_01[[#This Row],[DOCUMENTO]],_xlfn.SORTBY(ARQUIVOS_RECEBIDOS!$E$2:$F$5010,ARQUIVOS_RECEBIDOS!$F$2:$F$5010,-1),2,)</f>
        <v>R02</v>
      </c>
      <c r="C534" s="15" t="s">
        <v>5987</v>
      </c>
      <c r="D534" s="6" t="s">
        <v>4317</v>
      </c>
      <c r="E534" s="8" t="s">
        <v>4077</v>
      </c>
      <c r="F534" s="8" t="s">
        <v>4330</v>
      </c>
      <c r="G534" s="6" t="str">
        <f>_xlfn.XLOOKUP(LD_01[[#This Row],[DISCIPLINA]],'CLASSES DE PROJETOS'!$F$3:$F$37,'CLASSES DE PROJETOS'!$C$3:$C$37)</f>
        <v>TE</v>
      </c>
      <c r="H534" t="str">
        <f>_xlfn.TEXTJOIN("/",TRUE,"MSV-163MS-"&amp;LD_01[[#This Row],[TRECHO]],_xlfn.XLOOKUP(LD_01[[#This Row],[SIGLA]],'CLASSES DE PROJETOS'!$C$3:$C$37,'CLASSES DE PROJETOS'!$E$3:$E$37))</f>
        <v>MSV-163MS-535-545/32.TE</v>
      </c>
      <c r="I534" s="6" t="str" cm="1">
        <f t="array" ref="I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J534" s="6" t="str" cm="1">
        <f t="array" ref="J534">_xlfn.TEXTJOIN(", ",TRUE,_xlfn.UNIQUE(_xlfn._xlws.FILTER(ARQUIVOS_RECEBIDOS!$F$2:$F$5010,ARQUIVOS_RECEBIDOS!$E$2:$E$5010=LD_01[[#This Row],[DOCUMENTO]])))</f>
        <v>R02</v>
      </c>
      <c r="K534" s="12" cm="1">
        <f t="array" ref="K534">_xlfn.UNIQUE(_xlfn._xlws.FILTER(ARQUIVOS[DATA RECEBIMENTO],(ARQUIVOS[DOCUMENTO]=LD_01[[#This Row],[DOCUMENTO]])*(ARQUIVOS[REVISÃO]=LD_01[[#This Row],[REVISÃO]])))</f>
        <v>45838</v>
      </c>
      <c r="L5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M534" s="6" t="str">
        <f>LD_01[[#This Row],[PASTA]]&amp;"/"&amp;LD_01[[#This Row],[ARQUIVO]]</f>
        <v>MSV-163MS-535-545/32.TE/MSV-163MS-535-545-ACA-EXE-DE-G1-014-R02.pdf</v>
      </c>
    </row>
    <row r="535" spans="1:13" ht="28.8" hidden="1" x14ac:dyDescent="0.3">
      <c r="A535" s="6" t="s">
        <v>3294</v>
      </c>
      <c r="B535" s="6" t="str">
        <f>VLOOKUP(LD_01[[#This Row],[DOCUMENTO]],_xlfn.SORTBY(ARQUIVOS_RECEBIDOS!$E$2:$F$5010,ARQUIVOS_RECEBIDOS!$F$2:$F$5010,-1),2,)</f>
        <v>R02</v>
      </c>
      <c r="C535" s="15" t="s">
        <v>5987</v>
      </c>
      <c r="D535" s="6" t="s">
        <v>4317</v>
      </c>
      <c r="E535" s="8" t="s">
        <v>4077</v>
      </c>
      <c r="F535" s="8" t="s">
        <v>4330</v>
      </c>
      <c r="G535" s="6" t="str">
        <f>_xlfn.XLOOKUP(LD_01[[#This Row],[DISCIPLINA]],'CLASSES DE PROJETOS'!$F$3:$F$37,'CLASSES DE PROJETOS'!$C$3:$C$37)</f>
        <v>TE</v>
      </c>
      <c r="H535" t="str">
        <f>_xlfn.TEXTJOIN("/",TRUE,"MSV-163MS-"&amp;LD_01[[#This Row],[TRECHO]],_xlfn.XLOOKUP(LD_01[[#This Row],[SIGLA]],'CLASSES DE PROJETOS'!$C$3:$C$37,'CLASSES DE PROJETOS'!$E$3:$E$37))</f>
        <v>MSV-163MS-535-545/32.TE</v>
      </c>
      <c r="I535" s="6" t="str" cm="1">
        <f t="array" ref="I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J535" s="6" t="str" cm="1">
        <f t="array" ref="J535">_xlfn.TEXTJOIN(", ",TRUE,_xlfn.UNIQUE(_xlfn._xlws.FILTER(ARQUIVOS_RECEBIDOS!$F$2:$F$5010,ARQUIVOS_RECEBIDOS!$E$2:$E$5010=LD_01[[#This Row],[DOCUMENTO]])))</f>
        <v>R02</v>
      </c>
      <c r="K535" s="12" cm="1">
        <f t="array" ref="K535">_xlfn.UNIQUE(_xlfn._xlws.FILTER(ARQUIVOS[DATA RECEBIMENTO],(ARQUIVOS[DOCUMENTO]=LD_01[[#This Row],[DOCUMENTO]])*(ARQUIVOS[REVISÃO]=LD_01[[#This Row],[REVISÃO]])))</f>
        <v>45838</v>
      </c>
      <c r="L5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M535" s="6" t="str">
        <f>LD_01[[#This Row],[PASTA]]&amp;"/"&amp;LD_01[[#This Row],[ARQUIVO]]</f>
        <v>MSV-163MS-535-545/32.TE/MSV-163MS-535-545-ACA-EXE-DE-G1-015-R02.pdf</v>
      </c>
    </row>
    <row r="536" spans="1:13" ht="28.8" hidden="1" x14ac:dyDescent="0.3">
      <c r="A536" s="6" t="s">
        <v>3295</v>
      </c>
      <c r="B536" s="6" t="str">
        <f>VLOOKUP(LD_01[[#This Row],[DOCUMENTO]],_xlfn.SORTBY(ARQUIVOS_RECEBIDOS!$E$2:$F$5010,ARQUIVOS_RECEBIDOS!$F$2:$F$5010,-1),2,)</f>
        <v>R02</v>
      </c>
      <c r="C536" s="15" t="s">
        <v>5987</v>
      </c>
      <c r="D536" s="6" t="s">
        <v>4317</v>
      </c>
      <c r="E536" s="8" t="s">
        <v>4077</v>
      </c>
      <c r="F536" s="8" t="s">
        <v>4330</v>
      </c>
      <c r="G536" s="6" t="str">
        <f>_xlfn.XLOOKUP(LD_01[[#This Row],[DISCIPLINA]],'CLASSES DE PROJETOS'!$F$3:$F$37,'CLASSES DE PROJETOS'!$C$3:$C$37)</f>
        <v>TE</v>
      </c>
      <c r="H536" t="str">
        <f>_xlfn.TEXTJOIN("/",TRUE,"MSV-163MS-"&amp;LD_01[[#This Row],[TRECHO]],_xlfn.XLOOKUP(LD_01[[#This Row],[SIGLA]],'CLASSES DE PROJETOS'!$C$3:$C$37,'CLASSES DE PROJETOS'!$E$3:$E$37))</f>
        <v>MSV-163MS-535-545/32.TE</v>
      </c>
      <c r="I536" s="6" t="str" cm="1">
        <f t="array" ref="I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J536" s="6" t="str" cm="1">
        <f t="array" ref="J536">_xlfn.TEXTJOIN(", ",TRUE,_xlfn.UNIQUE(_xlfn._xlws.FILTER(ARQUIVOS_RECEBIDOS!$F$2:$F$5010,ARQUIVOS_RECEBIDOS!$E$2:$E$5010=LD_01[[#This Row],[DOCUMENTO]])))</f>
        <v>R02</v>
      </c>
      <c r="K536" s="12" cm="1">
        <f t="array" ref="K536">_xlfn.UNIQUE(_xlfn._xlws.FILTER(ARQUIVOS[DATA RECEBIMENTO],(ARQUIVOS[DOCUMENTO]=LD_01[[#This Row],[DOCUMENTO]])*(ARQUIVOS[REVISÃO]=LD_01[[#This Row],[REVISÃO]])))</f>
        <v>45838</v>
      </c>
      <c r="L5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M536" s="6" t="str">
        <f>LD_01[[#This Row],[PASTA]]&amp;"/"&amp;LD_01[[#This Row],[ARQUIVO]]</f>
        <v>MSV-163MS-535-545/32.TE/MSV-163MS-535-545-ACA-EXE-DE-G1-016-R02.pdf</v>
      </c>
    </row>
    <row r="537" spans="1:13" ht="28.8" hidden="1" x14ac:dyDescent="0.3">
      <c r="A537" s="6" t="s">
        <v>3296</v>
      </c>
      <c r="B537" s="6" t="str">
        <f>VLOOKUP(LD_01[[#This Row],[DOCUMENTO]],_xlfn.SORTBY(ARQUIVOS_RECEBIDOS!$E$2:$F$5010,ARQUIVOS_RECEBIDOS!$F$2:$F$5010,-1),2,)</f>
        <v>R02</v>
      </c>
      <c r="C537" s="15" t="s">
        <v>5987</v>
      </c>
      <c r="D537" s="6" t="s">
        <v>4317</v>
      </c>
      <c r="E537" s="8" t="s">
        <v>4077</v>
      </c>
      <c r="F537" s="8" t="s">
        <v>4330</v>
      </c>
      <c r="G537" s="6" t="str">
        <f>_xlfn.XLOOKUP(LD_01[[#This Row],[DISCIPLINA]],'CLASSES DE PROJETOS'!$F$3:$F$37,'CLASSES DE PROJETOS'!$C$3:$C$37)</f>
        <v>TE</v>
      </c>
      <c r="H537" t="str">
        <f>_xlfn.TEXTJOIN("/",TRUE,"MSV-163MS-"&amp;LD_01[[#This Row],[TRECHO]],_xlfn.XLOOKUP(LD_01[[#This Row],[SIGLA]],'CLASSES DE PROJETOS'!$C$3:$C$37,'CLASSES DE PROJETOS'!$E$3:$E$37))</f>
        <v>MSV-163MS-535-545/32.TE</v>
      </c>
      <c r="I537" s="6" t="str" cm="1">
        <f t="array" ref="I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J537" s="6" t="str" cm="1">
        <f t="array" ref="J537">_xlfn.TEXTJOIN(", ",TRUE,_xlfn.UNIQUE(_xlfn._xlws.FILTER(ARQUIVOS_RECEBIDOS!$F$2:$F$5010,ARQUIVOS_RECEBIDOS!$E$2:$E$5010=LD_01[[#This Row],[DOCUMENTO]])))</f>
        <v>R02</v>
      </c>
      <c r="K537" s="12" cm="1">
        <f t="array" ref="K537">_xlfn.UNIQUE(_xlfn._xlws.FILTER(ARQUIVOS[DATA RECEBIMENTO],(ARQUIVOS[DOCUMENTO]=LD_01[[#This Row],[DOCUMENTO]])*(ARQUIVOS[REVISÃO]=LD_01[[#This Row],[REVISÃO]])))</f>
        <v>45838</v>
      </c>
      <c r="L5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M537" s="6" t="str">
        <f>LD_01[[#This Row],[PASTA]]&amp;"/"&amp;LD_01[[#This Row],[ARQUIVO]]</f>
        <v>MSV-163MS-535-545/32.TE/MSV-163MS-535-545-ACA-EXE-DE-G1-017-R02.pdf</v>
      </c>
    </row>
    <row r="538" spans="1:13" ht="28.8" hidden="1" x14ac:dyDescent="0.3">
      <c r="A538" s="6" t="s">
        <v>3297</v>
      </c>
      <c r="B538" s="6" t="str">
        <f>VLOOKUP(LD_01[[#This Row],[DOCUMENTO]],_xlfn.SORTBY(ARQUIVOS_RECEBIDOS!$E$2:$F$5010,ARQUIVOS_RECEBIDOS!$F$2:$F$5010,-1),2,)</f>
        <v>R02</v>
      </c>
      <c r="C538" s="15" t="s">
        <v>5987</v>
      </c>
      <c r="D538" s="6" t="s">
        <v>4317</v>
      </c>
      <c r="E538" s="8" t="s">
        <v>4077</v>
      </c>
      <c r="F538" s="8" t="s">
        <v>4330</v>
      </c>
      <c r="G538" s="6" t="str">
        <f>_xlfn.XLOOKUP(LD_01[[#This Row],[DISCIPLINA]],'CLASSES DE PROJETOS'!$F$3:$F$37,'CLASSES DE PROJETOS'!$C$3:$C$37)</f>
        <v>TE</v>
      </c>
      <c r="H538" t="str">
        <f>_xlfn.TEXTJOIN("/",TRUE,"MSV-163MS-"&amp;LD_01[[#This Row],[TRECHO]],_xlfn.XLOOKUP(LD_01[[#This Row],[SIGLA]],'CLASSES DE PROJETOS'!$C$3:$C$37,'CLASSES DE PROJETOS'!$E$3:$E$37))</f>
        <v>MSV-163MS-535-545/32.TE</v>
      </c>
      <c r="I538" s="6" t="str" cm="1">
        <f t="array" ref="I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J538" s="6" t="str" cm="1">
        <f t="array" ref="J538">_xlfn.TEXTJOIN(", ",TRUE,_xlfn.UNIQUE(_xlfn._xlws.FILTER(ARQUIVOS_RECEBIDOS!$F$2:$F$5010,ARQUIVOS_RECEBIDOS!$E$2:$E$5010=LD_01[[#This Row],[DOCUMENTO]])))</f>
        <v>R02</v>
      </c>
      <c r="K538" s="12" cm="1">
        <f t="array" ref="K538">_xlfn.UNIQUE(_xlfn._xlws.FILTER(ARQUIVOS[DATA RECEBIMENTO],(ARQUIVOS[DOCUMENTO]=LD_01[[#This Row],[DOCUMENTO]])*(ARQUIVOS[REVISÃO]=LD_01[[#This Row],[REVISÃO]])))</f>
        <v>45838</v>
      </c>
      <c r="L5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M538" s="6" t="str">
        <f>LD_01[[#This Row],[PASTA]]&amp;"/"&amp;LD_01[[#This Row],[ARQUIVO]]</f>
        <v>MSV-163MS-535-545/32.TE/MSV-163MS-535-545-ACA-EXE-DE-G1-018-R02.pdf</v>
      </c>
    </row>
    <row r="539" spans="1:13" ht="28.8" hidden="1" x14ac:dyDescent="0.3">
      <c r="A539" s="6" t="s">
        <v>3298</v>
      </c>
      <c r="B539" s="6" t="str">
        <f>VLOOKUP(LD_01[[#This Row],[DOCUMENTO]],_xlfn.SORTBY(ARQUIVOS_RECEBIDOS!$E$2:$F$5010,ARQUIVOS_RECEBIDOS!$F$2:$F$5010,-1),2,)</f>
        <v>R03</v>
      </c>
      <c r="C539" s="15" t="s">
        <v>5987</v>
      </c>
      <c r="D539" s="6" t="s">
        <v>4317</v>
      </c>
      <c r="E539" s="8" t="s">
        <v>4077</v>
      </c>
      <c r="F539" s="8" t="s">
        <v>4330</v>
      </c>
      <c r="G539" s="6" t="str">
        <f>_xlfn.XLOOKUP(LD_01[[#This Row],[DISCIPLINA]],'CLASSES DE PROJETOS'!$F$3:$F$37,'CLASSES DE PROJETOS'!$C$3:$C$37)</f>
        <v>TE</v>
      </c>
      <c r="H539" t="str">
        <f>_xlfn.TEXTJOIN("/",TRUE,"MSV-163MS-"&amp;LD_01[[#This Row],[TRECHO]],_xlfn.XLOOKUP(LD_01[[#This Row],[SIGLA]],'CLASSES DE PROJETOS'!$C$3:$C$37,'CLASSES DE PROJETOS'!$E$3:$E$37))</f>
        <v>MSV-163MS-535-545/32.TE</v>
      </c>
      <c r="I539" s="6" t="str" cm="1">
        <f t="array" ref="I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J539" s="6" t="str" cm="1">
        <f t="array" ref="J539">_xlfn.TEXTJOIN(", ",TRUE,_xlfn.UNIQUE(_xlfn._xlws.FILTER(ARQUIVOS_RECEBIDOS!$F$2:$F$5010,ARQUIVOS_RECEBIDOS!$E$2:$E$5010=LD_01[[#This Row],[DOCUMENTO]])))</f>
        <v>R03</v>
      </c>
      <c r="K539" s="12" cm="1">
        <f t="array" ref="K539">_xlfn.UNIQUE(_xlfn._xlws.FILTER(ARQUIVOS[DATA RECEBIMENTO],(ARQUIVOS[DOCUMENTO]=LD_01[[#This Row],[DOCUMENTO]])*(ARQUIVOS[REVISÃO]=LD_01[[#This Row],[REVISÃO]])))</f>
        <v>45838</v>
      </c>
      <c r="L5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M539" s="6" t="str">
        <f>LD_01[[#This Row],[PASTA]]&amp;"/"&amp;LD_01[[#This Row],[ARQUIVO]]</f>
        <v>MSV-163MS-535-545/32.TE/MSV-163MS-535-545-ACA-EXE-DE-G1-019-R03.pdf</v>
      </c>
    </row>
    <row r="540" spans="1:13" ht="28.8" hidden="1" x14ac:dyDescent="0.3">
      <c r="A540" s="6" t="s">
        <v>3299</v>
      </c>
      <c r="B540" s="6" t="str">
        <f>VLOOKUP(LD_01[[#This Row],[DOCUMENTO]],_xlfn.SORTBY(ARQUIVOS_RECEBIDOS!$E$2:$F$5010,ARQUIVOS_RECEBIDOS!$F$2:$F$5010,-1),2,)</f>
        <v>R03</v>
      </c>
      <c r="C540" s="15" t="s">
        <v>5987</v>
      </c>
      <c r="D540" s="6" t="s">
        <v>4317</v>
      </c>
      <c r="E540" s="8" t="s">
        <v>4077</v>
      </c>
      <c r="F540" s="8" t="s">
        <v>4330</v>
      </c>
      <c r="G540" s="6" t="str">
        <f>_xlfn.XLOOKUP(LD_01[[#This Row],[DISCIPLINA]],'CLASSES DE PROJETOS'!$F$3:$F$37,'CLASSES DE PROJETOS'!$C$3:$C$37)</f>
        <v>TE</v>
      </c>
      <c r="H540" t="str">
        <f>_xlfn.TEXTJOIN("/",TRUE,"MSV-163MS-"&amp;LD_01[[#This Row],[TRECHO]],_xlfn.XLOOKUP(LD_01[[#This Row],[SIGLA]],'CLASSES DE PROJETOS'!$C$3:$C$37,'CLASSES DE PROJETOS'!$E$3:$E$37))</f>
        <v>MSV-163MS-535-545/32.TE</v>
      </c>
      <c r="I540" s="6" t="str" cm="1">
        <f t="array" ref="I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J540" s="6" t="str" cm="1">
        <f t="array" ref="J540">_xlfn.TEXTJOIN(", ",TRUE,_xlfn.UNIQUE(_xlfn._xlws.FILTER(ARQUIVOS_RECEBIDOS!$F$2:$F$5010,ARQUIVOS_RECEBIDOS!$E$2:$E$5010=LD_01[[#This Row],[DOCUMENTO]])))</f>
        <v>R03</v>
      </c>
      <c r="K540" s="12" cm="1">
        <f t="array" ref="K540">_xlfn.UNIQUE(_xlfn._xlws.FILTER(ARQUIVOS[DATA RECEBIMENTO],(ARQUIVOS[DOCUMENTO]=LD_01[[#This Row],[DOCUMENTO]])*(ARQUIVOS[REVISÃO]=LD_01[[#This Row],[REVISÃO]])))</f>
        <v>45838</v>
      </c>
      <c r="L5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M540" s="6" t="str">
        <f>LD_01[[#This Row],[PASTA]]&amp;"/"&amp;LD_01[[#This Row],[ARQUIVO]]</f>
        <v>MSV-163MS-535-545/32.TE/MSV-163MS-535-545-ACA-EXE-DE-G1-020-R03.pdf</v>
      </c>
    </row>
    <row r="541" spans="1:13" ht="28.8" hidden="1" x14ac:dyDescent="0.3">
      <c r="A541" s="6" t="s">
        <v>3300</v>
      </c>
      <c r="B541" s="6" t="str">
        <f>VLOOKUP(LD_01[[#This Row],[DOCUMENTO]],_xlfn.SORTBY(ARQUIVOS_RECEBIDOS!$E$2:$F$5010,ARQUIVOS_RECEBIDOS!$F$2:$F$5010,-1),2,)</f>
        <v>R03</v>
      </c>
      <c r="C541" s="15" t="s">
        <v>5987</v>
      </c>
      <c r="D541" s="6" t="s">
        <v>4317</v>
      </c>
      <c r="E541" s="8" t="s">
        <v>4077</v>
      </c>
      <c r="F541" s="8" t="s">
        <v>4330</v>
      </c>
      <c r="G541" s="6" t="str">
        <f>_xlfn.XLOOKUP(LD_01[[#This Row],[DISCIPLINA]],'CLASSES DE PROJETOS'!$F$3:$F$37,'CLASSES DE PROJETOS'!$C$3:$C$37)</f>
        <v>TE</v>
      </c>
      <c r="H541" t="str">
        <f>_xlfn.TEXTJOIN("/",TRUE,"MSV-163MS-"&amp;LD_01[[#This Row],[TRECHO]],_xlfn.XLOOKUP(LD_01[[#This Row],[SIGLA]],'CLASSES DE PROJETOS'!$C$3:$C$37,'CLASSES DE PROJETOS'!$E$3:$E$37))</f>
        <v>MSV-163MS-535-545/32.TE</v>
      </c>
      <c r="I541" s="6" t="str" cm="1">
        <f t="array" ref="I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J541" s="6" t="str" cm="1">
        <f t="array" ref="J541">_xlfn.TEXTJOIN(", ",TRUE,_xlfn.UNIQUE(_xlfn._xlws.FILTER(ARQUIVOS_RECEBIDOS!$F$2:$F$5010,ARQUIVOS_RECEBIDOS!$E$2:$E$5010=LD_01[[#This Row],[DOCUMENTO]])))</f>
        <v>R03</v>
      </c>
      <c r="K541" s="12" cm="1">
        <f t="array" ref="K541">_xlfn.UNIQUE(_xlfn._xlws.FILTER(ARQUIVOS[DATA RECEBIMENTO],(ARQUIVOS[DOCUMENTO]=LD_01[[#This Row],[DOCUMENTO]])*(ARQUIVOS[REVISÃO]=LD_01[[#This Row],[REVISÃO]])))</f>
        <v>45838</v>
      </c>
      <c r="L5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M541" s="6" t="str">
        <f>LD_01[[#This Row],[PASTA]]&amp;"/"&amp;LD_01[[#This Row],[ARQUIVO]]</f>
        <v>MSV-163MS-535-545/32.TE/MSV-163MS-535-545-ACA-EXE-DE-G1-021-R03.pdf</v>
      </c>
    </row>
    <row r="542" spans="1:13" ht="28.8" hidden="1" x14ac:dyDescent="0.3">
      <c r="A542" s="6" t="s">
        <v>3301</v>
      </c>
      <c r="B542" s="6" t="str">
        <f>VLOOKUP(LD_01[[#This Row],[DOCUMENTO]],_xlfn.SORTBY(ARQUIVOS_RECEBIDOS!$E$2:$F$5010,ARQUIVOS_RECEBIDOS!$F$2:$F$5010,-1),2,)</f>
        <v>R03</v>
      </c>
      <c r="C542" s="15" t="s">
        <v>5987</v>
      </c>
      <c r="D542" s="6" t="s">
        <v>4317</v>
      </c>
      <c r="E542" s="8" t="s">
        <v>4077</v>
      </c>
      <c r="F542" s="8" t="s">
        <v>4330</v>
      </c>
      <c r="G542" s="6" t="str">
        <f>_xlfn.XLOOKUP(LD_01[[#This Row],[DISCIPLINA]],'CLASSES DE PROJETOS'!$F$3:$F$37,'CLASSES DE PROJETOS'!$C$3:$C$37)</f>
        <v>TE</v>
      </c>
      <c r="H542" t="str">
        <f>_xlfn.TEXTJOIN("/",TRUE,"MSV-163MS-"&amp;LD_01[[#This Row],[TRECHO]],_xlfn.XLOOKUP(LD_01[[#This Row],[SIGLA]],'CLASSES DE PROJETOS'!$C$3:$C$37,'CLASSES DE PROJETOS'!$E$3:$E$37))</f>
        <v>MSV-163MS-535-545/32.TE</v>
      </c>
      <c r="I542" s="6" t="str" cm="1">
        <f t="array" ref="I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J542" s="6" t="str" cm="1">
        <f t="array" ref="J542">_xlfn.TEXTJOIN(", ",TRUE,_xlfn.UNIQUE(_xlfn._xlws.FILTER(ARQUIVOS_RECEBIDOS!$F$2:$F$5010,ARQUIVOS_RECEBIDOS!$E$2:$E$5010=LD_01[[#This Row],[DOCUMENTO]])))</f>
        <v>R03</v>
      </c>
      <c r="K542" s="12" cm="1">
        <f t="array" ref="K542">_xlfn.UNIQUE(_xlfn._xlws.FILTER(ARQUIVOS[DATA RECEBIMENTO],(ARQUIVOS[DOCUMENTO]=LD_01[[#This Row],[DOCUMENTO]])*(ARQUIVOS[REVISÃO]=LD_01[[#This Row],[REVISÃO]])))</f>
        <v>45838</v>
      </c>
      <c r="L5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M542" s="6" t="str">
        <f>LD_01[[#This Row],[PASTA]]&amp;"/"&amp;LD_01[[#This Row],[ARQUIVO]]</f>
        <v>MSV-163MS-535-545/32.TE/MSV-163MS-535-545-ACA-EXE-DE-G1-022-R03.pdf</v>
      </c>
    </row>
    <row r="543" spans="1:13" ht="28.8" hidden="1" x14ac:dyDescent="0.3">
      <c r="A543" s="6" t="s">
        <v>3302</v>
      </c>
      <c r="B543" s="6" t="str">
        <f>VLOOKUP(LD_01[[#This Row],[DOCUMENTO]],_xlfn.SORTBY(ARQUIVOS_RECEBIDOS!$E$2:$F$5010,ARQUIVOS_RECEBIDOS!$F$2:$F$5010,-1),2,)</f>
        <v>R03</v>
      </c>
      <c r="C543" s="15" t="s">
        <v>5987</v>
      </c>
      <c r="D543" s="6" t="s">
        <v>4317</v>
      </c>
      <c r="E543" s="8" t="s">
        <v>4077</v>
      </c>
      <c r="F543" s="8" t="s">
        <v>4330</v>
      </c>
      <c r="G543" s="6" t="str">
        <f>_xlfn.XLOOKUP(LD_01[[#This Row],[DISCIPLINA]],'CLASSES DE PROJETOS'!$F$3:$F$37,'CLASSES DE PROJETOS'!$C$3:$C$37)</f>
        <v>TE</v>
      </c>
      <c r="H543" t="str">
        <f>_xlfn.TEXTJOIN("/",TRUE,"MSV-163MS-"&amp;LD_01[[#This Row],[TRECHO]],_xlfn.XLOOKUP(LD_01[[#This Row],[SIGLA]],'CLASSES DE PROJETOS'!$C$3:$C$37,'CLASSES DE PROJETOS'!$E$3:$E$37))</f>
        <v>MSV-163MS-535-545/32.TE</v>
      </c>
      <c r="I543" s="6" t="str" cm="1">
        <f t="array" ref="I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J543" s="6" t="str" cm="1">
        <f t="array" ref="J543">_xlfn.TEXTJOIN(", ",TRUE,_xlfn.UNIQUE(_xlfn._xlws.FILTER(ARQUIVOS_RECEBIDOS!$F$2:$F$5010,ARQUIVOS_RECEBIDOS!$E$2:$E$5010=LD_01[[#This Row],[DOCUMENTO]])))</f>
        <v>R03</v>
      </c>
      <c r="K543" s="12" cm="1">
        <f t="array" ref="K543">_xlfn.UNIQUE(_xlfn._xlws.FILTER(ARQUIVOS[DATA RECEBIMENTO],(ARQUIVOS[DOCUMENTO]=LD_01[[#This Row],[DOCUMENTO]])*(ARQUIVOS[REVISÃO]=LD_01[[#This Row],[REVISÃO]])))</f>
        <v>45838</v>
      </c>
      <c r="L5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M543" s="6" t="str">
        <f>LD_01[[#This Row],[PASTA]]&amp;"/"&amp;LD_01[[#This Row],[ARQUIVO]]</f>
        <v>MSV-163MS-535-545/32.TE/MSV-163MS-535-545-ACA-EXE-DE-G1-023-R03.pdf</v>
      </c>
    </row>
    <row r="544" spans="1:13" ht="28.8" hidden="1" x14ac:dyDescent="0.3">
      <c r="A544" s="6" t="s">
        <v>3303</v>
      </c>
      <c r="B544" s="6" t="str">
        <f>VLOOKUP(LD_01[[#This Row],[DOCUMENTO]],_xlfn.SORTBY(ARQUIVOS_RECEBIDOS!$E$2:$F$5010,ARQUIVOS_RECEBIDOS!$F$2:$F$5010,-1),2,)</f>
        <v>R03</v>
      </c>
      <c r="C544" s="15" t="s">
        <v>5987</v>
      </c>
      <c r="D544" s="6" t="s">
        <v>4317</v>
      </c>
      <c r="E544" s="8" t="s">
        <v>4077</v>
      </c>
      <c r="F544" s="8" t="s">
        <v>4330</v>
      </c>
      <c r="G544" s="6" t="str">
        <f>_xlfn.XLOOKUP(LD_01[[#This Row],[DISCIPLINA]],'CLASSES DE PROJETOS'!$F$3:$F$37,'CLASSES DE PROJETOS'!$C$3:$C$37)</f>
        <v>TE</v>
      </c>
      <c r="H544" t="str">
        <f>_xlfn.TEXTJOIN("/",TRUE,"MSV-163MS-"&amp;LD_01[[#This Row],[TRECHO]],_xlfn.XLOOKUP(LD_01[[#This Row],[SIGLA]],'CLASSES DE PROJETOS'!$C$3:$C$37,'CLASSES DE PROJETOS'!$E$3:$E$37))</f>
        <v>MSV-163MS-535-545/32.TE</v>
      </c>
      <c r="I544" s="6" t="str" cm="1">
        <f t="array" ref="I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J544" s="6" t="str" cm="1">
        <f t="array" ref="J544">_xlfn.TEXTJOIN(", ",TRUE,_xlfn.UNIQUE(_xlfn._xlws.FILTER(ARQUIVOS_RECEBIDOS!$F$2:$F$5010,ARQUIVOS_RECEBIDOS!$E$2:$E$5010=LD_01[[#This Row],[DOCUMENTO]])))</f>
        <v>R03</v>
      </c>
      <c r="K544" s="12" cm="1">
        <f t="array" ref="K544">_xlfn.UNIQUE(_xlfn._xlws.FILTER(ARQUIVOS[DATA RECEBIMENTO],(ARQUIVOS[DOCUMENTO]=LD_01[[#This Row],[DOCUMENTO]])*(ARQUIVOS[REVISÃO]=LD_01[[#This Row],[REVISÃO]])))</f>
        <v>45838</v>
      </c>
      <c r="L5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M544" s="6" t="str">
        <f>LD_01[[#This Row],[PASTA]]&amp;"/"&amp;LD_01[[#This Row],[ARQUIVO]]</f>
        <v>MSV-163MS-535-545/32.TE/MSV-163MS-535-545-ACA-EXE-DE-G1-024-R03.pdf</v>
      </c>
    </row>
    <row r="545" spans="1:13" ht="28.8" hidden="1" x14ac:dyDescent="0.3">
      <c r="A545" s="6" t="s">
        <v>3304</v>
      </c>
      <c r="B545" s="6" t="str">
        <f>VLOOKUP(LD_01[[#This Row],[DOCUMENTO]],_xlfn.SORTBY(ARQUIVOS_RECEBIDOS!$E$2:$F$5010,ARQUIVOS_RECEBIDOS!$F$2:$F$5010,-1),2,)</f>
        <v>R03</v>
      </c>
      <c r="C545" s="15" t="s">
        <v>5987</v>
      </c>
      <c r="D545" s="6" t="s">
        <v>4317</v>
      </c>
      <c r="E545" s="8" t="s">
        <v>4077</v>
      </c>
      <c r="F545" s="8" t="s">
        <v>4330</v>
      </c>
      <c r="G545" s="6" t="str">
        <f>_xlfn.XLOOKUP(LD_01[[#This Row],[DISCIPLINA]],'CLASSES DE PROJETOS'!$F$3:$F$37,'CLASSES DE PROJETOS'!$C$3:$C$37)</f>
        <v>TE</v>
      </c>
      <c r="H545" t="str">
        <f>_xlfn.TEXTJOIN("/",TRUE,"MSV-163MS-"&amp;LD_01[[#This Row],[TRECHO]],_xlfn.XLOOKUP(LD_01[[#This Row],[SIGLA]],'CLASSES DE PROJETOS'!$C$3:$C$37,'CLASSES DE PROJETOS'!$E$3:$E$37))</f>
        <v>MSV-163MS-535-545/32.TE</v>
      </c>
      <c r="I545" s="6" t="str" cm="1">
        <f t="array" ref="I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J545" s="6" t="str" cm="1">
        <f t="array" ref="J545">_xlfn.TEXTJOIN(", ",TRUE,_xlfn.UNIQUE(_xlfn._xlws.FILTER(ARQUIVOS_RECEBIDOS!$F$2:$F$5010,ARQUIVOS_RECEBIDOS!$E$2:$E$5010=LD_01[[#This Row],[DOCUMENTO]])))</f>
        <v>R03</v>
      </c>
      <c r="K545" s="12" cm="1">
        <f t="array" ref="K545">_xlfn.UNIQUE(_xlfn._xlws.FILTER(ARQUIVOS[DATA RECEBIMENTO],(ARQUIVOS[DOCUMENTO]=LD_01[[#This Row],[DOCUMENTO]])*(ARQUIVOS[REVISÃO]=LD_01[[#This Row],[REVISÃO]])))</f>
        <v>45838</v>
      </c>
      <c r="L5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M545" s="6" t="str">
        <f>LD_01[[#This Row],[PASTA]]&amp;"/"&amp;LD_01[[#This Row],[ARQUIVO]]</f>
        <v>MSV-163MS-535-545/32.TE/MSV-163MS-535-545-ACA-EXE-DE-G1-025-R03.pdf</v>
      </c>
    </row>
    <row r="546" spans="1:13" ht="28.8" hidden="1" x14ac:dyDescent="0.3">
      <c r="A546" s="6" t="s">
        <v>3305</v>
      </c>
      <c r="B546" s="6" t="str">
        <f>VLOOKUP(LD_01[[#This Row],[DOCUMENTO]],_xlfn.SORTBY(ARQUIVOS_RECEBIDOS!$E$2:$F$5010,ARQUIVOS_RECEBIDOS!$F$2:$F$5010,-1),2,)</f>
        <v>R03</v>
      </c>
      <c r="C546" s="15" t="s">
        <v>5987</v>
      </c>
      <c r="D546" s="6" t="s">
        <v>4317</v>
      </c>
      <c r="E546" s="8" t="s">
        <v>4077</v>
      </c>
      <c r="F546" s="8" t="s">
        <v>4330</v>
      </c>
      <c r="G546" s="6" t="str">
        <f>_xlfn.XLOOKUP(LD_01[[#This Row],[DISCIPLINA]],'CLASSES DE PROJETOS'!$F$3:$F$37,'CLASSES DE PROJETOS'!$C$3:$C$37)</f>
        <v>TE</v>
      </c>
      <c r="H546" t="str">
        <f>_xlfn.TEXTJOIN("/",TRUE,"MSV-163MS-"&amp;LD_01[[#This Row],[TRECHO]],_xlfn.XLOOKUP(LD_01[[#This Row],[SIGLA]],'CLASSES DE PROJETOS'!$C$3:$C$37,'CLASSES DE PROJETOS'!$E$3:$E$37))</f>
        <v>MSV-163MS-535-545/32.TE</v>
      </c>
      <c r="I546" s="6" t="str" cm="1">
        <f t="array" ref="I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J546" s="6" t="str" cm="1">
        <f t="array" ref="J546">_xlfn.TEXTJOIN(", ",TRUE,_xlfn.UNIQUE(_xlfn._xlws.FILTER(ARQUIVOS_RECEBIDOS!$F$2:$F$5010,ARQUIVOS_RECEBIDOS!$E$2:$E$5010=LD_01[[#This Row],[DOCUMENTO]])))</f>
        <v>R03</v>
      </c>
      <c r="K546" s="12" cm="1">
        <f t="array" ref="K546">_xlfn.UNIQUE(_xlfn._xlws.FILTER(ARQUIVOS[DATA RECEBIMENTO],(ARQUIVOS[DOCUMENTO]=LD_01[[#This Row],[DOCUMENTO]])*(ARQUIVOS[REVISÃO]=LD_01[[#This Row],[REVISÃO]])))</f>
        <v>45838</v>
      </c>
      <c r="L5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M546" s="6" t="str">
        <f>LD_01[[#This Row],[PASTA]]&amp;"/"&amp;LD_01[[#This Row],[ARQUIVO]]</f>
        <v>MSV-163MS-535-545/32.TE/MSV-163MS-535-545-ACA-EXE-DE-G1-026-R03.pdf</v>
      </c>
    </row>
    <row r="547" spans="1:13" ht="28.8" hidden="1" x14ac:dyDescent="0.3">
      <c r="A547" s="6" t="s">
        <v>3306</v>
      </c>
      <c r="B547" s="6" t="str">
        <f>VLOOKUP(LD_01[[#This Row],[DOCUMENTO]],_xlfn.SORTBY(ARQUIVOS_RECEBIDOS!$E$2:$F$5010,ARQUIVOS_RECEBIDOS!$F$2:$F$5010,-1),2,)</f>
        <v>R03</v>
      </c>
      <c r="C547" s="15" t="s">
        <v>5987</v>
      </c>
      <c r="D547" s="6" t="s">
        <v>4317</v>
      </c>
      <c r="E547" s="8" t="s">
        <v>4077</v>
      </c>
      <c r="F547" s="8" t="s">
        <v>4330</v>
      </c>
      <c r="G547" s="6" t="str">
        <f>_xlfn.XLOOKUP(LD_01[[#This Row],[DISCIPLINA]],'CLASSES DE PROJETOS'!$F$3:$F$37,'CLASSES DE PROJETOS'!$C$3:$C$37)</f>
        <v>TE</v>
      </c>
      <c r="H547" t="str">
        <f>_xlfn.TEXTJOIN("/",TRUE,"MSV-163MS-"&amp;LD_01[[#This Row],[TRECHO]],_xlfn.XLOOKUP(LD_01[[#This Row],[SIGLA]],'CLASSES DE PROJETOS'!$C$3:$C$37,'CLASSES DE PROJETOS'!$E$3:$E$37))</f>
        <v>MSV-163MS-535-545/32.TE</v>
      </c>
      <c r="I547" s="6" t="str" cm="1">
        <f t="array" ref="I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J547" s="6" t="str" cm="1">
        <f t="array" ref="J547">_xlfn.TEXTJOIN(", ",TRUE,_xlfn.UNIQUE(_xlfn._xlws.FILTER(ARQUIVOS_RECEBIDOS!$F$2:$F$5010,ARQUIVOS_RECEBIDOS!$E$2:$E$5010=LD_01[[#This Row],[DOCUMENTO]])))</f>
        <v>R03</v>
      </c>
      <c r="K547" s="12" cm="1">
        <f t="array" ref="K547">_xlfn.UNIQUE(_xlfn._xlws.FILTER(ARQUIVOS[DATA RECEBIMENTO],(ARQUIVOS[DOCUMENTO]=LD_01[[#This Row],[DOCUMENTO]])*(ARQUIVOS[REVISÃO]=LD_01[[#This Row],[REVISÃO]])))</f>
        <v>45838</v>
      </c>
      <c r="L5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M547" s="6" t="str">
        <f>LD_01[[#This Row],[PASTA]]&amp;"/"&amp;LD_01[[#This Row],[ARQUIVO]]</f>
        <v>MSV-163MS-535-545/32.TE/MSV-163MS-535-545-ACA-EXE-DE-G1-027-R03.pdf</v>
      </c>
    </row>
    <row r="548" spans="1:13" ht="28.8" hidden="1" x14ac:dyDescent="0.3">
      <c r="A548" s="6" t="s">
        <v>3307</v>
      </c>
      <c r="B548" s="6" t="str">
        <f>VLOOKUP(LD_01[[#This Row],[DOCUMENTO]],_xlfn.SORTBY(ARQUIVOS_RECEBIDOS!$E$2:$F$5010,ARQUIVOS_RECEBIDOS!$F$2:$F$5010,-1),2,)</f>
        <v>R03</v>
      </c>
      <c r="C548" s="15" t="s">
        <v>5987</v>
      </c>
      <c r="D548" s="6" t="s">
        <v>4317</v>
      </c>
      <c r="E548" s="8" t="s">
        <v>4077</v>
      </c>
      <c r="F548" s="8" t="s">
        <v>4330</v>
      </c>
      <c r="G548" s="6" t="str">
        <f>_xlfn.XLOOKUP(LD_01[[#This Row],[DISCIPLINA]],'CLASSES DE PROJETOS'!$F$3:$F$37,'CLASSES DE PROJETOS'!$C$3:$C$37)</f>
        <v>TE</v>
      </c>
      <c r="H548" t="str">
        <f>_xlfn.TEXTJOIN("/",TRUE,"MSV-163MS-"&amp;LD_01[[#This Row],[TRECHO]],_xlfn.XLOOKUP(LD_01[[#This Row],[SIGLA]],'CLASSES DE PROJETOS'!$C$3:$C$37,'CLASSES DE PROJETOS'!$E$3:$E$37))</f>
        <v>MSV-163MS-535-545/32.TE</v>
      </c>
      <c r="I548" s="6" t="str" cm="1">
        <f t="array" ref="I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J548" s="6" t="str" cm="1">
        <f t="array" ref="J548">_xlfn.TEXTJOIN(", ",TRUE,_xlfn.UNIQUE(_xlfn._xlws.FILTER(ARQUIVOS_RECEBIDOS!$F$2:$F$5010,ARQUIVOS_RECEBIDOS!$E$2:$E$5010=LD_01[[#This Row],[DOCUMENTO]])))</f>
        <v>R03</v>
      </c>
      <c r="K548" s="12" cm="1">
        <f t="array" ref="K548">_xlfn.UNIQUE(_xlfn._xlws.FILTER(ARQUIVOS[DATA RECEBIMENTO],(ARQUIVOS[DOCUMENTO]=LD_01[[#This Row],[DOCUMENTO]])*(ARQUIVOS[REVISÃO]=LD_01[[#This Row],[REVISÃO]])))</f>
        <v>45838</v>
      </c>
      <c r="L5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M548" s="6" t="str">
        <f>LD_01[[#This Row],[PASTA]]&amp;"/"&amp;LD_01[[#This Row],[ARQUIVO]]</f>
        <v>MSV-163MS-535-545/32.TE/MSV-163MS-535-545-ACA-EXE-DE-G1-028-R03.pdf</v>
      </c>
    </row>
    <row r="549" spans="1:13" ht="28.8" hidden="1" x14ac:dyDescent="0.3">
      <c r="A549" s="6" t="s">
        <v>3308</v>
      </c>
      <c r="B549" s="6" t="str">
        <f>VLOOKUP(LD_01[[#This Row],[DOCUMENTO]],_xlfn.SORTBY(ARQUIVOS_RECEBIDOS!$E$2:$F$5010,ARQUIVOS_RECEBIDOS!$F$2:$F$5010,-1),2,)</f>
        <v>R03</v>
      </c>
      <c r="C549" s="15" t="s">
        <v>5987</v>
      </c>
      <c r="D549" s="6" t="s">
        <v>4317</v>
      </c>
      <c r="E549" s="8" t="s">
        <v>4077</v>
      </c>
      <c r="F549" s="8" t="s">
        <v>4330</v>
      </c>
      <c r="G549" s="6" t="str">
        <f>_xlfn.XLOOKUP(LD_01[[#This Row],[DISCIPLINA]],'CLASSES DE PROJETOS'!$F$3:$F$37,'CLASSES DE PROJETOS'!$C$3:$C$37)</f>
        <v>TE</v>
      </c>
      <c r="H549" t="str">
        <f>_xlfn.TEXTJOIN("/",TRUE,"MSV-163MS-"&amp;LD_01[[#This Row],[TRECHO]],_xlfn.XLOOKUP(LD_01[[#This Row],[SIGLA]],'CLASSES DE PROJETOS'!$C$3:$C$37,'CLASSES DE PROJETOS'!$E$3:$E$37))</f>
        <v>MSV-163MS-535-545/32.TE</v>
      </c>
      <c r="I549" s="6" t="str" cm="1">
        <f t="array" ref="I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J549" s="6" t="str" cm="1">
        <f t="array" ref="J549">_xlfn.TEXTJOIN(", ",TRUE,_xlfn.UNIQUE(_xlfn._xlws.FILTER(ARQUIVOS_RECEBIDOS!$F$2:$F$5010,ARQUIVOS_RECEBIDOS!$E$2:$E$5010=LD_01[[#This Row],[DOCUMENTO]])))</f>
        <v>R03</v>
      </c>
      <c r="K549" s="12" cm="1">
        <f t="array" ref="K549">_xlfn.UNIQUE(_xlfn._xlws.FILTER(ARQUIVOS[DATA RECEBIMENTO],(ARQUIVOS[DOCUMENTO]=LD_01[[#This Row],[DOCUMENTO]])*(ARQUIVOS[REVISÃO]=LD_01[[#This Row],[REVISÃO]])))</f>
        <v>45838</v>
      </c>
      <c r="L5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M549" s="6" t="str">
        <f>LD_01[[#This Row],[PASTA]]&amp;"/"&amp;LD_01[[#This Row],[ARQUIVO]]</f>
        <v>MSV-163MS-535-545/32.TE/MSV-163MS-535-545-ACA-EXE-DE-G1-029-R03.pdf</v>
      </c>
    </row>
    <row r="550" spans="1:13" ht="28.8" hidden="1" x14ac:dyDescent="0.3">
      <c r="A550" s="6" t="s">
        <v>3309</v>
      </c>
      <c r="B550" s="6" t="str">
        <f>VLOOKUP(LD_01[[#This Row],[DOCUMENTO]],_xlfn.SORTBY(ARQUIVOS_RECEBIDOS!$E$2:$F$5010,ARQUIVOS_RECEBIDOS!$F$2:$F$5010,-1),2,)</f>
        <v>R03</v>
      </c>
      <c r="C550" s="15" t="s">
        <v>5987</v>
      </c>
      <c r="D550" s="6" t="s">
        <v>4317</v>
      </c>
      <c r="E550" s="8" t="s">
        <v>4077</v>
      </c>
      <c r="F550" s="8" t="s">
        <v>4330</v>
      </c>
      <c r="G550" s="6" t="str">
        <f>_xlfn.XLOOKUP(LD_01[[#This Row],[DISCIPLINA]],'CLASSES DE PROJETOS'!$F$3:$F$37,'CLASSES DE PROJETOS'!$C$3:$C$37)</f>
        <v>TE</v>
      </c>
      <c r="H550" t="str">
        <f>_xlfn.TEXTJOIN("/",TRUE,"MSV-163MS-"&amp;LD_01[[#This Row],[TRECHO]],_xlfn.XLOOKUP(LD_01[[#This Row],[SIGLA]],'CLASSES DE PROJETOS'!$C$3:$C$37,'CLASSES DE PROJETOS'!$E$3:$E$37))</f>
        <v>MSV-163MS-535-545/32.TE</v>
      </c>
      <c r="I550" s="6" t="str" cm="1">
        <f t="array" ref="I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J550" s="6" t="str" cm="1">
        <f t="array" ref="J550">_xlfn.TEXTJOIN(", ",TRUE,_xlfn.UNIQUE(_xlfn._xlws.FILTER(ARQUIVOS_RECEBIDOS!$F$2:$F$5010,ARQUIVOS_RECEBIDOS!$E$2:$E$5010=LD_01[[#This Row],[DOCUMENTO]])))</f>
        <v>R03</v>
      </c>
      <c r="K550" s="12" cm="1">
        <f t="array" ref="K550">_xlfn.UNIQUE(_xlfn._xlws.FILTER(ARQUIVOS[DATA RECEBIMENTO],(ARQUIVOS[DOCUMENTO]=LD_01[[#This Row],[DOCUMENTO]])*(ARQUIVOS[REVISÃO]=LD_01[[#This Row],[REVISÃO]])))</f>
        <v>45838</v>
      </c>
      <c r="L5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M550" s="6" t="str">
        <f>LD_01[[#This Row],[PASTA]]&amp;"/"&amp;LD_01[[#This Row],[ARQUIVO]]</f>
        <v>MSV-163MS-535-545/32.TE/MSV-163MS-535-545-ACA-EXE-DE-G1-030-R03.pdf</v>
      </c>
    </row>
    <row r="551" spans="1:13" ht="28.8" hidden="1" x14ac:dyDescent="0.3">
      <c r="A551" s="6" t="s">
        <v>3310</v>
      </c>
      <c r="B551" s="6" t="str">
        <f>VLOOKUP(LD_01[[#This Row],[DOCUMENTO]],_xlfn.SORTBY(ARQUIVOS_RECEBIDOS!$E$2:$F$5010,ARQUIVOS_RECEBIDOS!$F$2:$F$5010,-1),2,)</f>
        <v>R09</v>
      </c>
      <c r="C551" s="15" t="s">
        <v>5987</v>
      </c>
      <c r="D551" s="6" t="s">
        <v>4317</v>
      </c>
      <c r="E551" s="8" t="s">
        <v>4077</v>
      </c>
      <c r="F551" s="8" t="s">
        <v>4330</v>
      </c>
      <c r="G551" s="6" t="str">
        <f>_xlfn.XLOOKUP(LD_01[[#This Row],[DISCIPLINA]],'CLASSES DE PROJETOS'!$F$3:$F$37,'CLASSES DE PROJETOS'!$C$3:$C$37)</f>
        <v>TE</v>
      </c>
      <c r="H551" t="str">
        <f>_xlfn.TEXTJOIN("/",TRUE,"MSV-163MS-"&amp;LD_01[[#This Row],[TRECHO]],_xlfn.XLOOKUP(LD_01[[#This Row],[SIGLA]],'CLASSES DE PROJETOS'!$C$3:$C$37,'CLASSES DE PROJETOS'!$E$3:$E$37))</f>
        <v>MSV-163MS-535-545/32.TE</v>
      </c>
      <c r="I551" s="6" t="str" cm="1">
        <f t="array" ref="I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J551" s="6" t="str" cm="1">
        <f t="array" ref="J551">_xlfn.TEXTJOIN(", ",TRUE,_xlfn.UNIQUE(_xlfn._xlws.FILTER(ARQUIVOS_RECEBIDOS!$F$2:$F$5010,ARQUIVOS_RECEBIDOS!$E$2:$E$5010=LD_01[[#This Row],[DOCUMENTO]])))</f>
        <v>R09</v>
      </c>
      <c r="K551" s="12" cm="1">
        <f t="array" ref="K551">_xlfn.UNIQUE(_xlfn._xlws.FILTER(ARQUIVOS[DATA RECEBIMENTO],(ARQUIVOS[DOCUMENTO]=LD_01[[#This Row],[DOCUMENTO]])*(ARQUIVOS[REVISÃO]=LD_01[[#This Row],[REVISÃO]])))</f>
        <v>45838</v>
      </c>
      <c r="L5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M551" s="6" t="str">
        <f>LD_01[[#This Row],[PASTA]]&amp;"/"&amp;LD_01[[#This Row],[ARQUIVO]]</f>
        <v>MSV-163MS-535-545/32.TE/MSV-163MS-535-545-ACA-EXE-DE-G1-031-R09.pdf</v>
      </c>
    </row>
    <row r="552" spans="1:13" ht="28.8" hidden="1" x14ac:dyDescent="0.3">
      <c r="A552" s="6" t="s">
        <v>3312</v>
      </c>
      <c r="B552" s="6" t="str">
        <f>VLOOKUP(LD_01[[#This Row],[DOCUMENTO]],_xlfn.SORTBY(ARQUIVOS_RECEBIDOS!$E$2:$F$5010,ARQUIVOS_RECEBIDOS!$F$2:$F$5010,-1),2,)</f>
        <v>R03</v>
      </c>
      <c r="C552" s="15" t="s">
        <v>5987</v>
      </c>
      <c r="D552" s="6" t="s">
        <v>4317</v>
      </c>
      <c r="E552" s="8" t="s">
        <v>4077</v>
      </c>
      <c r="F552" s="8" t="s">
        <v>4330</v>
      </c>
      <c r="G552" s="6" t="str">
        <f>_xlfn.XLOOKUP(LD_01[[#This Row],[DISCIPLINA]],'CLASSES DE PROJETOS'!$F$3:$F$37,'CLASSES DE PROJETOS'!$C$3:$C$37)</f>
        <v>TE</v>
      </c>
      <c r="H552" t="str">
        <f>_xlfn.TEXTJOIN("/",TRUE,"MSV-163MS-"&amp;LD_01[[#This Row],[TRECHO]],_xlfn.XLOOKUP(LD_01[[#This Row],[SIGLA]],'CLASSES DE PROJETOS'!$C$3:$C$37,'CLASSES DE PROJETOS'!$E$3:$E$37))</f>
        <v>MSV-163MS-535-545/32.TE</v>
      </c>
      <c r="I552" s="6" t="str" cm="1">
        <f t="array" ref="I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J552" s="6" t="str" cm="1">
        <f t="array" ref="J552">_xlfn.TEXTJOIN(", ",TRUE,_xlfn.UNIQUE(_xlfn._xlws.FILTER(ARQUIVOS_RECEBIDOS!$F$2:$F$5010,ARQUIVOS_RECEBIDOS!$E$2:$E$5010=LD_01[[#This Row],[DOCUMENTO]])))</f>
        <v>R03</v>
      </c>
      <c r="K552" s="12" cm="1">
        <f t="array" ref="K552">_xlfn.UNIQUE(_xlfn._xlws.FILTER(ARQUIVOS[DATA RECEBIMENTO],(ARQUIVOS[DOCUMENTO]=LD_01[[#This Row],[DOCUMENTO]])*(ARQUIVOS[REVISÃO]=LD_01[[#This Row],[REVISÃO]])))</f>
        <v>45838</v>
      </c>
      <c r="L5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M552" s="6" t="str">
        <f>LD_01[[#This Row],[PASTA]]&amp;"/"&amp;LD_01[[#This Row],[ARQUIVO]]</f>
        <v>MSV-163MS-535-545/32.TE/MSV-163MS-535-545-ACA-EXE-DE-G1-032-R03.pdf</v>
      </c>
    </row>
    <row r="553" spans="1:13" ht="28.8" hidden="1" x14ac:dyDescent="0.3">
      <c r="A553" s="6" t="s">
        <v>3313</v>
      </c>
      <c r="B553" s="6" t="str">
        <f>VLOOKUP(LD_01[[#This Row],[DOCUMENTO]],_xlfn.SORTBY(ARQUIVOS_RECEBIDOS!$E$2:$F$5010,ARQUIVOS_RECEBIDOS!$F$2:$F$5010,-1),2,)</f>
        <v>R02</v>
      </c>
      <c r="C553" s="15" t="s">
        <v>5987</v>
      </c>
      <c r="D553" s="6" t="s">
        <v>4317</v>
      </c>
      <c r="E553" s="8" t="s">
        <v>4174</v>
      </c>
      <c r="F553" s="8" t="s">
        <v>4330</v>
      </c>
      <c r="G553" s="6" t="str">
        <f>_xlfn.XLOOKUP(LD_01[[#This Row],[DISCIPLINA]],'CLASSES DE PROJETOS'!$F$3:$F$37,'CLASSES DE PROJETOS'!$C$3:$C$37)</f>
        <v>TE</v>
      </c>
      <c r="H553" t="str">
        <f>_xlfn.TEXTJOIN("/",TRUE,"MSV-163MS-"&amp;LD_01[[#This Row],[TRECHO]],_xlfn.XLOOKUP(LD_01[[#This Row],[SIGLA]],'CLASSES DE PROJETOS'!$C$3:$C$37,'CLASSES DE PROJETOS'!$E$3:$E$37))</f>
        <v>MSV-163MS-535-545/32.TE</v>
      </c>
      <c r="I553" s="6" t="str" cm="1">
        <f t="array" ref="I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J553" s="6" t="str" cm="1">
        <f t="array" ref="J553">_xlfn.TEXTJOIN(", ",TRUE,_xlfn.UNIQUE(_xlfn._xlws.FILTER(ARQUIVOS_RECEBIDOS!$F$2:$F$5010,ARQUIVOS_RECEBIDOS!$E$2:$E$5010=LD_01[[#This Row],[DOCUMENTO]])))</f>
        <v>R02</v>
      </c>
      <c r="K553" s="12" cm="1">
        <f t="array" ref="K553">_xlfn.UNIQUE(_xlfn._xlws.FILTER(ARQUIVOS[DATA RECEBIMENTO],(ARQUIVOS[DOCUMENTO]=LD_01[[#This Row],[DOCUMENTO]])*(ARQUIVOS[REVISÃO]=LD_01[[#This Row],[REVISÃO]])))</f>
        <v>45838</v>
      </c>
      <c r="L5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M553" s="6" t="str">
        <f>LD_01[[#This Row],[PASTA]]&amp;"/"&amp;LD_01[[#This Row],[ARQUIVO]]</f>
        <v>MSV-163MS-535-545/32.TE/MSV-163MS-535-545-ACA-EXE-DE-G1-101-R02.pdf</v>
      </c>
    </row>
    <row r="554" spans="1:13" ht="28.8" hidden="1" x14ac:dyDescent="0.3">
      <c r="A554" s="6" t="s">
        <v>3316</v>
      </c>
      <c r="B554" s="6" t="str">
        <f>VLOOKUP(LD_01[[#This Row],[DOCUMENTO]],_xlfn.SORTBY(ARQUIVOS_RECEBIDOS!$E$2:$F$5010,ARQUIVOS_RECEBIDOS!$F$2:$F$5010,-1),2,)</f>
        <v>R00</v>
      </c>
      <c r="C554" s="15" t="s">
        <v>5987</v>
      </c>
      <c r="D554" s="6" t="s">
        <v>4317</v>
      </c>
      <c r="E554" s="8" t="s">
        <v>4248</v>
      </c>
      <c r="F554" s="8" t="s">
        <v>4142</v>
      </c>
      <c r="G554" s="6" t="str">
        <f>_xlfn.XLOOKUP(LD_01[[#This Row],[DISCIPLINA]],'CLASSES DE PROJETOS'!$F$3:$F$37,'CLASSES DE PROJETOS'!$C$3:$C$37)</f>
        <v>DR</v>
      </c>
      <c r="H554" t="str">
        <f>_xlfn.TEXTJOIN("/",TRUE,"MSV-163MS-"&amp;LD_01[[#This Row],[TRECHO]],_xlfn.XLOOKUP(LD_01[[#This Row],[SIGLA]],'CLASSES DE PROJETOS'!$C$3:$C$37,'CLASSES DE PROJETOS'!$E$3:$E$37))</f>
        <v>MSV-163MS-535-545/10.DR</v>
      </c>
      <c r="I554" s="6" t="str" cm="1">
        <f t="array" ref="I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J554" s="6" t="str" cm="1">
        <f t="array" ref="J554">_xlfn.TEXTJOIN(", ",TRUE,_xlfn.UNIQUE(_xlfn._xlws.FILTER(ARQUIVOS_RECEBIDOS!$F$2:$F$5010,ARQUIVOS_RECEBIDOS!$E$2:$E$5010=LD_01[[#This Row],[DOCUMENTO]])))</f>
        <v>R00</v>
      </c>
      <c r="K554" s="12" cm="1">
        <f t="array" ref="K554">_xlfn.UNIQUE(_xlfn._xlws.FILTER(ARQUIVOS[DATA RECEBIMENTO],(ARQUIVOS[DOCUMENTO]=LD_01[[#This Row],[DOCUMENTO]])*(ARQUIVOS[REVISÃO]=LD_01[[#This Row],[REVISÃO]])))</f>
        <v>45838</v>
      </c>
      <c r="L5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M554" s="6" t="str">
        <f>LD_01[[#This Row],[PASTA]]&amp;"/"&amp;LD_01[[#This Row],[ARQUIVO]]</f>
        <v>MSV-163MS-535-545/10.DR/MSV-163MS-535-545-ACA-EXE-DE-H1-201-R00.pdf</v>
      </c>
    </row>
    <row r="555" spans="1:13" hidden="1" x14ac:dyDescent="0.3">
      <c r="A555" s="6" t="s">
        <v>3317</v>
      </c>
      <c r="B555" s="6" t="str">
        <f>VLOOKUP(LD_01[[#This Row],[DOCUMENTO]],_xlfn.SORTBY(ARQUIVOS_RECEBIDOS!$E$2:$F$5010,ARQUIVOS_RECEBIDOS!$F$2:$F$5010,-1),2,)</f>
        <v>R06</v>
      </c>
      <c r="C555" s="15" t="s">
        <v>5987</v>
      </c>
      <c r="D555" s="6" t="s">
        <v>4317</v>
      </c>
      <c r="E555" s="8" t="s">
        <v>4076</v>
      </c>
      <c r="F555" s="8" t="s">
        <v>4142</v>
      </c>
      <c r="G555" s="6" t="str">
        <f>_xlfn.XLOOKUP(LD_01[[#This Row],[DISCIPLINA]],'CLASSES DE PROJETOS'!$F$3:$F$37,'CLASSES DE PROJETOS'!$C$3:$C$37)</f>
        <v>DR</v>
      </c>
      <c r="H555" t="str">
        <f>_xlfn.TEXTJOIN("/",TRUE,"MSV-163MS-"&amp;LD_01[[#This Row],[TRECHO]],_xlfn.XLOOKUP(LD_01[[#This Row],[SIGLA]],'CLASSES DE PROJETOS'!$C$3:$C$37,'CLASSES DE PROJETOS'!$E$3:$E$37))</f>
        <v>MSV-163MS-535-545/10.DR</v>
      </c>
      <c r="I555" s="6" t="str" cm="1">
        <f t="array" ref="I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J555" s="6" t="str" cm="1">
        <f t="array" ref="J555">_xlfn.TEXTJOIN(", ",TRUE,_xlfn.UNIQUE(_xlfn._xlws.FILTER(ARQUIVOS_RECEBIDOS!$F$2:$F$5010,ARQUIVOS_RECEBIDOS!$E$2:$E$5010=LD_01[[#This Row],[DOCUMENTO]])))</f>
        <v>R06</v>
      </c>
      <c r="K555" s="12" cm="1">
        <f t="array" ref="K555">_xlfn.UNIQUE(_xlfn._xlws.FILTER(ARQUIVOS[DATA RECEBIMENTO],(ARQUIVOS[DOCUMENTO]=LD_01[[#This Row],[DOCUMENTO]])*(ARQUIVOS[REVISÃO]=LD_01[[#This Row],[REVISÃO]])))</f>
        <v>45838</v>
      </c>
      <c r="L5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M555" s="6" t="str">
        <f>LD_01[[#This Row],[PASTA]]&amp;"/"&amp;LD_01[[#This Row],[ARQUIVO]]</f>
        <v>MSV-163MS-535-545/10.DR/MSV-163MS-535-545-ACA-EXE-DE-H2-001-R06.pdf</v>
      </c>
    </row>
    <row r="556" spans="1:13" hidden="1" x14ac:dyDescent="0.3">
      <c r="A556" s="6" t="s">
        <v>3318</v>
      </c>
      <c r="B556" s="6" t="str">
        <f>VLOOKUP(LD_01[[#This Row],[DOCUMENTO]],_xlfn.SORTBY(ARQUIVOS_RECEBIDOS!$E$2:$F$5010,ARQUIVOS_RECEBIDOS!$F$2:$F$5010,-1),2,)</f>
        <v>R07</v>
      </c>
      <c r="C556" s="15" t="s">
        <v>5987</v>
      </c>
      <c r="D556" s="6" t="s">
        <v>4317</v>
      </c>
      <c r="E556" s="8" t="s">
        <v>4076</v>
      </c>
      <c r="F556" s="8" t="s">
        <v>4142</v>
      </c>
      <c r="G556" s="6" t="str">
        <f>_xlfn.XLOOKUP(LD_01[[#This Row],[DISCIPLINA]],'CLASSES DE PROJETOS'!$F$3:$F$37,'CLASSES DE PROJETOS'!$C$3:$C$37)</f>
        <v>DR</v>
      </c>
      <c r="H556" t="str">
        <f>_xlfn.TEXTJOIN("/",TRUE,"MSV-163MS-"&amp;LD_01[[#This Row],[TRECHO]],_xlfn.XLOOKUP(LD_01[[#This Row],[SIGLA]],'CLASSES DE PROJETOS'!$C$3:$C$37,'CLASSES DE PROJETOS'!$E$3:$E$37))</f>
        <v>MSV-163MS-535-545/10.DR</v>
      </c>
      <c r="I556" s="6" t="str" cm="1">
        <f t="array" ref="I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J556" s="6" t="str" cm="1">
        <f t="array" ref="J556">_xlfn.TEXTJOIN(", ",TRUE,_xlfn.UNIQUE(_xlfn._xlws.FILTER(ARQUIVOS_RECEBIDOS!$F$2:$F$5010,ARQUIVOS_RECEBIDOS!$E$2:$E$5010=LD_01[[#This Row],[DOCUMENTO]])))</f>
        <v>R07</v>
      </c>
      <c r="K556" s="12" cm="1">
        <f t="array" ref="K556">_xlfn.UNIQUE(_xlfn._xlws.FILTER(ARQUIVOS[DATA RECEBIMENTO],(ARQUIVOS[DOCUMENTO]=LD_01[[#This Row],[DOCUMENTO]])*(ARQUIVOS[REVISÃO]=LD_01[[#This Row],[REVISÃO]])))</f>
        <v>45838</v>
      </c>
      <c r="L5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M556" s="6" t="str">
        <f>LD_01[[#This Row],[PASTA]]&amp;"/"&amp;LD_01[[#This Row],[ARQUIVO]]</f>
        <v>MSV-163MS-535-545/10.DR/MSV-163MS-535-545-ACA-EXE-DE-H2-002-R07.pdf</v>
      </c>
    </row>
    <row r="557" spans="1:13" hidden="1" x14ac:dyDescent="0.3">
      <c r="A557" s="6" t="s">
        <v>3319</v>
      </c>
      <c r="B557" s="6" t="str">
        <f>VLOOKUP(LD_01[[#This Row],[DOCUMENTO]],_xlfn.SORTBY(ARQUIVOS_RECEBIDOS!$E$2:$F$5010,ARQUIVOS_RECEBIDOS!$F$2:$F$5010,-1),2,)</f>
        <v>R06</v>
      </c>
      <c r="C557" s="15" t="s">
        <v>5987</v>
      </c>
      <c r="D557" s="6" t="s">
        <v>4317</v>
      </c>
      <c r="E557" s="8" t="s">
        <v>4076</v>
      </c>
      <c r="F557" s="8" t="s">
        <v>4142</v>
      </c>
      <c r="G557" s="6" t="str">
        <f>_xlfn.XLOOKUP(LD_01[[#This Row],[DISCIPLINA]],'CLASSES DE PROJETOS'!$F$3:$F$37,'CLASSES DE PROJETOS'!$C$3:$C$37)</f>
        <v>DR</v>
      </c>
      <c r="H557" t="str">
        <f>_xlfn.TEXTJOIN("/",TRUE,"MSV-163MS-"&amp;LD_01[[#This Row],[TRECHO]],_xlfn.XLOOKUP(LD_01[[#This Row],[SIGLA]],'CLASSES DE PROJETOS'!$C$3:$C$37,'CLASSES DE PROJETOS'!$E$3:$E$37))</f>
        <v>MSV-163MS-535-545/10.DR</v>
      </c>
      <c r="I557" s="6" t="str" cm="1">
        <f t="array" ref="I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J557" s="6" t="str" cm="1">
        <f t="array" ref="J557">_xlfn.TEXTJOIN(", ",TRUE,_xlfn.UNIQUE(_xlfn._xlws.FILTER(ARQUIVOS_RECEBIDOS!$F$2:$F$5010,ARQUIVOS_RECEBIDOS!$E$2:$E$5010=LD_01[[#This Row],[DOCUMENTO]])))</f>
        <v>R06</v>
      </c>
      <c r="K557" s="12" cm="1">
        <f t="array" ref="K557">_xlfn.UNIQUE(_xlfn._xlws.FILTER(ARQUIVOS[DATA RECEBIMENTO],(ARQUIVOS[DOCUMENTO]=LD_01[[#This Row],[DOCUMENTO]])*(ARQUIVOS[REVISÃO]=LD_01[[#This Row],[REVISÃO]])))</f>
        <v>45838</v>
      </c>
      <c r="L5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M557" s="6" t="str">
        <f>LD_01[[#This Row],[PASTA]]&amp;"/"&amp;LD_01[[#This Row],[ARQUIVO]]</f>
        <v>MSV-163MS-535-545/10.DR/MSV-163MS-535-545-ACA-EXE-DE-H2-003-R06.pdf</v>
      </c>
    </row>
    <row r="558" spans="1:13" hidden="1" x14ac:dyDescent="0.3">
      <c r="A558" s="6" t="s">
        <v>3320</v>
      </c>
      <c r="B558" s="6" t="str">
        <f>VLOOKUP(LD_01[[#This Row],[DOCUMENTO]],_xlfn.SORTBY(ARQUIVOS_RECEBIDOS!$E$2:$F$5010,ARQUIVOS_RECEBIDOS!$F$2:$F$5010,-1),2,)</f>
        <v>R04</v>
      </c>
      <c r="C558" s="15" t="s">
        <v>5987</v>
      </c>
      <c r="D558" s="6" t="s">
        <v>4317</v>
      </c>
      <c r="E558" s="8" t="s">
        <v>4076</v>
      </c>
      <c r="F558" s="8" t="s">
        <v>4142</v>
      </c>
      <c r="G558" s="6" t="str">
        <f>_xlfn.XLOOKUP(LD_01[[#This Row],[DISCIPLINA]],'CLASSES DE PROJETOS'!$F$3:$F$37,'CLASSES DE PROJETOS'!$C$3:$C$37)</f>
        <v>DR</v>
      </c>
      <c r="H558" t="str">
        <f>_xlfn.TEXTJOIN("/",TRUE,"MSV-163MS-"&amp;LD_01[[#This Row],[TRECHO]],_xlfn.XLOOKUP(LD_01[[#This Row],[SIGLA]],'CLASSES DE PROJETOS'!$C$3:$C$37,'CLASSES DE PROJETOS'!$E$3:$E$37))</f>
        <v>MSV-163MS-535-545/10.DR</v>
      </c>
      <c r="I558" s="6" t="str" cm="1">
        <f t="array" ref="I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J558" s="6" t="str" cm="1">
        <f t="array" ref="J558">_xlfn.TEXTJOIN(", ",TRUE,_xlfn.UNIQUE(_xlfn._xlws.FILTER(ARQUIVOS_RECEBIDOS!$F$2:$F$5010,ARQUIVOS_RECEBIDOS!$E$2:$E$5010=LD_01[[#This Row],[DOCUMENTO]])))</f>
        <v>R04</v>
      </c>
      <c r="K558" s="12" cm="1">
        <f t="array" ref="K558">_xlfn.UNIQUE(_xlfn._xlws.FILTER(ARQUIVOS[DATA RECEBIMENTO],(ARQUIVOS[DOCUMENTO]=LD_01[[#This Row],[DOCUMENTO]])*(ARQUIVOS[REVISÃO]=LD_01[[#This Row],[REVISÃO]])))</f>
        <v>45838</v>
      </c>
      <c r="L5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M558" s="6" t="str">
        <f>LD_01[[#This Row],[PASTA]]&amp;"/"&amp;LD_01[[#This Row],[ARQUIVO]]</f>
        <v>MSV-163MS-535-545/10.DR/MSV-163MS-535-545-ACA-EXE-DE-H2-004-R04.pdf</v>
      </c>
    </row>
    <row r="559" spans="1:13" hidden="1" x14ac:dyDescent="0.3">
      <c r="A559" s="6" t="s">
        <v>3321</v>
      </c>
      <c r="B559" s="6" t="str">
        <f>VLOOKUP(LD_01[[#This Row],[DOCUMENTO]],_xlfn.SORTBY(ARQUIVOS_RECEBIDOS!$E$2:$F$5010,ARQUIVOS_RECEBIDOS!$F$2:$F$5010,-1),2,)</f>
        <v>R08</v>
      </c>
      <c r="C559" s="15" t="s">
        <v>5987</v>
      </c>
      <c r="D559" s="6" t="s">
        <v>4317</v>
      </c>
      <c r="E559" s="8" t="s">
        <v>4076</v>
      </c>
      <c r="F559" s="8" t="s">
        <v>4142</v>
      </c>
      <c r="G559" s="6" t="str">
        <f>_xlfn.XLOOKUP(LD_01[[#This Row],[DISCIPLINA]],'CLASSES DE PROJETOS'!$F$3:$F$37,'CLASSES DE PROJETOS'!$C$3:$C$37)</f>
        <v>DR</v>
      </c>
      <c r="H559" t="str">
        <f>_xlfn.TEXTJOIN("/",TRUE,"MSV-163MS-"&amp;LD_01[[#This Row],[TRECHO]],_xlfn.XLOOKUP(LD_01[[#This Row],[SIGLA]],'CLASSES DE PROJETOS'!$C$3:$C$37,'CLASSES DE PROJETOS'!$E$3:$E$37))</f>
        <v>MSV-163MS-535-545/10.DR</v>
      </c>
      <c r="I559" s="6" t="str" cm="1">
        <f t="array" ref="I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J559" s="6" t="str" cm="1">
        <f t="array" ref="J559">_xlfn.TEXTJOIN(", ",TRUE,_xlfn.UNIQUE(_xlfn._xlws.FILTER(ARQUIVOS_RECEBIDOS!$F$2:$F$5010,ARQUIVOS_RECEBIDOS!$E$2:$E$5010=LD_01[[#This Row],[DOCUMENTO]])))</f>
        <v>R07, R08</v>
      </c>
      <c r="K559" s="12" cm="1">
        <f t="array" ref="K559">_xlfn.UNIQUE(_xlfn._xlws.FILTER(ARQUIVOS[DATA RECEBIMENTO],(ARQUIVOS[DOCUMENTO]=LD_01[[#This Row],[DOCUMENTO]])*(ARQUIVOS[REVISÃO]=LD_01[[#This Row],[REVISÃO]])))</f>
        <v>46091</v>
      </c>
      <c r="L5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M559" s="6" t="str">
        <f>LD_01[[#This Row],[PASTA]]&amp;"/"&amp;LD_01[[#This Row],[ARQUIVO]]</f>
        <v>MSV-163MS-535-545/10.DR/MSV-163MS-535-545-ACA-EXE-DE-H2-005-R08.pdf</v>
      </c>
    </row>
    <row r="560" spans="1:13" hidden="1" x14ac:dyDescent="0.3">
      <c r="A560" s="6" t="s">
        <v>3322</v>
      </c>
      <c r="B560" s="6" t="str">
        <f>VLOOKUP(LD_01[[#This Row],[DOCUMENTO]],_xlfn.SORTBY(ARQUIVOS_RECEBIDOS!$E$2:$F$5010,ARQUIVOS_RECEBIDOS!$F$2:$F$5010,-1),2,)</f>
        <v>R08</v>
      </c>
      <c r="C560" s="15" t="s">
        <v>5987</v>
      </c>
      <c r="D560" s="6" t="s">
        <v>4317</v>
      </c>
      <c r="E560" s="8" t="s">
        <v>4076</v>
      </c>
      <c r="F560" s="8" t="s">
        <v>4142</v>
      </c>
      <c r="G560" s="6" t="str">
        <f>_xlfn.XLOOKUP(LD_01[[#This Row],[DISCIPLINA]],'CLASSES DE PROJETOS'!$F$3:$F$37,'CLASSES DE PROJETOS'!$C$3:$C$37)</f>
        <v>DR</v>
      </c>
      <c r="H560" t="str">
        <f>_xlfn.TEXTJOIN("/",TRUE,"MSV-163MS-"&amp;LD_01[[#This Row],[TRECHO]],_xlfn.XLOOKUP(LD_01[[#This Row],[SIGLA]],'CLASSES DE PROJETOS'!$C$3:$C$37,'CLASSES DE PROJETOS'!$E$3:$E$37))</f>
        <v>MSV-163MS-535-545/10.DR</v>
      </c>
      <c r="I560" s="6" t="str" cm="1">
        <f t="array" ref="I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J560" s="6" t="str" cm="1">
        <f t="array" ref="J560">_xlfn.TEXTJOIN(", ",TRUE,_xlfn.UNIQUE(_xlfn._xlws.FILTER(ARQUIVOS_RECEBIDOS!$F$2:$F$5010,ARQUIVOS_RECEBIDOS!$E$2:$E$5010=LD_01[[#This Row],[DOCUMENTO]])))</f>
        <v>R07, R08</v>
      </c>
      <c r="K560" s="12" cm="1">
        <f t="array" ref="K560">_xlfn.UNIQUE(_xlfn._xlws.FILTER(ARQUIVOS[DATA RECEBIMENTO],(ARQUIVOS[DOCUMENTO]=LD_01[[#This Row],[DOCUMENTO]])*(ARQUIVOS[REVISÃO]=LD_01[[#This Row],[REVISÃO]])))</f>
        <v>46001</v>
      </c>
      <c r="L5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M560" s="6" t="str">
        <f>LD_01[[#This Row],[PASTA]]&amp;"/"&amp;LD_01[[#This Row],[ARQUIVO]]</f>
        <v>MSV-163MS-535-545/10.DR/MSV-163MS-535-545-ACA-EXE-DE-H2-006-R08.pdf</v>
      </c>
    </row>
    <row r="561" spans="1:13" hidden="1" x14ac:dyDescent="0.3">
      <c r="A561" s="6" t="s">
        <v>3323</v>
      </c>
      <c r="B561" s="6" t="str">
        <f>VLOOKUP(LD_01[[#This Row],[DOCUMENTO]],_xlfn.SORTBY(ARQUIVOS_RECEBIDOS!$E$2:$F$5010,ARQUIVOS_RECEBIDOS!$F$2:$F$5010,-1),2,)</f>
        <v>R06</v>
      </c>
      <c r="C561" s="15" t="s">
        <v>5987</v>
      </c>
      <c r="D561" s="6" t="s">
        <v>4317</v>
      </c>
      <c r="E561" s="8" t="s">
        <v>4076</v>
      </c>
      <c r="F561" s="8" t="s">
        <v>4142</v>
      </c>
      <c r="G561" s="6" t="str">
        <f>_xlfn.XLOOKUP(LD_01[[#This Row],[DISCIPLINA]],'CLASSES DE PROJETOS'!$F$3:$F$37,'CLASSES DE PROJETOS'!$C$3:$C$37)</f>
        <v>DR</v>
      </c>
      <c r="H561" t="str">
        <f>_xlfn.TEXTJOIN("/",TRUE,"MSV-163MS-"&amp;LD_01[[#This Row],[TRECHO]],_xlfn.XLOOKUP(LD_01[[#This Row],[SIGLA]],'CLASSES DE PROJETOS'!$C$3:$C$37,'CLASSES DE PROJETOS'!$E$3:$E$37))</f>
        <v>MSV-163MS-535-545/10.DR</v>
      </c>
      <c r="I561" s="6" t="str" cm="1">
        <f t="array" ref="I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J561" s="6" t="str" cm="1">
        <f t="array" ref="J561">_xlfn.TEXTJOIN(", ",TRUE,_xlfn.UNIQUE(_xlfn._xlws.FILTER(ARQUIVOS_RECEBIDOS!$F$2:$F$5010,ARQUIVOS_RECEBIDOS!$E$2:$E$5010=LD_01[[#This Row],[DOCUMENTO]])))</f>
        <v>R05, R06</v>
      </c>
      <c r="K561" s="12" cm="1">
        <f t="array" ref="K561">_xlfn.UNIQUE(_xlfn._xlws.FILTER(ARQUIVOS[DATA RECEBIMENTO],(ARQUIVOS[DOCUMENTO]=LD_01[[#This Row],[DOCUMENTO]])*(ARQUIVOS[REVISÃO]=LD_01[[#This Row],[REVISÃO]])))</f>
        <v>46001</v>
      </c>
      <c r="L5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M561" s="6" t="str">
        <f>LD_01[[#This Row],[PASTA]]&amp;"/"&amp;LD_01[[#This Row],[ARQUIVO]]</f>
        <v>MSV-163MS-535-545/10.DR/MSV-163MS-535-545-ACA-EXE-DE-H2-007-R06.pdf</v>
      </c>
    </row>
    <row r="562" spans="1:13" hidden="1" x14ac:dyDescent="0.3">
      <c r="A562" s="6" t="s">
        <v>3324</v>
      </c>
      <c r="B562" s="6" t="str">
        <f>VLOOKUP(LD_01[[#This Row],[DOCUMENTO]],_xlfn.SORTBY(ARQUIVOS_RECEBIDOS!$E$2:$F$5010,ARQUIVOS_RECEBIDOS!$F$2:$F$5010,-1),2,)</f>
        <v>R07</v>
      </c>
      <c r="C562" s="15" t="s">
        <v>5987</v>
      </c>
      <c r="D562" s="6" t="s">
        <v>4317</v>
      </c>
      <c r="E562" s="8" t="s">
        <v>4076</v>
      </c>
      <c r="F562" s="8" t="s">
        <v>4142</v>
      </c>
      <c r="G562" s="6" t="str">
        <f>_xlfn.XLOOKUP(LD_01[[#This Row],[DISCIPLINA]],'CLASSES DE PROJETOS'!$F$3:$F$37,'CLASSES DE PROJETOS'!$C$3:$C$37)</f>
        <v>DR</v>
      </c>
      <c r="H562" t="str">
        <f>_xlfn.TEXTJOIN("/",TRUE,"MSV-163MS-"&amp;LD_01[[#This Row],[TRECHO]],_xlfn.XLOOKUP(LD_01[[#This Row],[SIGLA]],'CLASSES DE PROJETOS'!$C$3:$C$37,'CLASSES DE PROJETOS'!$E$3:$E$37))</f>
        <v>MSV-163MS-535-545/10.DR</v>
      </c>
      <c r="I562" s="6" t="str" cm="1">
        <f t="array" ref="I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J562" s="6" t="str" cm="1">
        <f t="array" ref="J562">_xlfn.TEXTJOIN(", ",TRUE,_xlfn.UNIQUE(_xlfn._xlws.FILTER(ARQUIVOS_RECEBIDOS!$F$2:$F$5010,ARQUIVOS_RECEBIDOS!$E$2:$E$5010=LD_01[[#This Row],[DOCUMENTO]])))</f>
        <v>R07</v>
      </c>
      <c r="K562" s="12" cm="1">
        <f t="array" ref="K562">_xlfn.UNIQUE(_xlfn._xlws.FILTER(ARQUIVOS[DATA RECEBIMENTO],(ARQUIVOS[DOCUMENTO]=LD_01[[#This Row],[DOCUMENTO]])*(ARQUIVOS[REVISÃO]=LD_01[[#This Row],[REVISÃO]])))</f>
        <v>45838</v>
      </c>
      <c r="L5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M562" s="6" t="str">
        <f>LD_01[[#This Row],[PASTA]]&amp;"/"&amp;LD_01[[#This Row],[ARQUIVO]]</f>
        <v>MSV-163MS-535-545/10.DR/MSV-163MS-535-545-ACA-EXE-DE-H2-008-R07.pdf</v>
      </c>
    </row>
    <row r="563" spans="1:13" hidden="1" x14ac:dyDescent="0.3">
      <c r="A563" s="6" t="s">
        <v>3325</v>
      </c>
      <c r="B563" s="6" t="str">
        <f>VLOOKUP(LD_01[[#This Row],[DOCUMENTO]],_xlfn.SORTBY(ARQUIVOS_RECEBIDOS!$E$2:$F$5010,ARQUIVOS_RECEBIDOS!$F$2:$F$5010,-1),2,)</f>
        <v>R08</v>
      </c>
      <c r="C563" s="15" t="s">
        <v>5987</v>
      </c>
      <c r="D563" s="6" t="s">
        <v>4317</v>
      </c>
      <c r="E563" s="8" t="s">
        <v>4076</v>
      </c>
      <c r="F563" s="8" t="s">
        <v>4142</v>
      </c>
      <c r="G563" s="6" t="str">
        <f>_xlfn.XLOOKUP(LD_01[[#This Row],[DISCIPLINA]],'CLASSES DE PROJETOS'!$F$3:$F$37,'CLASSES DE PROJETOS'!$C$3:$C$37)</f>
        <v>DR</v>
      </c>
      <c r="H563" t="str">
        <f>_xlfn.TEXTJOIN("/",TRUE,"MSV-163MS-"&amp;LD_01[[#This Row],[TRECHO]],_xlfn.XLOOKUP(LD_01[[#This Row],[SIGLA]],'CLASSES DE PROJETOS'!$C$3:$C$37,'CLASSES DE PROJETOS'!$E$3:$E$37))</f>
        <v>MSV-163MS-535-545/10.DR</v>
      </c>
      <c r="I563" s="6" t="str" cm="1">
        <f t="array" ref="I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J563" s="6" t="str" cm="1">
        <f t="array" ref="J563">_xlfn.TEXTJOIN(", ",TRUE,_xlfn.UNIQUE(_xlfn._xlws.FILTER(ARQUIVOS_RECEBIDOS!$F$2:$F$5010,ARQUIVOS_RECEBIDOS!$E$2:$E$5010=LD_01[[#This Row],[DOCUMENTO]])))</f>
        <v>R08</v>
      </c>
      <c r="K563" s="12" cm="1">
        <f t="array" ref="K563">_xlfn.UNIQUE(_xlfn._xlws.FILTER(ARQUIVOS[DATA RECEBIMENTO],(ARQUIVOS[DOCUMENTO]=LD_01[[#This Row],[DOCUMENTO]])*(ARQUIVOS[REVISÃO]=LD_01[[#This Row],[REVISÃO]])))</f>
        <v>45838</v>
      </c>
      <c r="L5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M563" s="6" t="str">
        <f>LD_01[[#This Row],[PASTA]]&amp;"/"&amp;LD_01[[#This Row],[ARQUIVO]]</f>
        <v>MSV-163MS-535-545/10.DR/MSV-163MS-535-545-ACA-EXE-DE-H2-009-R08.pdf</v>
      </c>
    </row>
    <row r="564" spans="1:13" hidden="1" x14ac:dyDescent="0.3">
      <c r="A564" s="6" t="s">
        <v>3326</v>
      </c>
      <c r="B564" s="6" t="str">
        <f>VLOOKUP(LD_01[[#This Row],[DOCUMENTO]],_xlfn.SORTBY(ARQUIVOS_RECEBIDOS!$E$2:$F$5010,ARQUIVOS_RECEBIDOS!$F$2:$F$5010,-1),2,)</f>
        <v>R04</v>
      </c>
      <c r="C564" s="15" t="s">
        <v>5987</v>
      </c>
      <c r="D564" s="6" t="s">
        <v>4317</v>
      </c>
      <c r="E564" s="8" t="s">
        <v>4076</v>
      </c>
      <c r="F564" s="8" t="s">
        <v>4142</v>
      </c>
      <c r="G564" s="6" t="str">
        <f>_xlfn.XLOOKUP(LD_01[[#This Row],[DISCIPLINA]],'CLASSES DE PROJETOS'!$F$3:$F$37,'CLASSES DE PROJETOS'!$C$3:$C$37)</f>
        <v>DR</v>
      </c>
      <c r="H564" t="str">
        <f>_xlfn.TEXTJOIN("/",TRUE,"MSV-163MS-"&amp;LD_01[[#This Row],[TRECHO]],_xlfn.XLOOKUP(LD_01[[#This Row],[SIGLA]],'CLASSES DE PROJETOS'!$C$3:$C$37,'CLASSES DE PROJETOS'!$E$3:$E$37))</f>
        <v>MSV-163MS-535-545/10.DR</v>
      </c>
      <c r="I564" s="6" t="str" cm="1">
        <f t="array" ref="I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J564" s="6" t="str" cm="1">
        <f t="array" ref="J564">_xlfn.TEXTJOIN(", ",TRUE,_xlfn.UNIQUE(_xlfn._xlws.FILTER(ARQUIVOS_RECEBIDOS!$F$2:$F$5010,ARQUIVOS_RECEBIDOS!$E$2:$E$5010=LD_01[[#This Row],[DOCUMENTO]])))</f>
        <v>R04</v>
      </c>
      <c r="K564" s="12" cm="1">
        <f t="array" ref="K564">_xlfn.UNIQUE(_xlfn._xlws.FILTER(ARQUIVOS[DATA RECEBIMENTO],(ARQUIVOS[DOCUMENTO]=LD_01[[#This Row],[DOCUMENTO]])*(ARQUIVOS[REVISÃO]=LD_01[[#This Row],[REVISÃO]])))</f>
        <v>45838</v>
      </c>
      <c r="L5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M564" s="6" t="str">
        <f>LD_01[[#This Row],[PASTA]]&amp;"/"&amp;LD_01[[#This Row],[ARQUIVO]]</f>
        <v>MSV-163MS-535-545/10.DR/MSV-163MS-535-545-ACA-EXE-DE-H2-010-R04.pdf</v>
      </c>
    </row>
    <row r="565" spans="1:13" hidden="1" x14ac:dyDescent="0.3">
      <c r="A565" s="6" t="s">
        <v>3327</v>
      </c>
      <c r="B565" s="6" t="str">
        <f>VLOOKUP(LD_01[[#This Row],[DOCUMENTO]],_xlfn.SORTBY(ARQUIVOS_RECEBIDOS!$E$2:$F$5010,ARQUIVOS_RECEBIDOS!$F$2:$F$5010,-1),2,)</f>
        <v>R08</v>
      </c>
      <c r="C565" s="15" t="s">
        <v>5987</v>
      </c>
      <c r="D565" s="6" t="s">
        <v>4317</v>
      </c>
      <c r="E565" s="8" t="s">
        <v>4076</v>
      </c>
      <c r="F565" s="8" t="s">
        <v>4142</v>
      </c>
      <c r="G565" s="6" t="str">
        <f>_xlfn.XLOOKUP(LD_01[[#This Row],[DISCIPLINA]],'CLASSES DE PROJETOS'!$F$3:$F$37,'CLASSES DE PROJETOS'!$C$3:$C$37)</f>
        <v>DR</v>
      </c>
      <c r="H565" t="str">
        <f>_xlfn.TEXTJOIN("/",TRUE,"MSV-163MS-"&amp;LD_01[[#This Row],[TRECHO]],_xlfn.XLOOKUP(LD_01[[#This Row],[SIGLA]],'CLASSES DE PROJETOS'!$C$3:$C$37,'CLASSES DE PROJETOS'!$E$3:$E$37))</f>
        <v>MSV-163MS-535-545/10.DR</v>
      </c>
      <c r="I565" s="6" t="str" cm="1">
        <f t="array" ref="I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J565" s="6" t="str" cm="1">
        <f t="array" ref="J565">_xlfn.TEXTJOIN(", ",TRUE,_xlfn.UNIQUE(_xlfn._xlws.FILTER(ARQUIVOS_RECEBIDOS!$F$2:$F$5010,ARQUIVOS_RECEBIDOS!$E$2:$E$5010=LD_01[[#This Row],[DOCUMENTO]])))</f>
        <v>R08</v>
      </c>
      <c r="K565" s="12" cm="1">
        <f t="array" ref="K565">_xlfn.UNIQUE(_xlfn._xlws.FILTER(ARQUIVOS[DATA RECEBIMENTO],(ARQUIVOS[DOCUMENTO]=LD_01[[#This Row],[DOCUMENTO]])*(ARQUIVOS[REVISÃO]=LD_01[[#This Row],[REVISÃO]])))</f>
        <v>45838</v>
      </c>
      <c r="L5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M565" s="6" t="str">
        <f>LD_01[[#This Row],[PASTA]]&amp;"/"&amp;LD_01[[#This Row],[ARQUIVO]]</f>
        <v>MSV-163MS-535-545/10.DR/MSV-163MS-535-545-ACA-EXE-DE-H2-011-R08.pdf</v>
      </c>
    </row>
    <row r="566" spans="1:13" hidden="1" x14ac:dyDescent="0.3">
      <c r="A566" s="6" t="s">
        <v>3328</v>
      </c>
      <c r="B566" s="6" t="str">
        <f>VLOOKUP(LD_01[[#This Row],[DOCUMENTO]],_xlfn.SORTBY(ARQUIVOS_RECEBIDOS!$E$2:$F$5010,ARQUIVOS_RECEBIDOS!$F$2:$F$5010,-1),2,)</f>
        <v>R05</v>
      </c>
      <c r="C566" s="15" t="s">
        <v>5987</v>
      </c>
      <c r="D566" s="6" t="s">
        <v>4317</v>
      </c>
      <c r="E566" s="8" t="s">
        <v>4076</v>
      </c>
      <c r="F566" s="8" t="s">
        <v>4142</v>
      </c>
      <c r="G566" s="6" t="str">
        <f>_xlfn.XLOOKUP(LD_01[[#This Row],[DISCIPLINA]],'CLASSES DE PROJETOS'!$F$3:$F$37,'CLASSES DE PROJETOS'!$C$3:$C$37)</f>
        <v>DR</v>
      </c>
      <c r="H566" t="str">
        <f>_xlfn.TEXTJOIN("/",TRUE,"MSV-163MS-"&amp;LD_01[[#This Row],[TRECHO]],_xlfn.XLOOKUP(LD_01[[#This Row],[SIGLA]],'CLASSES DE PROJETOS'!$C$3:$C$37,'CLASSES DE PROJETOS'!$E$3:$E$37))</f>
        <v>MSV-163MS-535-545/10.DR</v>
      </c>
      <c r="I566" s="6" t="str" cm="1">
        <f t="array" ref="I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J566" s="6" t="str" cm="1">
        <f t="array" ref="J566">_xlfn.TEXTJOIN(", ",TRUE,_xlfn.UNIQUE(_xlfn._xlws.FILTER(ARQUIVOS_RECEBIDOS!$F$2:$F$5010,ARQUIVOS_RECEBIDOS!$E$2:$E$5010=LD_01[[#This Row],[DOCUMENTO]])))</f>
        <v>R05</v>
      </c>
      <c r="K566" s="12" cm="1">
        <f t="array" ref="K566">_xlfn.UNIQUE(_xlfn._xlws.FILTER(ARQUIVOS[DATA RECEBIMENTO],(ARQUIVOS[DOCUMENTO]=LD_01[[#This Row],[DOCUMENTO]])*(ARQUIVOS[REVISÃO]=LD_01[[#This Row],[REVISÃO]])))</f>
        <v>45838</v>
      </c>
      <c r="L5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M566" s="6" t="str">
        <f>LD_01[[#This Row],[PASTA]]&amp;"/"&amp;LD_01[[#This Row],[ARQUIVO]]</f>
        <v>MSV-163MS-535-545/10.DR/MSV-163MS-535-545-ACA-EXE-DE-H2-012-R05.pdf</v>
      </c>
    </row>
    <row r="567" spans="1:13" hidden="1" x14ac:dyDescent="0.3">
      <c r="A567" s="6" t="s">
        <v>3329</v>
      </c>
      <c r="B567" s="6" t="str">
        <f>VLOOKUP(LD_01[[#This Row],[DOCUMENTO]],_xlfn.SORTBY(ARQUIVOS_RECEBIDOS!$E$2:$F$5010,ARQUIVOS_RECEBIDOS!$F$2:$F$5010,-1),2,)</f>
        <v>R04</v>
      </c>
      <c r="C567" s="15" t="s">
        <v>5987</v>
      </c>
      <c r="D567" s="6" t="s">
        <v>4317</v>
      </c>
      <c r="E567" s="8" t="s">
        <v>4076</v>
      </c>
      <c r="F567" s="8" t="s">
        <v>4142</v>
      </c>
      <c r="G567" s="6" t="str">
        <f>_xlfn.XLOOKUP(LD_01[[#This Row],[DISCIPLINA]],'CLASSES DE PROJETOS'!$F$3:$F$37,'CLASSES DE PROJETOS'!$C$3:$C$37)</f>
        <v>DR</v>
      </c>
      <c r="H567" t="str">
        <f>_xlfn.TEXTJOIN("/",TRUE,"MSV-163MS-"&amp;LD_01[[#This Row],[TRECHO]],_xlfn.XLOOKUP(LD_01[[#This Row],[SIGLA]],'CLASSES DE PROJETOS'!$C$3:$C$37,'CLASSES DE PROJETOS'!$E$3:$E$37))</f>
        <v>MSV-163MS-535-545/10.DR</v>
      </c>
      <c r="I567" s="6" t="str" cm="1">
        <f t="array" ref="I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J567" s="6" t="str" cm="1">
        <f t="array" ref="J567">_xlfn.TEXTJOIN(", ",TRUE,_xlfn.UNIQUE(_xlfn._xlws.FILTER(ARQUIVOS_RECEBIDOS!$F$2:$F$5010,ARQUIVOS_RECEBIDOS!$E$2:$E$5010=LD_01[[#This Row],[DOCUMENTO]])))</f>
        <v>R04</v>
      </c>
      <c r="K567" s="12" cm="1">
        <f t="array" ref="K567">_xlfn.UNIQUE(_xlfn._xlws.FILTER(ARQUIVOS[DATA RECEBIMENTO],(ARQUIVOS[DOCUMENTO]=LD_01[[#This Row],[DOCUMENTO]])*(ARQUIVOS[REVISÃO]=LD_01[[#This Row],[REVISÃO]])))</f>
        <v>45838</v>
      </c>
      <c r="L5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M567" s="6" t="str">
        <f>LD_01[[#This Row],[PASTA]]&amp;"/"&amp;LD_01[[#This Row],[ARQUIVO]]</f>
        <v>MSV-163MS-535-545/10.DR/MSV-163MS-535-545-ACA-EXE-DE-H2-013-R04.pdf</v>
      </c>
    </row>
    <row r="568" spans="1:13" hidden="1" x14ac:dyDescent="0.3">
      <c r="A568" s="6" t="s">
        <v>3330</v>
      </c>
      <c r="B568" s="6" t="str">
        <f>VLOOKUP(LD_01[[#This Row],[DOCUMENTO]],_xlfn.SORTBY(ARQUIVOS_RECEBIDOS!$E$2:$F$5010,ARQUIVOS_RECEBIDOS!$F$2:$F$5010,-1),2,)</f>
        <v>R05</v>
      </c>
      <c r="C568" s="15" t="s">
        <v>5987</v>
      </c>
      <c r="D568" s="6" t="s">
        <v>4317</v>
      </c>
      <c r="E568" s="8" t="s">
        <v>4076</v>
      </c>
      <c r="F568" s="8" t="s">
        <v>4142</v>
      </c>
      <c r="G568" s="6" t="str">
        <f>_xlfn.XLOOKUP(LD_01[[#This Row],[DISCIPLINA]],'CLASSES DE PROJETOS'!$F$3:$F$37,'CLASSES DE PROJETOS'!$C$3:$C$37)</f>
        <v>DR</v>
      </c>
      <c r="H568" t="str">
        <f>_xlfn.TEXTJOIN("/",TRUE,"MSV-163MS-"&amp;LD_01[[#This Row],[TRECHO]],_xlfn.XLOOKUP(LD_01[[#This Row],[SIGLA]],'CLASSES DE PROJETOS'!$C$3:$C$37,'CLASSES DE PROJETOS'!$E$3:$E$37))</f>
        <v>MSV-163MS-535-545/10.DR</v>
      </c>
      <c r="I568" s="6" t="str" cm="1">
        <f t="array" ref="I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J568" s="6" t="str" cm="1">
        <f t="array" ref="J568">_xlfn.TEXTJOIN(", ",TRUE,_xlfn.UNIQUE(_xlfn._xlws.FILTER(ARQUIVOS_RECEBIDOS!$F$2:$F$5010,ARQUIVOS_RECEBIDOS!$E$2:$E$5010=LD_01[[#This Row],[DOCUMENTO]])))</f>
        <v>R05</v>
      </c>
      <c r="K568" s="12" cm="1">
        <f t="array" ref="K568">_xlfn.UNIQUE(_xlfn._xlws.FILTER(ARQUIVOS[DATA RECEBIMENTO],(ARQUIVOS[DOCUMENTO]=LD_01[[#This Row],[DOCUMENTO]])*(ARQUIVOS[REVISÃO]=LD_01[[#This Row],[REVISÃO]])))</f>
        <v>45838</v>
      </c>
      <c r="L5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M568" s="6" t="str">
        <f>LD_01[[#This Row],[PASTA]]&amp;"/"&amp;LD_01[[#This Row],[ARQUIVO]]</f>
        <v>MSV-163MS-535-545/10.DR/MSV-163MS-535-545-ACA-EXE-DE-H2-014-R05.pdf</v>
      </c>
    </row>
    <row r="569" spans="1:13" hidden="1" x14ac:dyDescent="0.3">
      <c r="A569" s="6" t="s">
        <v>3331</v>
      </c>
      <c r="B569" s="6" t="str">
        <f>VLOOKUP(LD_01[[#This Row],[DOCUMENTO]],_xlfn.SORTBY(ARQUIVOS_RECEBIDOS!$E$2:$F$5010,ARQUIVOS_RECEBIDOS!$F$2:$F$5010,-1),2,)</f>
        <v>R04</v>
      </c>
      <c r="C569" s="15" t="s">
        <v>5987</v>
      </c>
      <c r="D569" s="6" t="s">
        <v>4317</v>
      </c>
      <c r="E569" s="8" t="s">
        <v>4076</v>
      </c>
      <c r="F569" s="8" t="s">
        <v>4142</v>
      </c>
      <c r="G569" s="6" t="str">
        <f>_xlfn.XLOOKUP(LD_01[[#This Row],[DISCIPLINA]],'CLASSES DE PROJETOS'!$F$3:$F$37,'CLASSES DE PROJETOS'!$C$3:$C$37)</f>
        <v>DR</v>
      </c>
      <c r="H569" t="str">
        <f>_xlfn.TEXTJOIN("/",TRUE,"MSV-163MS-"&amp;LD_01[[#This Row],[TRECHO]],_xlfn.XLOOKUP(LD_01[[#This Row],[SIGLA]],'CLASSES DE PROJETOS'!$C$3:$C$37,'CLASSES DE PROJETOS'!$E$3:$E$37))</f>
        <v>MSV-163MS-535-545/10.DR</v>
      </c>
      <c r="I569" s="6" t="str" cm="1">
        <f t="array" ref="I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J569" s="6" t="str" cm="1">
        <f t="array" ref="J569">_xlfn.TEXTJOIN(", ",TRUE,_xlfn.UNIQUE(_xlfn._xlws.FILTER(ARQUIVOS_RECEBIDOS!$F$2:$F$5010,ARQUIVOS_RECEBIDOS!$E$2:$E$5010=LD_01[[#This Row],[DOCUMENTO]])))</f>
        <v>R04</v>
      </c>
      <c r="K569" s="12" cm="1">
        <f t="array" ref="K569">_xlfn.UNIQUE(_xlfn._xlws.FILTER(ARQUIVOS[DATA RECEBIMENTO],(ARQUIVOS[DOCUMENTO]=LD_01[[#This Row],[DOCUMENTO]])*(ARQUIVOS[REVISÃO]=LD_01[[#This Row],[REVISÃO]])))</f>
        <v>45838</v>
      </c>
      <c r="L5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M569" s="6" t="str">
        <f>LD_01[[#This Row],[PASTA]]&amp;"/"&amp;LD_01[[#This Row],[ARQUIVO]]</f>
        <v>MSV-163MS-535-545/10.DR/MSV-163MS-535-545-ACA-EXE-DE-H2-015-R04.pdf</v>
      </c>
    </row>
    <row r="570" spans="1:13" hidden="1" x14ac:dyDescent="0.3">
      <c r="A570" s="6" t="s">
        <v>3332</v>
      </c>
      <c r="B570" s="6" t="str">
        <f>VLOOKUP(LD_01[[#This Row],[DOCUMENTO]],_xlfn.SORTBY(ARQUIVOS_RECEBIDOS!$E$2:$F$5010,ARQUIVOS_RECEBIDOS!$F$2:$F$5010,-1),2,)</f>
        <v>R07</v>
      </c>
      <c r="C570" s="15" t="s">
        <v>5987</v>
      </c>
      <c r="D570" s="6" t="s">
        <v>4317</v>
      </c>
      <c r="E570" s="8" t="s">
        <v>4076</v>
      </c>
      <c r="F570" s="8" t="s">
        <v>4142</v>
      </c>
      <c r="G570" s="6" t="str">
        <f>_xlfn.XLOOKUP(LD_01[[#This Row],[DISCIPLINA]],'CLASSES DE PROJETOS'!$F$3:$F$37,'CLASSES DE PROJETOS'!$C$3:$C$37)</f>
        <v>DR</v>
      </c>
      <c r="H570" t="str">
        <f>_xlfn.TEXTJOIN("/",TRUE,"MSV-163MS-"&amp;LD_01[[#This Row],[TRECHO]],_xlfn.XLOOKUP(LD_01[[#This Row],[SIGLA]],'CLASSES DE PROJETOS'!$C$3:$C$37,'CLASSES DE PROJETOS'!$E$3:$E$37))</f>
        <v>MSV-163MS-535-545/10.DR</v>
      </c>
      <c r="I570" s="6" t="str" cm="1">
        <f t="array" ref="I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J570" s="6" t="str" cm="1">
        <f t="array" ref="J570">_xlfn.TEXTJOIN(", ",TRUE,_xlfn.UNIQUE(_xlfn._xlws.FILTER(ARQUIVOS_RECEBIDOS!$F$2:$F$5010,ARQUIVOS_RECEBIDOS!$E$2:$E$5010=LD_01[[#This Row],[DOCUMENTO]])))</f>
        <v>R07</v>
      </c>
      <c r="K570" s="12" cm="1">
        <f t="array" ref="K570">_xlfn.UNIQUE(_xlfn._xlws.FILTER(ARQUIVOS[DATA RECEBIMENTO],(ARQUIVOS[DOCUMENTO]=LD_01[[#This Row],[DOCUMENTO]])*(ARQUIVOS[REVISÃO]=LD_01[[#This Row],[REVISÃO]])))</f>
        <v>45838</v>
      </c>
      <c r="L5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M570" s="6" t="str">
        <f>LD_01[[#This Row],[PASTA]]&amp;"/"&amp;LD_01[[#This Row],[ARQUIVO]]</f>
        <v>MSV-163MS-535-545/10.DR/MSV-163MS-535-545-ACA-EXE-DE-H2-016-R07.pdf</v>
      </c>
    </row>
    <row r="571" spans="1:13" hidden="1" x14ac:dyDescent="0.3">
      <c r="A571" s="6" t="s">
        <v>3333</v>
      </c>
      <c r="B571" s="6" t="str">
        <f>VLOOKUP(LD_01[[#This Row],[DOCUMENTO]],_xlfn.SORTBY(ARQUIVOS_RECEBIDOS!$E$2:$F$5010,ARQUIVOS_RECEBIDOS!$F$2:$F$5010,-1),2,)</f>
        <v>R07</v>
      </c>
      <c r="C571" s="15" t="s">
        <v>5987</v>
      </c>
      <c r="D571" s="6" t="s">
        <v>4317</v>
      </c>
      <c r="E571" s="8" t="s">
        <v>4076</v>
      </c>
      <c r="F571" s="8" t="s">
        <v>4142</v>
      </c>
      <c r="G571" s="6" t="str">
        <f>_xlfn.XLOOKUP(LD_01[[#This Row],[DISCIPLINA]],'CLASSES DE PROJETOS'!$F$3:$F$37,'CLASSES DE PROJETOS'!$C$3:$C$37)</f>
        <v>DR</v>
      </c>
      <c r="H571" t="str">
        <f>_xlfn.TEXTJOIN("/",TRUE,"MSV-163MS-"&amp;LD_01[[#This Row],[TRECHO]],_xlfn.XLOOKUP(LD_01[[#This Row],[SIGLA]],'CLASSES DE PROJETOS'!$C$3:$C$37,'CLASSES DE PROJETOS'!$E$3:$E$37))</f>
        <v>MSV-163MS-535-545/10.DR</v>
      </c>
      <c r="I571" s="6" t="str" cm="1">
        <f t="array" ref="I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J571" s="6" t="str" cm="1">
        <f t="array" ref="J571">_xlfn.TEXTJOIN(", ",TRUE,_xlfn.UNIQUE(_xlfn._xlws.FILTER(ARQUIVOS_RECEBIDOS!$F$2:$F$5010,ARQUIVOS_RECEBIDOS!$E$2:$E$5010=LD_01[[#This Row],[DOCUMENTO]])))</f>
        <v>R06, R07</v>
      </c>
      <c r="K571" s="12" cm="1">
        <f t="array" ref="K571">_xlfn.UNIQUE(_xlfn._xlws.FILTER(ARQUIVOS[DATA RECEBIMENTO],(ARQUIVOS[DOCUMENTO]=LD_01[[#This Row],[DOCUMENTO]])*(ARQUIVOS[REVISÃO]=LD_01[[#This Row],[REVISÃO]])))</f>
        <v>45895</v>
      </c>
      <c r="L5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M571" s="6" t="str">
        <f>LD_01[[#This Row],[PASTA]]&amp;"/"&amp;LD_01[[#This Row],[ARQUIVO]]</f>
        <v>MSV-163MS-535-545/10.DR/MSV-163MS-535-545-ACA-EXE-DE-H2-017-R07.pdf</v>
      </c>
    </row>
    <row r="572" spans="1:13" hidden="1" x14ac:dyDescent="0.3">
      <c r="A572" s="6" t="s">
        <v>3334</v>
      </c>
      <c r="B572" s="6" t="str">
        <f>VLOOKUP(LD_01[[#This Row],[DOCUMENTO]],_xlfn.SORTBY(ARQUIVOS_RECEBIDOS!$E$2:$F$5010,ARQUIVOS_RECEBIDOS!$F$2:$F$5010,-1),2,)</f>
        <v>R06</v>
      </c>
      <c r="C572" s="15" t="s">
        <v>5987</v>
      </c>
      <c r="D572" s="6" t="s">
        <v>4317</v>
      </c>
      <c r="E572" s="8" t="s">
        <v>4076</v>
      </c>
      <c r="F572" s="8" t="s">
        <v>4142</v>
      </c>
      <c r="G572" s="6" t="str">
        <f>_xlfn.XLOOKUP(LD_01[[#This Row],[DISCIPLINA]],'CLASSES DE PROJETOS'!$F$3:$F$37,'CLASSES DE PROJETOS'!$C$3:$C$37)</f>
        <v>DR</v>
      </c>
      <c r="H572" t="str">
        <f>_xlfn.TEXTJOIN("/",TRUE,"MSV-163MS-"&amp;LD_01[[#This Row],[TRECHO]],_xlfn.XLOOKUP(LD_01[[#This Row],[SIGLA]],'CLASSES DE PROJETOS'!$C$3:$C$37,'CLASSES DE PROJETOS'!$E$3:$E$37))</f>
        <v>MSV-163MS-535-545/10.DR</v>
      </c>
      <c r="I572" s="6" t="str" cm="1">
        <f t="array" ref="I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J572" s="6" t="str" cm="1">
        <f t="array" ref="J572">_xlfn.TEXTJOIN(", ",TRUE,_xlfn.UNIQUE(_xlfn._xlws.FILTER(ARQUIVOS_RECEBIDOS!$F$2:$F$5010,ARQUIVOS_RECEBIDOS!$E$2:$E$5010=LD_01[[#This Row],[DOCUMENTO]])))</f>
        <v>R06</v>
      </c>
      <c r="K572" s="12" cm="1">
        <f t="array" ref="K572">_xlfn.UNIQUE(_xlfn._xlws.FILTER(ARQUIVOS[DATA RECEBIMENTO],(ARQUIVOS[DOCUMENTO]=LD_01[[#This Row],[DOCUMENTO]])*(ARQUIVOS[REVISÃO]=LD_01[[#This Row],[REVISÃO]])))</f>
        <v>45838</v>
      </c>
      <c r="L5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M572" s="6" t="str">
        <f>LD_01[[#This Row],[PASTA]]&amp;"/"&amp;LD_01[[#This Row],[ARQUIVO]]</f>
        <v>MSV-163MS-535-545/10.DR/MSV-163MS-535-545-ACA-EXE-DE-H2-018-R06.pdf</v>
      </c>
    </row>
    <row r="573" spans="1:13" hidden="1" x14ac:dyDescent="0.3">
      <c r="A573" s="6" t="s">
        <v>3335</v>
      </c>
      <c r="B573" s="6" t="str">
        <f>VLOOKUP(LD_01[[#This Row],[DOCUMENTO]],_xlfn.SORTBY(ARQUIVOS_RECEBIDOS!$E$2:$F$5010,ARQUIVOS_RECEBIDOS!$F$2:$F$5010,-1),2,)</f>
        <v>R05</v>
      </c>
      <c r="C573" s="15" t="s">
        <v>5987</v>
      </c>
      <c r="D573" s="6" t="s">
        <v>4317</v>
      </c>
      <c r="E573" s="8" t="s">
        <v>4076</v>
      </c>
      <c r="F573" s="8" t="s">
        <v>4142</v>
      </c>
      <c r="G573" s="6" t="str">
        <f>_xlfn.XLOOKUP(LD_01[[#This Row],[DISCIPLINA]],'CLASSES DE PROJETOS'!$F$3:$F$37,'CLASSES DE PROJETOS'!$C$3:$C$37)</f>
        <v>DR</v>
      </c>
      <c r="H573" t="str">
        <f>_xlfn.TEXTJOIN("/",TRUE,"MSV-163MS-"&amp;LD_01[[#This Row],[TRECHO]],_xlfn.XLOOKUP(LD_01[[#This Row],[SIGLA]],'CLASSES DE PROJETOS'!$C$3:$C$37,'CLASSES DE PROJETOS'!$E$3:$E$37))</f>
        <v>MSV-163MS-535-545/10.DR</v>
      </c>
      <c r="I573" s="6" t="str" cm="1">
        <f t="array" ref="I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J573" s="6" t="str" cm="1">
        <f t="array" ref="J573">_xlfn.TEXTJOIN(", ",TRUE,_xlfn.UNIQUE(_xlfn._xlws.FILTER(ARQUIVOS_RECEBIDOS!$F$2:$F$5010,ARQUIVOS_RECEBIDOS!$E$2:$E$5010=LD_01[[#This Row],[DOCUMENTO]])))</f>
        <v>R05</v>
      </c>
      <c r="K573" s="12" cm="1">
        <f t="array" ref="K573">_xlfn.UNIQUE(_xlfn._xlws.FILTER(ARQUIVOS[DATA RECEBIMENTO],(ARQUIVOS[DOCUMENTO]=LD_01[[#This Row],[DOCUMENTO]])*(ARQUIVOS[REVISÃO]=LD_01[[#This Row],[REVISÃO]])))</f>
        <v>45838</v>
      </c>
      <c r="L5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M573" s="6" t="str">
        <f>LD_01[[#This Row],[PASTA]]&amp;"/"&amp;LD_01[[#This Row],[ARQUIVO]]</f>
        <v>MSV-163MS-535-545/10.DR/MSV-163MS-535-545-ACA-EXE-DE-H2-019-R05.pdf</v>
      </c>
    </row>
    <row r="574" spans="1:13" hidden="1" x14ac:dyDescent="0.3">
      <c r="A574" s="6" t="s">
        <v>3336</v>
      </c>
      <c r="B574" s="6" t="str">
        <f>VLOOKUP(LD_01[[#This Row],[DOCUMENTO]],_xlfn.SORTBY(ARQUIVOS_RECEBIDOS!$E$2:$F$5010,ARQUIVOS_RECEBIDOS!$F$2:$F$5010,-1),2,)</f>
        <v>R06</v>
      </c>
      <c r="C574" s="15" t="s">
        <v>5987</v>
      </c>
      <c r="D574" s="6" t="s">
        <v>4317</v>
      </c>
      <c r="E574" s="8" t="s">
        <v>4076</v>
      </c>
      <c r="F574" s="8" t="s">
        <v>4142</v>
      </c>
      <c r="G574" s="6" t="str">
        <f>_xlfn.XLOOKUP(LD_01[[#This Row],[DISCIPLINA]],'CLASSES DE PROJETOS'!$F$3:$F$37,'CLASSES DE PROJETOS'!$C$3:$C$37)</f>
        <v>DR</v>
      </c>
      <c r="H574" t="str">
        <f>_xlfn.TEXTJOIN("/",TRUE,"MSV-163MS-"&amp;LD_01[[#This Row],[TRECHO]],_xlfn.XLOOKUP(LD_01[[#This Row],[SIGLA]],'CLASSES DE PROJETOS'!$C$3:$C$37,'CLASSES DE PROJETOS'!$E$3:$E$37))</f>
        <v>MSV-163MS-535-545/10.DR</v>
      </c>
      <c r="I574" s="6" t="str" cm="1">
        <f t="array" ref="I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J574" s="6" t="str" cm="1">
        <f t="array" ref="J574">_xlfn.TEXTJOIN(", ",TRUE,_xlfn.UNIQUE(_xlfn._xlws.FILTER(ARQUIVOS_RECEBIDOS!$F$2:$F$5010,ARQUIVOS_RECEBIDOS!$E$2:$E$5010=LD_01[[#This Row],[DOCUMENTO]])))</f>
        <v>R06</v>
      </c>
      <c r="K574" s="12" cm="1">
        <f t="array" ref="K574">_xlfn.UNIQUE(_xlfn._xlws.FILTER(ARQUIVOS[DATA RECEBIMENTO],(ARQUIVOS[DOCUMENTO]=LD_01[[#This Row],[DOCUMENTO]])*(ARQUIVOS[REVISÃO]=LD_01[[#This Row],[REVISÃO]])))</f>
        <v>45838</v>
      </c>
      <c r="L5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M574" s="6" t="str">
        <f>LD_01[[#This Row],[PASTA]]&amp;"/"&amp;LD_01[[#This Row],[ARQUIVO]]</f>
        <v>MSV-163MS-535-545/10.DR/MSV-163MS-535-545-ACA-EXE-DE-H2-020-R06.pdf</v>
      </c>
    </row>
    <row r="575" spans="1:13" hidden="1" x14ac:dyDescent="0.3">
      <c r="A575" s="6" t="s">
        <v>3337</v>
      </c>
      <c r="B575" s="6" t="str">
        <f>VLOOKUP(LD_01[[#This Row],[DOCUMENTO]],_xlfn.SORTBY(ARQUIVOS_RECEBIDOS!$E$2:$F$5010,ARQUIVOS_RECEBIDOS!$F$2:$F$5010,-1),2,)</f>
        <v>R08</v>
      </c>
      <c r="C575" s="15" t="s">
        <v>5987</v>
      </c>
      <c r="D575" s="6" t="s">
        <v>4317</v>
      </c>
      <c r="E575" s="8" t="s">
        <v>4110</v>
      </c>
      <c r="F575" s="8" t="s">
        <v>4142</v>
      </c>
      <c r="G575" s="6" t="str">
        <f>_xlfn.XLOOKUP(LD_01[[#This Row],[DISCIPLINA]],'CLASSES DE PROJETOS'!$F$3:$F$37,'CLASSES DE PROJETOS'!$C$3:$C$37)</f>
        <v>DR</v>
      </c>
      <c r="H575" t="str">
        <f>_xlfn.TEXTJOIN("/",TRUE,"MSV-163MS-"&amp;LD_01[[#This Row],[TRECHO]],_xlfn.XLOOKUP(LD_01[[#This Row],[SIGLA]],'CLASSES DE PROJETOS'!$C$3:$C$37,'CLASSES DE PROJETOS'!$E$3:$E$37))</f>
        <v>MSV-163MS-535-545/10.DR</v>
      </c>
      <c r="I575" s="6" t="str" cm="1">
        <f t="array" ref="I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J575" s="6" t="str" cm="1">
        <f t="array" ref="J575">_xlfn.TEXTJOIN(", ",TRUE,_xlfn.UNIQUE(_xlfn._xlws.FILTER(ARQUIVOS_RECEBIDOS!$F$2:$F$5010,ARQUIVOS_RECEBIDOS!$E$2:$E$5010=LD_01[[#This Row],[DOCUMENTO]])))</f>
        <v>R06, R07, R08</v>
      </c>
      <c r="K575" s="12" cm="1">
        <f t="array" ref="K575">_xlfn.UNIQUE(_xlfn._xlws.FILTER(ARQUIVOS[DATA RECEBIMENTO],(ARQUIVOS[DOCUMENTO]=LD_01[[#This Row],[DOCUMENTO]])*(ARQUIVOS[REVISÃO]=LD_01[[#This Row],[REVISÃO]])))</f>
        <v>46091</v>
      </c>
      <c r="L5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M575" s="6" t="str">
        <f>LD_01[[#This Row],[PASTA]]&amp;"/"&amp;LD_01[[#This Row],[ARQUIVO]]</f>
        <v>MSV-163MS-535-545/10.DR/MSV-163MS-535-545-ACA-EXE-DE-H2-021-R08.pdf</v>
      </c>
    </row>
    <row r="576" spans="1:13" hidden="1" x14ac:dyDescent="0.3">
      <c r="A576" s="6" t="s">
        <v>3338</v>
      </c>
      <c r="B576" s="6" t="str">
        <f>VLOOKUP(LD_01[[#This Row],[DOCUMENTO]],_xlfn.SORTBY(ARQUIVOS_RECEBIDOS!$E$2:$F$5010,ARQUIVOS_RECEBIDOS!$F$2:$F$5010,-1),2,)</f>
        <v>R05</v>
      </c>
      <c r="C576" s="15" t="s">
        <v>5987</v>
      </c>
      <c r="D576" s="6" t="s">
        <v>4317</v>
      </c>
      <c r="E576" s="8" t="s">
        <v>4110</v>
      </c>
      <c r="F576" s="8" t="s">
        <v>4142</v>
      </c>
      <c r="G576" s="6" t="str">
        <f>_xlfn.XLOOKUP(LD_01[[#This Row],[DISCIPLINA]],'CLASSES DE PROJETOS'!$F$3:$F$37,'CLASSES DE PROJETOS'!$C$3:$C$37)</f>
        <v>DR</v>
      </c>
      <c r="H576" t="str">
        <f>_xlfn.TEXTJOIN("/",TRUE,"MSV-163MS-"&amp;LD_01[[#This Row],[TRECHO]],_xlfn.XLOOKUP(LD_01[[#This Row],[SIGLA]],'CLASSES DE PROJETOS'!$C$3:$C$37,'CLASSES DE PROJETOS'!$E$3:$E$37))</f>
        <v>MSV-163MS-535-545/10.DR</v>
      </c>
      <c r="I576" s="6" t="str" cm="1">
        <f t="array" ref="I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J576" s="6" t="str" cm="1">
        <f t="array" ref="J576">_xlfn.TEXTJOIN(", ",TRUE,_xlfn.UNIQUE(_xlfn._xlws.FILTER(ARQUIVOS_RECEBIDOS!$F$2:$F$5010,ARQUIVOS_RECEBIDOS!$E$2:$E$5010=LD_01[[#This Row],[DOCUMENTO]])))</f>
        <v>R05</v>
      </c>
      <c r="K576" s="12" cm="1">
        <f t="array" ref="K576">_xlfn.UNIQUE(_xlfn._xlws.FILTER(ARQUIVOS[DATA RECEBIMENTO],(ARQUIVOS[DOCUMENTO]=LD_01[[#This Row],[DOCUMENTO]])*(ARQUIVOS[REVISÃO]=LD_01[[#This Row],[REVISÃO]])))</f>
        <v>45838</v>
      </c>
      <c r="L5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M576" s="6" t="str">
        <f>LD_01[[#This Row],[PASTA]]&amp;"/"&amp;LD_01[[#This Row],[ARQUIVO]]</f>
        <v>MSV-163MS-535-545/10.DR/MSV-163MS-535-545-ACA-EXE-DE-H2-022-R05.pdf</v>
      </c>
    </row>
    <row r="577" spans="1:13" hidden="1" x14ac:dyDescent="0.3">
      <c r="A577" s="6" t="s">
        <v>3339</v>
      </c>
      <c r="B577" s="6" t="str">
        <f>VLOOKUP(LD_01[[#This Row],[DOCUMENTO]],_xlfn.SORTBY(ARQUIVOS_RECEBIDOS!$E$2:$F$5010,ARQUIVOS_RECEBIDOS!$F$2:$F$5010,-1),2,)</f>
        <v>R06</v>
      </c>
      <c r="C577" s="15" t="s">
        <v>5987</v>
      </c>
      <c r="D577" s="6" t="s">
        <v>4317</v>
      </c>
      <c r="E577" s="8" t="s">
        <v>4110</v>
      </c>
      <c r="F577" s="8" t="s">
        <v>4142</v>
      </c>
      <c r="G577" s="6" t="str">
        <f>_xlfn.XLOOKUP(LD_01[[#This Row],[DISCIPLINA]],'CLASSES DE PROJETOS'!$F$3:$F$37,'CLASSES DE PROJETOS'!$C$3:$C$37)</f>
        <v>DR</v>
      </c>
      <c r="H577" t="str">
        <f>_xlfn.TEXTJOIN("/",TRUE,"MSV-163MS-"&amp;LD_01[[#This Row],[TRECHO]],_xlfn.XLOOKUP(LD_01[[#This Row],[SIGLA]],'CLASSES DE PROJETOS'!$C$3:$C$37,'CLASSES DE PROJETOS'!$E$3:$E$37))</f>
        <v>MSV-163MS-535-545/10.DR</v>
      </c>
      <c r="I577" s="6" t="str" cm="1">
        <f t="array" ref="I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J577" s="6" t="str" cm="1">
        <f t="array" ref="J577">_xlfn.TEXTJOIN(", ",TRUE,_xlfn.UNIQUE(_xlfn._xlws.FILTER(ARQUIVOS_RECEBIDOS!$F$2:$F$5010,ARQUIVOS_RECEBIDOS!$E$2:$E$5010=LD_01[[#This Row],[DOCUMENTO]])))</f>
        <v>R06</v>
      </c>
      <c r="K577" s="12" cm="1">
        <f t="array" ref="K577">_xlfn.UNIQUE(_xlfn._xlws.FILTER(ARQUIVOS[DATA RECEBIMENTO],(ARQUIVOS[DOCUMENTO]=LD_01[[#This Row],[DOCUMENTO]])*(ARQUIVOS[REVISÃO]=LD_01[[#This Row],[REVISÃO]])))</f>
        <v>45838</v>
      </c>
      <c r="L5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M577" s="6" t="str">
        <f>LD_01[[#This Row],[PASTA]]&amp;"/"&amp;LD_01[[#This Row],[ARQUIVO]]</f>
        <v>MSV-163MS-535-545/10.DR/MSV-163MS-535-545-ACA-EXE-DE-H2-023-R06.pdf</v>
      </c>
    </row>
    <row r="578" spans="1:13" hidden="1" x14ac:dyDescent="0.3">
      <c r="A578" s="6" t="s">
        <v>3340</v>
      </c>
      <c r="B578" s="6" t="str">
        <f>VLOOKUP(LD_01[[#This Row],[DOCUMENTO]],_xlfn.SORTBY(ARQUIVOS_RECEBIDOS!$E$2:$F$5010,ARQUIVOS_RECEBIDOS!$F$2:$F$5010,-1),2,)</f>
        <v>R06</v>
      </c>
      <c r="C578" s="15" t="s">
        <v>5987</v>
      </c>
      <c r="D578" s="6" t="s">
        <v>4317</v>
      </c>
      <c r="E578" s="8" t="s">
        <v>4110</v>
      </c>
      <c r="F578" s="8" t="s">
        <v>4142</v>
      </c>
      <c r="G578" s="6" t="str">
        <f>_xlfn.XLOOKUP(LD_01[[#This Row],[DISCIPLINA]],'CLASSES DE PROJETOS'!$F$3:$F$37,'CLASSES DE PROJETOS'!$C$3:$C$37)</f>
        <v>DR</v>
      </c>
      <c r="H578" t="str">
        <f>_xlfn.TEXTJOIN("/",TRUE,"MSV-163MS-"&amp;LD_01[[#This Row],[TRECHO]],_xlfn.XLOOKUP(LD_01[[#This Row],[SIGLA]],'CLASSES DE PROJETOS'!$C$3:$C$37,'CLASSES DE PROJETOS'!$E$3:$E$37))</f>
        <v>MSV-163MS-535-545/10.DR</v>
      </c>
      <c r="I578" s="6" t="str" cm="1">
        <f t="array" ref="I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J578" s="6" t="str" cm="1">
        <f t="array" ref="J578">_xlfn.TEXTJOIN(", ",TRUE,_xlfn.UNIQUE(_xlfn._xlws.FILTER(ARQUIVOS_RECEBIDOS!$F$2:$F$5010,ARQUIVOS_RECEBIDOS!$E$2:$E$5010=LD_01[[#This Row],[DOCUMENTO]])))</f>
        <v>R06</v>
      </c>
      <c r="K578" s="12" cm="1">
        <f t="array" ref="K578">_xlfn.UNIQUE(_xlfn._xlws.FILTER(ARQUIVOS[DATA RECEBIMENTO],(ARQUIVOS[DOCUMENTO]=LD_01[[#This Row],[DOCUMENTO]])*(ARQUIVOS[REVISÃO]=LD_01[[#This Row],[REVISÃO]])))</f>
        <v>45838</v>
      </c>
      <c r="L5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M578" s="6" t="str">
        <f>LD_01[[#This Row],[PASTA]]&amp;"/"&amp;LD_01[[#This Row],[ARQUIVO]]</f>
        <v>MSV-163MS-535-545/10.DR/MSV-163MS-535-545-ACA-EXE-DE-H2-024-R06.pdf</v>
      </c>
    </row>
    <row r="579" spans="1:13" ht="43.2" hidden="1" x14ac:dyDescent="0.3">
      <c r="A579" s="6" t="s">
        <v>3341</v>
      </c>
      <c r="B579" s="6" t="str">
        <f>VLOOKUP(LD_01[[#This Row],[DOCUMENTO]],_xlfn.SORTBY(ARQUIVOS_RECEBIDOS!$E$2:$F$5010,ARQUIVOS_RECEBIDOS!$F$2:$F$5010,-1),2,)</f>
        <v>R05</v>
      </c>
      <c r="C579" s="15" t="s">
        <v>5987</v>
      </c>
      <c r="D579" s="6" t="s">
        <v>4317</v>
      </c>
      <c r="E579" s="8" t="s">
        <v>4111</v>
      </c>
      <c r="F579" s="8" t="s">
        <v>4142</v>
      </c>
      <c r="G579" s="6" t="str">
        <f>_xlfn.XLOOKUP(LD_01[[#This Row],[DISCIPLINA]],'CLASSES DE PROJETOS'!$F$3:$F$37,'CLASSES DE PROJETOS'!$C$3:$C$37)</f>
        <v>DR</v>
      </c>
      <c r="H579" t="str">
        <f>_xlfn.TEXTJOIN("/",TRUE,"MSV-163MS-"&amp;LD_01[[#This Row],[TRECHO]],_xlfn.XLOOKUP(LD_01[[#This Row],[SIGLA]],'CLASSES DE PROJETOS'!$C$3:$C$37,'CLASSES DE PROJETOS'!$E$3:$E$37))</f>
        <v>MSV-163MS-535-545/10.DR</v>
      </c>
      <c r="I579" s="6" t="str" cm="1">
        <f t="array" ref="I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J579" s="6" t="str" cm="1">
        <f t="array" ref="J579">_xlfn.TEXTJOIN(", ",TRUE,_xlfn.UNIQUE(_xlfn._xlws.FILTER(ARQUIVOS_RECEBIDOS!$F$2:$F$5010,ARQUIVOS_RECEBIDOS!$E$2:$E$5010=LD_01[[#This Row],[DOCUMENTO]])))</f>
        <v>R05</v>
      </c>
      <c r="K579" s="12" cm="1">
        <f t="array" ref="K579">_xlfn.UNIQUE(_xlfn._xlws.FILTER(ARQUIVOS[DATA RECEBIMENTO],(ARQUIVOS[DOCUMENTO]=LD_01[[#This Row],[DOCUMENTO]])*(ARQUIVOS[REVISÃO]=LD_01[[#This Row],[REVISÃO]])))</f>
        <v>45838</v>
      </c>
      <c r="L5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M579" s="6" t="str">
        <f>LD_01[[#This Row],[PASTA]]&amp;"/"&amp;LD_01[[#This Row],[ARQUIVO]]</f>
        <v>MSV-163MS-535-545/10.DR/MSV-163MS-535-545-ACA-EXE-DE-H2-101-R05.pdf</v>
      </c>
    </row>
    <row r="580" spans="1:13" ht="43.2" hidden="1" x14ac:dyDescent="0.3">
      <c r="A580" s="6" t="s">
        <v>3342</v>
      </c>
      <c r="B580" s="6" t="str">
        <f>VLOOKUP(LD_01[[#This Row],[DOCUMENTO]],_xlfn.SORTBY(ARQUIVOS_RECEBIDOS!$E$2:$F$5010,ARQUIVOS_RECEBIDOS!$F$2:$F$5010,-1),2,)</f>
        <v>R01</v>
      </c>
      <c r="C580" s="15" t="s">
        <v>5987</v>
      </c>
      <c r="D580" s="6" t="s">
        <v>4317</v>
      </c>
      <c r="E580" s="8" t="s">
        <v>4107</v>
      </c>
      <c r="F580" s="8" t="s">
        <v>4142</v>
      </c>
      <c r="G580" s="6" t="str">
        <f>_xlfn.XLOOKUP(LD_01[[#This Row],[DISCIPLINA]],'CLASSES DE PROJETOS'!$F$3:$F$37,'CLASSES DE PROJETOS'!$C$3:$C$37)</f>
        <v>DR</v>
      </c>
      <c r="H580" t="str">
        <f>_xlfn.TEXTJOIN("/",TRUE,"MSV-163MS-"&amp;LD_01[[#This Row],[TRECHO]],_xlfn.XLOOKUP(LD_01[[#This Row],[SIGLA]],'CLASSES DE PROJETOS'!$C$3:$C$37,'CLASSES DE PROJETOS'!$E$3:$E$37))</f>
        <v>MSV-163MS-535-545/10.DR</v>
      </c>
      <c r="I580" s="6" t="str" cm="1">
        <f t="array" ref="I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J580" s="6" t="str" cm="1">
        <f t="array" ref="J580">_xlfn.TEXTJOIN(", ",TRUE,_xlfn.UNIQUE(_xlfn._xlws.FILTER(ARQUIVOS_RECEBIDOS!$F$2:$F$5010,ARQUIVOS_RECEBIDOS!$E$2:$E$5010=LD_01[[#This Row],[DOCUMENTO]])))</f>
        <v>R01</v>
      </c>
      <c r="K580" s="12" cm="1">
        <f t="array" ref="K580">_xlfn.UNIQUE(_xlfn._xlws.FILTER(ARQUIVOS[DATA RECEBIMENTO],(ARQUIVOS[DOCUMENTO]=LD_01[[#This Row],[DOCUMENTO]])*(ARQUIVOS[REVISÃO]=LD_01[[#This Row],[REVISÃO]])))</f>
        <v>45838</v>
      </c>
      <c r="L5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M580" s="6" t="str">
        <f>LD_01[[#This Row],[PASTA]]&amp;"/"&amp;LD_01[[#This Row],[ARQUIVO]]</f>
        <v>MSV-163MS-535-545/10.DR/MSV-163MS-535-545-ACA-EXE-DE-H2-102-R01.pdf</v>
      </c>
    </row>
    <row r="581" spans="1:13" ht="57.6" hidden="1" x14ac:dyDescent="0.3">
      <c r="A581" s="6" t="s">
        <v>3343</v>
      </c>
      <c r="B581" s="6" t="str">
        <f>VLOOKUP(LD_01[[#This Row],[DOCUMENTO]],_xlfn.SORTBY(ARQUIVOS_RECEBIDOS!$E$2:$F$5010,ARQUIVOS_RECEBIDOS!$F$2:$F$5010,-1),2,)</f>
        <v>R01</v>
      </c>
      <c r="C581" s="15" t="s">
        <v>5987</v>
      </c>
      <c r="D581" s="6" t="s">
        <v>4317</v>
      </c>
      <c r="E581" s="8" t="s">
        <v>4112</v>
      </c>
      <c r="F581" s="8" t="s">
        <v>4142</v>
      </c>
      <c r="G581" s="6" t="str">
        <f>_xlfn.XLOOKUP(LD_01[[#This Row],[DISCIPLINA]],'CLASSES DE PROJETOS'!$F$3:$F$37,'CLASSES DE PROJETOS'!$C$3:$C$37)</f>
        <v>DR</v>
      </c>
      <c r="H581" t="str">
        <f>_xlfn.TEXTJOIN("/",TRUE,"MSV-163MS-"&amp;LD_01[[#This Row],[TRECHO]],_xlfn.XLOOKUP(LD_01[[#This Row],[SIGLA]],'CLASSES DE PROJETOS'!$C$3:$C$37,'CLASSES DE PROJETOS'!$E$3:$E$37))</f>
        <v>MSV-163MS-535-545/10.DR</v>
      </c>
      <c r="I581" s="6" t="str" cm="1">
        <f t="array" ref="I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J581" s="6" t="str" cm="1">
        <f t="array" ref="J581">_xlfn.TEXTJOIN(", ",TRUE,_xlfn.UNIQUE(_xlfn._xlws.FILTER(ARQUIVOS_RECEBIDOS!$F$2:$F$5010,ARQUIVOS_RECEBIDOS!$E$2:$E$5010=LD_01[[#This Row],[DOCUMENTO]])))</f>
        <v>R01</v>
      </c>
      <c r="K581" s="12" cm="1">
        <f t="array" ref="K581">_xlfn.UNIQUE(_xlfn._xlws.FILTER(ARQUIVOS[DATA RECEBIMENTO],(ARQUIVOS[DOCUMENTO]=LD_01[[#This Row],[DOCUMENTO]])*(ARQUIVOS[REVISÃO]=LD_01[[#This Row],[REVISÃO]])))</f>
        <v>45838</v>
      </c>
      <c r="L5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M581" s="6" t="str">
        <f>LD_01[[#This Row],[PASTA]]&amp;"/"&amp;LD_01[[#This Row],[ARQUIVO]]</f>
        <v>MSV-163MS-535-545/10.DR/MSV-163MS-535-545-ACA-EXE-DE-H2-103-R01.pdf</v>
      </c>
    </row>
    <row r="582" spans="1:13" ht="57.6" hidden="1" x14ac:dyDescent="0.3">
      <c r="A582" s="6" t="s">
        <v>3344</v>
      </c>
      <c r="B582" s="6" t="str">
        <f>VLOOKUP(LD_01[[#This Row],[DOCUMENTO]],_xlfn.SORTBY(ARQUIVOS_RECEBIDOS!$E$2:$F$5010,ARQUIVOS_RECEBIDOS!$F$2:$F$5010,-1),2,)</f>
        <v>R01</v>
      </c>
      <c r="C582" s="15" t="s">
        <v>5987</v>
      </c>
      <c r="D582" s="6" t="s">
        <v>4317</v>
      </c>
      <c r="E582" s="8" t="s">
        <v>4113</v>
      </c>
      <c r="F582" s="8" t="s">
        <v>4142</v>
      </c>
      <c r="G582" s="6" t="str">
        <f>_xlfn.XLOOKUP(LD_01[[#This Row],[DISCIPLINA]],'CLASSES DE PROJETOS'!$F$3:$F$37,'CLASSES DE PROJETOS'!$C$3:$C$37)</f>
        <v>DR</v>
      </c>
      <c r="H582" t="str">
        <f>_xlfn.TEXTJOIN("/",TRUE,"MSV-163MS-"&amp;LD_01[[#This Row],[TRECHO]],_xlfn.XLOOKUP(LD_01[[#This Row],[SIGLA]],'CLASSES DE PROJETOS'!$C$3:$C$37,'CLASSES DE PROJETOS'!$E$3:$E$37))</f>
        <v>MSV-163MS-535-545/10.DR</v>
      </c>
      <c r="I582" s="6" t="str" cm="1">
        <f t="array" ref="I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J582" s="6" t="str" cm="1">
        <f t="array" ref="J582">_xlfn.TEXTJOIN(", ",TRUE,_xlfn.UNIQUE(_xlfn._xlws.FILTER(ARQUIVOS_RECEBIDOS!$F$2:$F$5010,ARQUIVOS_RECEBIDOS!$E$2:$E$5010=LD_01[[#This Row],[DOCUMENTO]])))</f>
        <v>R01</v>
      </c>
      <c r="K582" s="12" cm="1">
        <f t="array" ref="K582">_xlfn.UNIQUE(_xlfn._xlws.FILTER(ARQUIVOS[DATA RECEBIMENTO],(ARQUIVOS[DOCUMENTO]=LD_01[[#This Row],[DOCUMENTO]])*(ARQUIVOS[REVISÃO]=LD_01[[#This Row],[REVISÃO]])))</f>
        <v>45838</v>
      </c>
      <c r="L5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M582" s="6" t="str">
        <f>LD_01[[#This Row],[PASTA]]&amp;"/"&amp;LD_01[[#This Row],[ARQUIVO]]</f>
        <v>MSV-163MS-535-545/10.DR/MSV-163MS-535-545-ACA-EXE-DE-H2-104-R01.pdf</v>
      </c>
    </row>
    <row r="583" spans="1:13" ht="57.6" hidden="1" x14ac:dyDescent="0.3">
      <c r="A583" s="6" t="s">
        <v>3345</v>
      </c>
      <c r="B583" s="6" t="str">
        <f>VLOOKUP(LD_01[[#This Row],[DOCUMENTO]],_xlfn.SORTBY(ARQUIVOS_RECEBIDOS!$E$2:$F$5010,ARQUIVOS_RECEBIDOS!$F$2:$F$5010,-1),2,)</f>
        <v>R01</v>
      </c>
      <c r="C583" s="15" t="s">
        <v>5987</v>
      </c>
      <c r="D583" s="6" t="s">
        <v>4317</v>
      </c>
      <c r="E583" s="8" t="s">
        <v>4114</v>
      </c>
      <c r="F583" s="8" t="s">
        <v>4142</v>
      </c>
      <c r="G583" s="6" t="str">
        <f>_xlfn.XLOOKUP(LD_01[[#This Row],[DISCIPLINA]],'CLASSES DE PROJETOS'!$F$3:$F$37,'CLASSES DE PROJETOS'!$C$3:$C$37)</f>
        <v>DR</v>
      </c>
      <c r="H583" t="str">
        <f>_xlfn.TEXTJOIN("/",TRUE,"MSV-163MS-"&amp;LD_01[[#This Row],[TRECHO]],_xlfn.XLOOKUP(LD_01[[#This Row],[SIGLA]],'CLASSES DE PROJETOS'!$C$3:$C$37,'CLASSES DE PROJETOS'!$E$3:$E$37))</f>
        <v>MSV-163MS-535-545/10.DR</v>
      </c>
      <c r="I583" s="6" t="str" cm="1">
        <f t="array" ref="I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J583" s="6" t="str" cm="1">
        <f t="array" ref="J583">_xlfn.TEXTJOIN(", ",TRUE,_xlfn.UNIQUE(_xlfn._xlws.FILTER(ARQUIVOS_RECEBIDOS!$F$2:$F$5010,ARQUIVOS_RECEBIDOS!$E$2:$E$5010=LD_01[[#This Row],[DOCUMENTO]])))</f>
        <v>R01</v>
      </c>
      <c r="K583" s="12" cm="1">
        <f t="array" ref="K583">_xlfn.UNIQUE(_xlfn._xlws.FILTER(ARQUIVOS[DATA RECEBIMENTO],(ARQUIVOS[DOCUMENTO]=LD_01[[#This Row],[DOCUMENTO]])*(ARQUIVOS[REVISÃO]=LD_01[[#This Row],[REVISÃO]])))</f>
        <v>45838</v>
      </c>
      <c r="L5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M583" s="6" t="str">
        <f>LD_01[[#This Row],[PASTA]]&amp;"/"&amp;LD_01[[#This Row],[ARQUIVO]]</f>
        <v>MSV-163MS-535-545/10.DR/MSV-163MS-535-545-ACA-EXE-DE-H2-105-R01.pdf</v>
      </c>
    </row>
    <row r="584" spans="1:13" ht="57.6" hidden="1" x14ac:dyDescent="0.3">
      <c r="A584" s="6" t="s">
        <v>3346</v>
      </c>
      <c r="B584" s="6" t="str">
        <f>VLOOKUP(LD_01[[#This Row],[DOCUMENTO]],_xlfn.SORTBY(ARQUIVOS_RECEBIDOS!$E$2:$F$5010,ARQUIVOS_RECEBIDOS!$F$2:$F$5010,-1),2,)</f>
        <v>R01</v>
      </c>
      <c r="C584" s="15" t="s">
        <v>5987</v>
      </c>
      <c r="D584" s="6" t="s">
        <v>4317</v>
      </c>
      <c r="E584" s="8" t="s">
        <v>4115</v>
      </c>
      <c r="F584" s="8" t="s">
        <v>4142</v>
      </c>
      <c r="G584" s="6" t="str">
        <f>_xlfn.XLOOKUP(LD_01[[#This Row],[DISCIPLINA]],'CLASSES DE PROJETOS'!$F$3:$F$37,'CLASSES DE PROJETOS'!$C$3:$C$37)</f>
        <v>DR</v>
      </c>
      <c r="H584" t="str">
        <f>_xlfn.TEXTJOIN("/",TRUE,"MSV-163MS-"&amp;LD_01[[#This Row],[TRECHO]],_xlfn.XLOOKUP(LD_01[[#This Row],[SIGLA]],'CLASSES DE PROJETOS'!$C$3:$C$37,'CLASSES DE PROJETOS'!$E$3:$E$37))</f>
        <v>MSV-163MS-535-545/10.DR</v>
      </c>
      <c r="I584" s="6" t="str" cm="1">
        <f t="array" ref="I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J584" s="6" t="str" cm="1">
        <f t="array" ref="J584">_xlfn.TEXTJOIN(", ",TRUE,_xlfn.UNIQUE(_xlfn._xlws.FILTER(ARQUIVOS_RECEBIDOS!$F$2:$F$5010,ARQUIVOS_RECEBIDOS!$E$2:$E$5010=LD_01[[#This Row],[DOCUMENTO]])))</f>
        <v>R01</v>
      </c>
      <c r="K584" s="12" cm="1">
        <f t="array" ref="K584">_xlfn.UNIQUE(_xlfn._xlws.FILTER(ARQUIVOS[DATA RECEBIMENTO],(ARQUIVOS[DOCUMENTO]=LD_01[[#This Row],[DOCUMENTO]])*(ARQUIVOS[REVISÃO]=LD_01[[#This Row],[REVISÃO]])))</f>
        <v>45838</v>
      </c>
      <c r="L5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M584" s="6" t="str">
        <f>LD_01[[#This Row],[PASTA]]&amp;"/"&amp;LD_01[[#This Row],[ARQUIVO]]</f>
        <v>MSV-163MS-535-545/10.DR/MSV-163MS-535-545-ACA-EXE-DE-H2-106-R01.pdf</v>
      </c>
    </row>
    <row r="585" spans="1:13" ht="57.6" hidden="1" x14ac:dyDescent="0.3">
      <c r="A585" s="6" t="s">
        <v>3347</v>
      </c>
      <c r="B585" s="6" t="str">
        <f>VLOOKUP(LD_01[[#This Row],[DOCUMENTO]],_xlfn.SORTBY(ARQUIVOS_RECEBIDOS!$E$2:$F$5010,ARQUIVOS_RECEBIDOS!$F$2:$F$5010,-1),2,)</f>
        <v>R01</v>
      </c>
      <c r="C585" s="15" t="s">
        <v>5987</v>
      </c>
      <c r="D585" s="6" t="s">
        <v>4317</v>
      </c>
      <c r="E585" s="8" t="s">
        <v>4116</v>
      </c>
      <c r="F585" s="8" t="s">
        <v>4142</v>
      </c>
      <c r="G585" s="6" t="str">
        <f>_xlfn.XLOOKUP(LD_01[[#This Row],[DISCIPLINA]],'CLASSES DE PROJETOS'!$F$3:$F$37,'CLASSES DE PROJETOS'!$C$3:$C$37)</f>
        <v>DR</v>
      </c>
      <c r="H585" t="str">
        <f>_xlfn.TEXTJOIN("/",TRUE,"MSV-163MS-"&amp;LD_01[[#This Row],[TRECHO]],_xlfn.XLOOKUP(LD_01[[#This Row],[SIGLA]],'CLASSES DE PROJETOS'!$C$3:$C$37,'CLASSES DE PROJETOS'!$E$3:$E$37))</f>
        <v>MSV-163MS-535-545/10.DR</v>
      </c>
      <c r="I585" s="6" t="str" cm="1">
        <f t="array" ref="I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J585" s="6" t="str" cm="1">
        <f t="array" ref="J585">_xlfn.TEXTJOIN(", ",TRUE,_xlfn.UNIQUE(_xlfn._xlws.FILTER(ARQUIVOS_RECEBIDOS!$F$2:$F$5010,ARQUIVOS_RECEBIDOS!$E$2:$E$5010=LD_01[[#This Row],[DOCUMENTO]])))</f>
        <v>R01</v>
      </c>
      <c r="K585" s="12" cm="1">
        <f t="array" ref="K585">_xlfn.UNIQUE(_xlfn._xlws.FILTER(ARQUIVOS[DATA RECEBIMENTO],(ARQUIVOS[DOCUMENTO]=LD_01[[#This Row],[DOCUMENTO]])*(ARQUIVOS[REVISÃO]=LD_01[[#This Row],[REVISÃO]])))</f>
        <v>45838</v>
      </c>
      <c r="L5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M585" s="6" t="str">
        <f>LD_01[[#This Row],[PASTA]]&amp;"/"&amp;LD_01[[#This Row],[ARQUIVO]]</f>
        <v>MSV-163MS-535-545/10.DR/MSV-163MS-535-545-ACA-EXE-DE-H2-107-R01.pdf</v>
      </c>
    </row>
    <row r="586" spans="1:13" ht="43.2" hidden="1" x14ac:dyDescent="0.3">
      <c r="A586" s="6" t="s">
        <v>3348</v>
      </c>
      <c r="B586" s="6" t="str">
        <f>VLOOKUP(LD_01[[#This Row],[DOCUMENTO]],_xlfn.SORTBY(ARQUIVOS_RECEBIDOS!$E$2:$F$5010,ARQUIVOS_RECEBIDOS!$F$2:$F$5010,-1),2,)</f>
        <v>R01</v>
      </c>
      <c r="C586" s="15" t="s">
        <v>5987</v>
      </c>
      <c r="D586" s="6" t="s">
        <v>4317</v>
      </c>
      <c r="E586" s="8" t="s">
        <v>4117</v>
      </c>
      <c r="F586" s="8" t="s">
        <v>4142</v>
      </c>
      <c r="G586" s="6" t="str">
        <f>_xlfn.XLOOKUP(LD_01[[#This Row],[DISCIPLINA]],'CLASSES DE PROJETOS'!$F$3:$F$37,'CLASSES DE PROJETOS'!$C$3:$C$37)</f>
        <v>DR</v>
      </c>
      <c r="H586" t="str">
        <f>_xlfn.TEXTJOIN("/",TRUE,"MSV-163MS-"&amp;LD_01[[#This Row],[TRECHO]],_xlfn.XLOOKUP(LD_01[[#This Row],[SIGLA]],'CLASSES DE PROJETOS'!$C$3:$C$37,'CLASSES DE PROJETOS'!$E$3:$E$37))</f>
        <v>MSV-163MS-535-545/10.DR</v>
      </c>
      <c r="I586" s="6" t="str" cm="1">
        <f t="array" ref="I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J586" s="6" t="str" cm="1">
        <f t="array" ref="J586">_xlfn.TEXTJOIN(", ",TRUE,_xlfn.UNIQUE(_xlfn._xlws.FILTER(ARQUIVOS_RECEBIDOS!$F$2:$F$5010,ARQUIVOS_RECEBIDOS!$E$2:$E$5010=LD_01[[#This Row],[DOCUMENTO]])))</f>
        <v>R01</v>
      </c>
      <c r="K586" s="12" cm="1">
        <f t="array" ref="K586">_xlfn.UNIQUE(_xlfn._xlws.FILTER(ARQUIVOS[DATA RECEBIMENTO],(ARQUIVOS[DOCUMENTO]=LD_01[[#This Row],[DOCUMENTO]])*(ARQUIVOS[REVISÃO]=LD_01[[#This Row],[REVISÃO]])))</f>
        <v>45838</v>
      </c>
      <c r="L5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M586" s="6" t="str">
        <f>LD_01[[#This Row],[PASTA]]&amp;"/"&amp;LD_01[[#This Row],[ARQUIVO]]</f>
        <v>MSV-163MS-535-545/10.DR/MSV-163MS-535-545-ACA-EXE-DE-H2-108-R01.pdf</v>
      </c>
    </row>
    <row r="587" spans="1:13" ht="43.2" hidden="1" x14ac:dyDescent="0.3">
      <c r="A587" s="6" t="s">
        <v>3349</v>
      </c>
      <c r="B587" s="6" t="str">
        <f>VLOOKUP(LD_01[[#This Row],[DOCUMENTO]],_xlfn.SORTBY(ARQUIVOS_RECEBIDOS!$E$2:$F$5010,ARQUIVOS_RECEBIDOS!$F$2:$F$5010,-1),2,)</f>
        <v>R01</v>
      </c>
      <c r="C587" s="15" t="s">
        <v>5987</v>
      </c>
      <c r="D587" s="6" t="s">
        <v>4317</v>
      </c>
      <c r="E587" s="8" t="s">
        <v>4324</v>
      </c>
      <c r="F587" s="8" t="s">
        <v>4142</v>
      </c>
      <c r="G587" s="6" t="str">
        <f>_xlfn.XLOOKUP(LD_01[[#This Row],[DISCIPLINA]],'CLASSES DE PROJETOS'!$F$3:$F$37,'CLASSES DE PROJETOS'!$C$3:$C$37)</f>
        <v>DR</v>
      </c>
      <c r="H587" t="str">
        <f>_xlfn.TEXTJOIN("/",TRUE,"MSV-163MS-"&amp;LD_01[[#This Row],[TRECHO]],_xlfn.XLOOKUP(LD_01[[#This Row],[SIGLA]],'CLASSES DE PROJETOS'!$C$3:$C$37,'CLASSES DE PROJETOS'!$E$3:$E$37))</f>
        <v>MSV-163MS-535-545/10.DR</v>
      </c>
      <c r="I587" s="6" t="str" cm="1">
        <f t="array" ref="I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J587" s="6" t="str" cm="1">
        <f t="array" ref="J587">_xlfn.TEXTJOIN(", ",TRUE,_xlfn.UNIQUE(_xlfn._xlws.FILTER(ARQUIVOS_RECEBIDOS!$F$2:$F$5010,ARQUIVOS_RECEBIDOS!$E$2:$E$5010=LD_01[[#This Row],[DOCUMENTO]])))</f>
        <v>R01</v>
      </c>
      <c r="K587" s="12" cm="1">
        <f t="array" ref="K587">_xlfn.UNIQUE(_xlfn._xlws.FILTER(ARQUIVOS[DATA RECEBIMENTO],(ARQUIVOS[DOCUMENTO]=LD_01[[#This Row],[DOCUMENTO]])*(ARQUIVOS[REVISÃO]=LD_01[[#This Row],[REVISÃO]])))</f>
        <v>45838</v>
      </c>
      <c r="L5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M587" s="6" t="str">
        <f>LD_01[[#This Row],[PASTA]]&amp;"/"&amp;LD_01[[#This Row],[ARQUIVO]]</f>
        <v>MSV-163MS-535-545/10.DR/MSV-163MS-535-545-ACA-EXE-DE-H2-109-R01.pdf</v>
      </c>
    </row>
    <row r="588" spans="1:13" ht="43.2" hidden="1" x14ac:dyDescent="0.3">
      <c r="A588" s="6" t="s">
        <v>3350</v>
      </c>
      <c r="B588" s="6" t="str">
        <f>VLOOKUP(LD_01[[#This Row],[DOCUMENTO]],_xlfn.SORTBY(ARQUIVOS_RECEBIDOS!$E$2:$F$5010,ARQUIVOS_RECEBIDOS!$F$2:$F$5010,-1),2,)</f>
        <v>R01</v>
      </c>
      <c r="C588" s="15" t="s">
        <v>5987</v>
      </c>
      <c r="D588" s="6" t="s">
        <v>4317</v>
      </c>
      <c r="E588" s="8" t="s">
        <v>4324</v>
      </c>
      <c r="F588" s="8" t="s">
        <v>4142</v>
      </c>
      <c r="G588" s="6" t="str">
        <f>_xlfn.XLOOKUP(LD_01[[#This Row],[DISCIPLINA]],'CLASSES DE PROJETOS'!$F$3:$F$37,'CLASSES DE PROJETOS'!$C$3:$C$37)</f>
        <v>DR</v>
      </c>
      <c r="H588" t="str">
        <f>_xlfn.TEXTJOIN("/",TRUE,"MSV-163MS-"&amp;LD_01[[#This Row],[TRECHO]],_xlfn.XLOOKUP(LD_01[[#This Row],[SIGLA]],'CLASSES DE PROJETOS'!$C$3:$C$37,'CLASSES DE PROJETOS'!$E$3:$E$37))</f>
        <v>MSV-163MS-535-545/10.DR</v>
      </c>
      <c r="I588" s="6" t="str" cm="1">
        <f t="array" ref="I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J588" s="6" t="str" cm="1">
        <f t="array" ref="J588">_xlfn.TEXTJOIN(", ",TRUE,_xlfn.UNIQUE(_xlfn._xlws.FILTER(ARQUIVOS_RECEBIDOS!$F$2:$F$5010,ARQUIVOS_RECEBIDOS!$E$2:$E$5010=LD_01[[#This Row],[DOCUMENTO]])))</f>
        <v>R01</v>
      </c>
      <c r="K588" s="12" cm="1">
        <f t="array" ref="K588">_xlfn.UNIQUE(_xlfn._xlws.FILTER(ARQUIVOS[DATA RECEBIMENTO],(ARQUIVOS[DOCUMENTO]=LD_01[[#This Row],[DOCUMENTO]])*(ARQUIVOS[REVISÃO]=LD_01[[#This Row],[REVISÃO]])))</f>
        <v>45838</v>
      </c>
      <c r="L5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M588" s="6" t="str">
        <f>LD_01[[#This Row],[PASTA]]&amp;"/"&amp;LD_01[[#This Row],[ARQUIVO]]</f>
        <v>MSV-163MS-535-545/10.DR/MSV-163MS-535-545-ACA-EXE-DE-H2-110-R01.pdf</v>
      </c>
    </row>
    <row r="589" spans="1:13" ht="57.6" hidden="1" x14ac:dyDescent="0.3">
      <c r="A589" s="6" t="s">
        <v>3351</v>
      </c>
      <c r="B589" s="6" t="str">
        <f>VLOOKUP(LD_01[[#This Row],[DOCUMENTO]],_xlfn.SORTBY(ARQUIVOS_RECEBIDOS!$E$2:$F$5010,ARQUIVOS_RECEBIDOS!$F$2:$F$5010,-1),2,)</f>
        <v>R01</v>
      </c>
      <c r="C589" s="15" t="s">
        <v>5987</v>
      </c>
      <c r="D589" s="6" t="s">
        <v>4317</v>
      </c>
      <c r="E589" s="8" t="s">
        <v>4325</v>
      </c>
      <c r="F589" s="8" t="s">
        <v>4142</v>
      </c>
      <c r="G589" s="6" t="str">
        <f>_xlfn.XLOOKUP(LD_01[[#This Row],[DISCIPLINA]],'CLASSES DE PROJETOS'!$F$3:$F$37,'CLASSES DE PROJETOS'!$C$3:$C$37)</f>
        <v>DR</v>
      </c>
      <c r="H589" t="str">
        <f>_xlfn.TEXTJOIN("/",TRUE,"MSV-163MS-"&amp;LD_01[[#This Row],[TRECHO]],_xlfn.XLOOKUP(LD_01[[#This Row],[SIGLA]],'CLASSES DE PROJETOS'!$C$3:$C$37,'CLASSES DE PROJETOS'!$E$3:$E$37))</f>
        <v>MSV-163MS-535-545/10.DR</v>
      </c>
      <c r="I589" s="6" t="str" cm="1">
        <f t="array" ref="I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J589" s="6" t="str" cm="1">
        <f t="array" ref="J589">_xlfn.TEXTJOIN(", ",TRUE,_xlfn.UNIQUE(_xlfn._xlws.FILTER(ARQUIVOS_RECEBIDOS!$F$2:$F$5010,ARQUIVOS_RECEBIDOS!$E$2:$E$5010=LD_01[[#This Row],[DOCUMENTO]])))</f>
        <v>R01</v>
      </c>
      <c r="K589" s="12" cm="1">
        <f t="array" ref="K589">_xlfn.UNIQUE(_xlfn._xlws.FILTER(ARQUIVOS[DATA RECEBIMENTO],(ARQUIVOS[DOCUMENTO]=LD_01[[#This Row],[DOCUMENTO]])*(ARQUIVOS[REVISÃO]=LD_01[[#This Row],[REVISÃO]])))</f>
        <v>45838</v>
      </c>
      <c r="L5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M589" s="6" t="str">
        <f>LD_01[[#This Row],[PASTA]]&amp;"/"&amp;LD_01[[#This Row],[ARQUIVO]]</f>
        <v>MSV-163MS-535-545/10.DR/MSV-163MS-535-545-ACA-EXE-DE-H2-111-R01.pdf</v>
      </c>
    </row>
    <row r="590" spans="1:13" ht="43.2" hidden="1" x14ac:dyDescent="0.3">
      <c r="A590" s="6" t="s">
        <v>3352</v>
      </c>
      <c r="B590" s="6" t="str">
        <f>VLOOKUP(LD_01[[#This Row],[DOCUMENTO]],_xlfn.SORTBY(ARQUIVOS_RECEBIDOS!$E$2:$F$5010,ARQUIVOS_RECEBIDOS!$F$2:$F$5010,-1),2,)</f>
        <v>R01</v>
      </c>
      <c r="C590" s="15" t="s">
        <v>5987</v>
      </c>
      <c r="D590" s="6" t="s">
        <v>4317</v>
      </c>
      <c r="E590" s="8" t="s">
        <v>4326</v>
      </c>
      <c r="F590" s="8" t="s">
        <v>4142</v>
      </c>
      <c r="G590" s="6" t="str">
        <f>_xlfn.XLOOKUP(LD_01[[#This Row],[DISCIPLINA]],'CLASSES DE PROJETOS'!$F$3:$F$37,'CLASSES DE PROJETOS'!$C$3:$C$37)</f>
        <v>DR</v>
      </c>
      <c r="H590" t="str">
        <f>_xlfn.TEXTJOIN("/",TRUE,"MSV-163MS-"&amp;LD_01[[#This Row],[TRECHO]],_xlfn.XLOOKUP(LD_01[[#This Row],[SIGLA]],'CLASSES DE PROJETOS'!$C$3:$C$37,'CLASSES DE PROJETOS'!$E$3:$E$37))</f>
        <v>MSV-163MS-535-545/10.DR</v>
      </c>
      <c r="I590" s="6" t="str" cm="1">
        <f t="array" ref="I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J590" s="6" t="str" cm="1">
        <f t="array" ref="J590">_xlfn.TEXTJOIN(", ",TRUE,_xlfn.UNIQUE(_xlfn._xlws.FILTER(ARQUIVOS_RECEBIDOS!$F$2:$F$5010,ARQUIVOS_RECEBIDOS!$E$2:$E$5010=LD_01[[#This Row],[DOCUMENTO]])))</f>
        <v>R01</v>
      </c>
      <c r="K590" s="12" cm="1">
        <f t="array" ref="K590">_xlfn.UNIQUE(_xlfn._xlws.FILTER(ARQUIVOS[DATA RECEBIMENTO],(ARQUIVOS[DOCUMENTO]=LD_01[[#This Row],[DOCUMENTO]])*(ARQUIVOS[REVISÃO]=LD_01[[#This Row],[REVISÃO]])))</f>
        <v>45838</v>
      </c>
      <c r="L5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M590" s="6" t="str">
        <f>LD_01[[#This Row],[PASTA]]&amp;"/"&amp;LD_01[[#This Row],[ARQUIVO]]</f>
        <v>MSV-163MS-535-545/10.DR/MSV-163MS-535-545-ACA-EXE-DE-H2-112-R01.pdf</v>
      </c>
    </row>
    <row r="591" spans="1:13" ht="43.2" hidden="1" x14ac:dyDescent="0.3">
      <c r="A591" s="6" t="s">
        <v>3353</v>
      </c>
      <c r="B591" s="6" t="str">
        <f>VLOOKUP(LD_01[[#This Row],[DOCUMENTO]],_xlfn.SORTBY(ARQUIVOS_RECEBIDOS!$E$2:$F$5010,ARQUIVOS_RECEBIDOS!$F$2:$F$5010,-1),2,)</f>
        <v>R01</v>
      </c>
      <c r="C591" s="15" t="s">
        <v>5987</v>
      </c>
      <c r="D591" s="6" t="s">
        <v>4317</v>
      </c>
      <c r="E591" s="8" t="s">
        <v>4118</v>
      </c>
      <c r="F591" s="8" t="s">
        <v>4142</v>
      </c>
      <c r="G591" s="6" t="str">
        <f>_xlfn.XLOOKUP(LD_01[[#This Row],[DISCIPLINA]],'CLASSES DE PROJETOS'!$F$3:$F$37,'CLASSES DE PROJETOS'!$C$3:$C$37)</f>
        <v>DR</v>
      </c>
      <c r="H591" t="str">
        <f>_xlfn.TEXTJOIN("/",TRUE,"MSV-163MS-"&amp;LD_01[[#This Row],[TRECHO]],_xlfn.XLOOKUP(LD_01[[#This Row],[SIGLA]],'CLASSES DE PROJETOS'!$C$3:$C$37,'CLASSES DE PROJETOS'!$E$3:$E$37))</f>
        <v>MSV-163MS-535-545/10.DR</v>
      </c>
      <c r="I591" s="6" t="str" cm="1">
        <f t="array" ref="I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J591" s="6" t="str" cm="1">
        <f t="array" ref="J591">_xlfn.TEXTJOIN(", ",TRUE,_xlfn.UNIQUE(_xlfn._xlws.FILTER(ARQUIVOS_RECEBIDOS!$F$2:$F$5010,ARQUIVOS_RECEBIDOS!$E$2:$E$5010=LD_01[[#This Row],[DOCUMENTO]])))</f>
        <v>R01</v>
      </c>
      <c r="K591" s="12" cm="1">
        <f t="array" ref="K591">_xlfn.UNIQUE(_xlfn._xlws.FILTER(ARQUIVOS[DATA RECEBIMENTO],(ARQUIVOS[DOCUMENTO]=LD_01[[#This Row],[DOCUMENTO]])*(ARQUIVOS[REVISÃO]=LD_01[[#This Row],[REVISÃO]])))</f>
        <v>45838</v>
      </c>
      <c r="L5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M591" s="6" t="str">
        <f>LD_01[[#This Row],[PASTA]]&amp;"/"&amp;LD_01[[#This Row],[ARQUIVO]]</f>
        <v>MSV-163MS-535-545/10.DR/MSV-163MS-535-545-ACA-EXE-DE-H2-113-R01.pdf</v>
      </c>
    </row>
    <row r="592" spans="1:13" ht="43.2" hidden="1" x14ac:dyDescent="0.3">
      <c r="A592" s="6" t="s">
        <v>3354</v>
      </c>
      <c r="B592" s="6" t="str">
        <f>VLOOKUP(LD_01[[#This Row],[DOCUMENTO]],_xlfn.SORTBY(ARQUIVOS_RECEBIDOS!$E$2:$F$5010,ARQUIVOS_RECEBIDOS!$F$2:$F$5010,-1),2,)</f>
        <v>R01</v>
      </c>
      <c r="C592" s="15" t="s">
        <v>5987</v>
      </c>
      <c r="D592" s="6" t="s">
        <v>4317</v>
      </c>
      <c r="E592" s="8" t="s">
        <v>4327</v>
      </c>
      <c r="F592" s="8" t="s">
        <v>4142</v>
      </c>
      <c r="G592" s="6" t="str">
        <f>_xlfn.XLOOKUP(LD_01[[#This Row],[DISCIPLINA]],'CLASSES DE PROJETOS'!$F$3:$F$37,'CLASSES DE PROJETOS'!$C$3:$C$37)</f>
        <v>DR</v>
      </c>
      <c r="H592" t="str">
        <f>_xlfn.TEXTJOIN("/",TRUE,"MSV-163MS-"&amp;LD_01[[#This Row],[TRECHO]],_xlfn.XLOOKUP(LD_01[[#This Row],[SIGLA]],'CLASSES DE PROJETOS'!$C$3:$C$37,'CLASSES DE PROJETOS'!$E$3:$E$37))</f>
        <v>MSV-163MS-535-545/10.DR</v>
      </c>
      <c r="I592" s="6" t="str" cm="1">
        <f t="array" ref="I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J592" s="6" t="str" cm="1">
        <f t="array" ref="J592">_xlfn.TEXTJOIN(", ",TRUE,_xlfn.UNIQUE(_xlfn._xlws.FILTER(ARQUIVOS_RECEBIDOS!$F$2:$F$5010,ARQUIVOS_RECEBIDOS!$E$2:$E$5010=LD_01[[#This Row],[DOCUMENTO]])))</f>
        <v>R01</v>
      </c>
      <c r="K592" s="12" cm="1">
        <f t="array" ref="K592">_xlfn.UNIQUE(_xlfn._xlws.FILTER(ARQUIVOS[DATA RECEBIMENTO],(ARQUIVOS[DOCUMENTO]=LD_01[[#This Row],[DOCUMENTO]])*(ARQUIVOS[REVISÃO]=LD_01[[#This Row],[REVISÃO]])))</f>
        <v>45838</v>
      </c>
      <c r="L5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M592" s="6" t="str">
        <f>LD_01[[#This Row],[PASTA]]&amp;"/"&amp;LD_01[[#This Row],[ARQUIVO]]</f>
        <v>MSV-163MS-535-545/10.DR/MSV-163MS-535-545-ACA-EXE-DE-H2-114-R01.pdf</v>
      </c>
    </row>
    <row r="593" spans="1:13" ht="57.6" hidden="1" x14ac:dyDescent="0.3">
      <c r="A593" s="6" t="s">
        <v>3355</v>
      </c>
      <c r="B593" s="6" t="str">
        <f>VLOOKUP(LD_01[[#This Row],[DOCUMENTO]],_xlfn.SORTBY(ARQUIVOS_RECEBIDOS!$E$2:$F$5010,ARQUIVOS_RECEBIDOS!$F$2:$F$5010,-1),2,)</f>
        <v>R01</v>
      </c>
      <c r="C593" s="15" t="s">
        <v>5987</v>
      </c>
      <c r="D593" s="6" t="s">
        <v>4317</v>
      </c>
      <c r="E593" s="8" t="s">
        <v>4328</v>
      </c>
      <c r="F593" s="8" t="s">
        <v>4142</v>
      </c>
      <c r="G593" s="6" t="str">
        <f>_xlfn.XLOOKUP(LD_01[[#This Row],[DISCIPLINA]],'CLASSES DE PROJETOS'!$F$3:$F$37,'CLASSES DE PROJETOS'!$C$3:$C$37)</f>
        <v>DR</v>
      </c>
      <c r="H593" t="str">
        <f>_xlfn.TEXTJOIN("/",TRUE,"MSV-163MS-"&amp;LD_01[[#This Row],[TRECHO]],_xlfn.XLOOKUP(LD_01[[#This Row],[SIGLA]],'CLASSES DE PROJETOS'!$C$3:$C$37,'CLASSES DE PROJETOS'!$E$3:$E$37))</f>
        <v>MSV-163MS-535-545/10.DR</v>
      </c>
      <c r="I593" s="6" t="str" cm="1">
        <f t="array" ref="I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J593" s="6" t="str" cm="1">
        <f t="array" ref="J593">_xlfn.TEXTJOIN(", ",TRUE,_xlfn.UNIQUE(_xlfn._xlws.FILTER(ARQUIVOS_RECEBIDOS!$F$2:$F$5010,ARQUIVOS_RECEBIDOS!$E$2:$E$5010=LD_01[[#This Row],[DOCUMENTO]])))</f>
        <v>R01</v>
      </c>
      <c r="K593" s="12" cm="1">
        <f t="array" ref="K593">_xlfn.UNIQUE(_xlfn._xlws.FILTER(ARQUIVOS[DATA RECEBIMENTO],(ARQUIVOS[DOCUMENTO]=LD_01[[#This Row],[DOCUMENTO]])*(ARQUIVOS[REVISÃO]=LD_01[[#This Row],[REVISÃO]])))</f>
        <v>45838</v>
      </c>
      <c r="L5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M593" s="6" t="str">
        <f>LD_01[[#This Row],[PASTA]]&amp;"/"&amp;LD_01[[#This Row],[ARQUIVO]]</f>
        <v>MSV-163MS-535-545/10.DR/MSV-163MS-535-545-ACA-EXE-DE-H2-115-R01.pdf</v>
      </c>
    </row>
    <row r="594" spans="1:13" ht="43.2" hidden="1" x14ac:dyDescent="0.3">
      <c r="A594" s="6" t="s">
        <v>3356</v>
      </c>
      <c r="B594" s="6" t="str">
        <f>VLOOKUP(LD_01[[#This Row],[DOCUMENTO]],_xlfn.SORTBY(ARQUIVOS_RECEBIDOS!$E$2:$F$5010,ARQUIVOS_RECEBIDOS!$F$2:$F$5010,-1),2,)</f>
        <v>R01</v>
      </c>
      <c r="C594" s="15" t="s">
        <v>5987</v>
      </c>
      <c r="D594" s="6" t="s">
        <v>4317</v>
      </c>
      <c r="E594" s="8" t="s">
        <v>4119</v>
      </c>
      <c r="F594" s="8" t="s">
        <v>4142</v>
      </c>
      <c r="G594" s="6" t="str">
        <f>_xlfn.XLOOKUP(LD_01[[#This Row],[DISCIPLINA]],'CLASSES DE PROJETOS'!$F$3:$F$37,'CLASSES DE PROJETOS'!$C$3:$C$37)</f>
        <v>DR</v>
      </c>
      <c r="H594" t="str">
        <f>_xlfn.TEXTJOIN("/",TRUE,"MSV-163MS-"&amp;LD_01[[#This Row],[TRECHO]],_xlfn.XLOOKUP(LD_01[[#This Row],[SIGLA]],'CLASSES DE PROJETOS'!$C$3:$C$37,'CLASSES DE PROJETOS'!$E$3:$E$37))</f>
        <v>MSV-163MS-535-545/10.DR</v>
      </c>
      <c r="I594" s="6" t="str" cm="1">
        <f t="array" ref="I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J594" s="6" t="str" cm="1">
        <f t="array" ref="J594">_xlfn.TEXTJOIN(", ",TRUE,_xlfn.UNIQUE(_xlfn._xlws.FILTER(ARQUIVOS_RECEBIDOS!$F$2:$F$5010,ARQUIVOS_RECEBIDOS!$E$2:$E$5010=LD_01[[#This Row],[DOCUMENTO]])))</f>
        <v>R01</v>
      </c>
      <c r="K594" s="12" cm="1">
        <f t="array" ref="K594">_xlfn.UNIQUE(_xlfn._xlws.FILTER(ARQUIVOS[DATA RECEBIMENTO],(ARQUIVOS[DOCUMENTO]=LD_01[[#This Row],[DOCUMENTO]])*(ARQUIVOS[REVISÃO]=LD_01[[#This Row],[REVISÃO]])))</f>
        <v>45838</v>
      </c>
      <c r="L5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M594" s="6" t="str">
        <f>LD_01[[#This Row],[PASTA]]&amp;"/"&amp;LD_01[[#This Row],[ARQUIVO]]</f>
        <v>MSV-163MS-535-545/10.DR/MSV-163MS-535-545-ACA-EXE-DE-H2-116-R01.pdf</v>
      </c>
    </row>
    <row r="595" spans="1:13" ht="43.2" hidden="1" x14ac:dyDescent="0.3">
      <c r="A595" s="6" t="s">
        <v>3357</v>
      </c>
      <c r="B595" s="6" t="str">
        <f>VLOOKUP(LD_01[[#This Row],[DOCUMENTO]],_xlfn.SORTBY(ARQUIVOS_RECEBIDOS!$E$2:$F$5010,ARQUIVOS_RECEBIDOS!$F$2:$F$5010,-1),2,)</f>
        <v>R00</v>
      </c>
      <c r="C595" s="15" t="s">
        <v>5987</v>
      </c>
      <c r="D595" s="6" t="s">
        <v>4317</v>
      </c>
      <c r="E595" s="8" t="s">
        <v>4249</v>
      </c>
      <c r="F595" s="8" t="s">
        <v>4142</v>
      </c>
      <c r="G595" s="6" t="str">
        <f>_xlfn.XLOOKUP(LD_01[[#This Row],[DISCIPLINA]],'CLASSES DE PROJETOS'!$F$3:$F$37,'CLASSES DE PROJETOS'!$C$3:$C$37)</f>
        <v>DR</v>
      </c>
      <c r="H595" t="str">
        <f>_xlfn.TEXTJOIN("/",TRUE,"MSV-163MS-"&amp;LD_01[[#This Row],[TRECHO]],_xlfn.XLOOKUP(LD_01[[#This Row],[SIGLA]],'CLASSES DE PROJETOS'!$C$3:$C$37,'CLASSES DE PROJETOS'!$E$3:$E$37))</f>
        <v>MSV-163MS-535-545/10.DR</v>
      </c>
      <c r="I595" s="6" t="str" cm="1">
        <f t="array" ref="I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J595" s="6" t="str" cm="1">
        <f t="array" ref="J595">_xlfn.TEXTJOIN(", ",TRUE,_xlfn.UNIQUE(_xlfn._xlws.FILTER(ARQUIVOS_RECEBIDOS!$F$2:$F$5010,ARQUIVOS_RECEBIDOS!$E$2:$E$5010=LD_01[[#This Row],[DOCUMENTO]])))</f>
        <v>R00</v>
      </c>
      <c r="K595" s="12" cm="1">
        <f t="array" ref="K595">_xlfn.UNIQUE(_xlfn._xlws.FILTER(ARQUIVOS[DATA RECEBIMENTO],(ARQUIVOS[DOCUMENTO]=LD_01[[#This Row],[DOCUMENTO]])*(ARQUIVOS[REVISÃO]=LD_01[[#This Row],[REVISÃO]])))</f>
        <v>45838</v>
      </c>
      <c r="L5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M595" s="6" t="str">
        <f>LD_01[[#This Row],[PASTA]]&amp;"/"&amp;LD_01[[#This Row],[ARQUIVO]]</f>
        <v>MSV-163MS-535-545/10.DR/MSV-163MS-535-545-ACA-EXE-DE-H2-117-R00.pdf</v>
      </c>
    </row>
    <row r="596" spans="1:13" ht="43.2" hidden="1" x14ac:dyDescent="0.3">
      <c r="A596" s="6" t="s">
        <v>3358</v>
      </c>
      <c r="B596" s="6" t="str">
        <f>VLOOKUP(LD_01[[#This Row],[DOCUMENTO]],_xlfn.SORTBY(ARQUIVOS_RECEBIDOS!$E$2:$F$5010,ARQUIVOS_RECEBIDOS!$F$2:$F$5010,-1),2,)</f>
        <v>R03</v>
      </c>
      <c r="C596" s="15" t="s">
        <v>5987</v>
      </c>
      <c r="D596" s="6" t="s">
        <v>4317</v>
      </c>
      <c r="E596" s="8" t="s">
        <v>4250</v>
      </c>
      <c r="F596" s="8" t="s">
        <v>4142</v>
      </c>
      <c r="G596" s="6" t="str">
        <f>_xlfn.XLOOKUP(LD_01[[#This Row],[DISCIPLINA]],'CLASSES DE PROJETOS'!$F$3:$F$37,'CLASSES DE PROJETOS'!$C$3:$C$37)</f>
        <v>DR</v>
      </c>
      <c r="H596" t="str">
        <f>_xlfn.TEXTJOIN("/",TRUE,"MSV-163MS-"&amp;LD_01[[#This Row],[TRECHO]],_xlfn.XLOOKUP(LD_01[[#This Row],[SIGLA]],'CLASSES DE PROJETOS'!$C$3:$C$37,'CLASSES DE PROJETOS'!$E$3:$E$37))</f>
        <v>MSV-163MS-535-545/10.DR</v>
      </c>
      <c r="I596" s="6" t="str" cm="1">
        <f t="array" ref="I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J596" s="6" t="str" cm="1">
        <f t="array" ref="J596">_xlfn.TEXTJOIN(", ",TRUE,_xlfn.UNIQUE(_xlfn._xlws.FILTER(ARQUIVOS_RECEBIDOS!$F$2:$F$5010,ARQUIVOS_RECEBIDOS!$E$2:$E$5010=LD_01[[#This Row],[DOCUMENTO]])))</f>
        <v>R02, R03</v>
      </c>
      <c r="K596" s="12" cm="1">
        <f t="array" ref="K596">_xlfn.UNIQUE(_xlfn._xlws.FILTER(ARQUIVOS[DATA RECEBIMENTO],(ARQUIVOS[DOCUMENTO]=LD_01[[#This Row],[DOCUMENTO]])*(ARQUIVOS[REVISÃO]=LD_01[[#This Row],[REVISÃO]])))</f>
        <v>46001</v>
      </c>
      <c r="L5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M596" s="6" t="str">
        <f>LD_01[[#This Row],[PASTA]]&amp;"/"&amp;LD_01[[#This Row],[ARQUIVO]]</f>
        <v>MSV-163MS-535-545/10.DR/MSV-163MS-535-545-ACA-EXE-DE-H2-118-R03.pdf</v>
      </c>
    </row>
    <row r="597" spans="1:13" ht="43.2" hidden="1" x14ac:dyDescent="0.3">
      <c r="A597" s="6" t="s">
        <v>3359</v>
      </c>
      <c r="B597" s="6" t="str">
        <f>VLOOKUP(LD_01[[#This Row],[DOCUMENTO]],_xlfn.SORTBY(ARQUIVOS_RECEBIDOS!$E$2:$F$5010,ARQUIVOS_RECEBIDOS!$F$2:$F$5010,-1),2,)</f>
        <v>R01</v>
      </c>
      <c r="C597" s="15" t="s">
        <v>5987</v>
      </c>
      <c r="D597" s="6" t="s">
        <v>4317</v>
      </c>
      <c r="E597" s="8" t="s">
        <v>4251</v>
      </c>
      <c r="F597" s="8" t="s">
        <v>4142</v>
      </c>
      <c r="G597" s="6" t="str">
        <f>_xlfn.XLOOKUP(LD_01[[#This Row],[DISCIPLINA]],'CLASSES DE PROJETOS'!$F$3:$F$37,'CLASSES DE PROJETOS'!$C$3:$C$37)</f>
        <v>DR</v>
      </c>
      <c r="H597" t="str">
        <f>_xlfn.TEXTJOIN("/",TRUE,"MSV-163MS-"&amp;LD_01[[#This Row],[TRECHO]],_xlfn.XLOOKUP(LD_01[[#This Row],[SIGLA]],'CLASSES DE PROJETOS'!$C$3:$C$37,'CLASSES DE PROJETOS'!$E$3:$E$37))</f>
        <v>MSV-163MS-535-545/10.DR</v>
      </c>
      <c r="I597" s="6" t="str" cm="1">
        <f t="array" ref="I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J597" s="6" t="str" cm="1">
        <f t="array" ref="J597">_xlfn.TEXTJOIN(", ",TRUE,_xlfn.UNIQUE(_xlfn._xlws.FILTER(ARQUIVOS_RECEBIDOS!$F$2:$F$5010,ARQUIVOS_RECEBIDOS!$E$2:$E$5010=LD_01[[#This Row],[DOCUMENTO]])))</f>
        <v>R00, R01</v>
      </c>
      <c r="K597" s="12" cm="1">
        <f t="array" ref="K597">_xlfn.UNIQUE(_xlfn._xlws.FILTER(ARQUIVOS[DATA RECEBIMENTO],(ARQUIVOS[DOCUMENTO]=LD_01[[#This Row],[DOCUMENTO]])*(ARQUIVOS[REVISÃO]=LD_01[[#This Row],[REVISÃO]])))</f>
        <v>45895</v>
      </c>
      <c r="L5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M597" s="6" t="str">
        <f>LD_01[[#This Row],[PASTA]]&amp;"/"&amp;LD_01[[#This Row],[ARQUIVO]]</f>
        <v>MSV-163MS-535-545/10.DR/MSV-163MS-535-545-ACA-EXE-DE-H2-119-R01.pdf</v>
      </c>
    </row>
    <row r="598" spans="1:13" ht="43.2" hidden="1" x14ac:dyDescent="0.3">
      <c r="A598" s="6" t="s">
        <v>3360</v>
      </c>
      <c r="B598" s="6" t="str">
        <f>VLOOKUP(LD_01[[#This Row],[DOCUMENTO]],_xlfn.SORTBY(ARQUIVOS_RECEBIDOS!$E$2:$F$5010,ARQUIVOS_RECEBIDOS!$F$2:$F$5010,-1),2,)</f>
        <v>R00</v>
      </c>
      <c r="C598" s="15" t="s">
        <v>5987</v>
      </c>
      <c r="D598" s="6" t="s">
        <v>4317</v>
      </c>
      <c r="E598" s="8" t="s">
        <v>4252</v>
      </c>
      <c r="F598" s="8" t="s">
        <v>4142</v>
      </c>
      <c r="G598" s="6" t="str">
        <f>_xlfn.XLOOKUP(LD_01[[#This Row],[DISCIPLINA]],'CLASSES DE PROJETOS'!$F$3:$F$37,'CLASSES DE PROJETOS'!$C$3:$C$37)</f>
        <v>DR</v>
      </c>
      <c r="H598" t="str">
        <f>_xlfn.TEXTJOIN("/",TRUE,"MSV-163MS-"&amp;LD_01[[#This Row],[TRECHO]],_xlfn.XLOOKUP(LD_01[[#This Row],[SIGLA]],'CLASSES DE PROJETOS'!$C$3:$C$37,'CLASSES DE PROJETOS'!$E$3:$E$37))</f>
        <v>MSV-163MS-535-545/10.DR</v>
      </c>
      <c r="I598" s="6" t="str" cm="1">
        <f t="array" ref="I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J598" s="6" t="str" cm="1">
        <f t="array" ref="J598">_xlfn.TEXTJOIN(", ",TRUE,_xlfn.UNIQUE(_xlfn._xlws.FILTER(ARQUIVOS_RECEBIDOS!$F$2:$F$5010,ARQUIVOS_RECEBIDOS!$E$2:$E$5010=LD_01[[#This Row],[DOCUMENTO]])))</f>
        <v>R00</v>
      </c>
      <c r="K598" s="12" cm="1">
        <f t="array" ref="K598">_xlfn.UNIQUE(_xlfn._xlws.FILTER(ARQUIVOS[DATA RECEBIMENTO],(ARQUIVOS[DOCUMENTO]=LD_01[[#This Row],[DOCUMENTO]])*(ARQUIVOS[REVISÃO]=LD_01[[#This Row],[REVISÃO]])))</f>
        <v>45838</v>
      </c>
      <c r="L5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M598" s="6" t="str">
        <f>LD_01[[#This Row],[PASTA]]&amp;"/"&amp;LD_01[[#This Row],[ARQUIVO]]</f>
        <v>MSV-163MS-535-545/10.DR/MSV-163MS-535-545-ACA-EXE-DE-H2-120-R00.pdf</v>
      </c>
    </row>
    <row r="599" spans="1:13" ht="57.6" hidden="1" x14ac:dyDescent="0.3">
      <c r="A599" s="6" t="s">
        <v>3361</v>
      </c>
      <c r="B599" s="6" t="str">
        <f>VLOOKUP(LD_01[[#This Row],[DOCUMENTO]],_xlfn.SORTBY(ARQUIVOS_RECEBIDOS!$E$2:$F$5010,ARQUIVOS_RECEBIDOS!$F$2:$F$5010,-1),2,)</f>
        <v>R00</v>
      </c>
      <c r="C599" s="15" t="s">
        <v>5987</v>
      </c>
      <c r="D599" s="6" t="s">
        <v>4317</v>
      </c>
      <c r="E599" s="8" t="s">
        <v>4253</v>
      </c>
      <c r="F599" s="8" t="s">
        <v>4142</v>
      </c>
      <c r="G599" s="6" t="str">
        <f>_xlfn.XLOOKUP(LD_01[[#This Row],[DISCIPLINA]],'CLASSES DE PROJETOS'!$F$3:$F$37,'CLASSES DE PROJETOS'!$C$3:$C$37)</f>
        <v>DR</v>
      </c>
      <c r="H599" t="str">
        <f>_xlfn.TEXTJOIN("/",TRUE,"MSV-163MS-"&amp;LD_01[[#This Row],[TRECHO]],_xlfn.XLOOKUP(LD_01[[#This Row],[SIGLA]],'CLASSES DE PROJETOS'!$C$3:$C$37,'CLASSES DE PROJETOS'!$E$3:$E$37))</f>
        <v>MSV-163MS-535-545/10.DR</v>
      </c>
      <c r="I599" s="6" t="str" cm="1">
        <f t="array" ref="I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J599" s="6" t="str" cm="1">
        <f t="array" ref="J599">_xlfn.TEXTJOIN(", ",TRUE,_xlfn.UNIQUE(_xlfn._xlws.FILTER(ARQUIVOS_RECEBIDOS!$F$2:$F$5010,ARQUIVOS_RECEBIDOS!$E$2:$E$5010=LD_01[[#This Row],[DOCUMENTO]])))</f>
        <v>R00</v>
      </c>
      <c r="K599" s="12" cm="1">
        <f t="array" ref="K599">_xlfn.UNIQUE(_xlfn._xlws.FILTER(ARQUIVOS[DATA RECEBIMENTO],(ARQUIVOS[DOCUMENTO]=LD_01[[#This Row],[DOCUMENTO]])*(ARQUIVOS[REVISÃO]=LD_01[[#This Row],[REVISÃO]])))</f>
        <v>45838</v>
      </c>
      <c r="L5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M599" s="6" t="str">
        <f>LD_01[[#This Row],[PASTA]]&amp;"/"&amp;LD_01[[#This Row],[ARQUIVO]]</f>
        <v>MSV-163MS-535-545/10.DR/MSV-163MS-535-545-ACA-EXE-DE-H2-121-R00.pdf</v>
      </c>
    </row>
    <row r="600" spans="1:13" hidden="1" x14ac:dyDescent="0.3">
      <c r="A600" s="6" t="s">
        <v>3380</v>
      </c>
      <c r="B600" s="6" t="str">
        <f>VLOOKUP(LD_01[[#This Row],[DOCUMENTO]],_xlfn.SORTBY(ARQUIVOS_RECEBIDOS!$E$2:$F$5010,ARQUIVOS_RECEBIDOS!$F$2:$F$5010,-1),2,)</f>
        <v>R05</v>
      </c>
      <c r="C600" s="15" t="s">
        <v>5987</v>
      </c>
      <c r="D600" s="6" t="s">
        <v>4317</v>
      </c>
      <c r="E600" s="8" t="s">
        <v>4087</v>
      </c>
      <c r="F600" s="8" t="s">
        <v>4143</v>
      </c>
      <c r="G600" s="6" t="str">
        <f>_xlfn.XLOOKUP(LD_01[[#This Row],[DISCIPLINA]],'CLASSES DE PROJETOS'!$F$3:$F$37,'CLASSES DE PROJETOS'!$C$3:$C$37)</f>
        <v>PV</v>
      </c>
      <c r="H600" t="str">
        <f>_xlfn.TEXTJOIN("/",TRUE,"MSV-163MS-"&amp;LD_01[[#This Row],[TRECHO]],_xlfn.XLOOKUP(LD_01[[#This Row],[SIGLA]],'CLASSES DE PROJETOS'!$C$3:$C$37,'CLASSES DE PROJETOS'!$E$3:$E$37))</f>
        <v>MSV-163MS-535-545/28.PV</v>
      </c>
      <c r="I600" s="6" t="str" cm="1">
        <f t="array" ref="I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J600" s="6" t="str" cm="1">
        <f t="array" ref="J600">_xlfn.TEXTJOIN(", ",TRUE,_xlfn.UNIQUE(_xlfn._xlws.FILTER(ARQUIVOS_RECEBIDOS!$F$2:$F$5010,ARQUIVOS_RECEBIDOS!$E$2:$E$5010=LD_01[[#This Row],[DOCUMENTO]])))</f>
        <v>R03, R05</v>
      </c>
      <c r="K600" s="12" cm="1">
        <f t="array" ref="K600">_xlfn.UNIQUE(_xlfn._xlws.FILTER(ARQUIVOS[DATA RECEBIMENTO],(ARQUIVOS[DOCUMENTO]=LD_01[[#This Row],[DOCUMENTO]])*(ARQUIVOS[REVISÃO]=LD_01[[#This Row],[REVISÃO]])))</f>
        <v>45895</v>
      </c>
      <c r="L6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M600" s="6" t="str">
        <f>LD_01[[#This Row],[PASTA]]&amp;"/"&amp;LD_01[[#This Row],[ARQUIVO]]</f>
        <v>MSV-163MS-535-545/28.PV/MSV-163MS-535-545-ACA-EXE-DE-I2-001-R05.pdf</v>
      </c>
    </row>
    <row r="601" spans="1:13" hidden="1" x14ac:dyDescent="0.3">
      <c r="A601" s="6" t="s">
        <v>3381</v>
      </c>
      <c r="B601" s="6" t="str">
        <f>VLOOKUP(LD_01[[#This Row],[DOCUMENTO]],_xlfn.SORTBY(ARQUIVOS_RECEBIDOS!$E$2:$F$5010,ARQUIVOS_RECEBIDOS!$F$2:$F$5010,-1),2,)</f>
        <v>R03</v>
      </c>
      <c r="C601" s="15" t="s">
        <v>5987</v>
      </c>
      <c r="D601" s="6" t="s">
        <v>4317</v>
      </c>
      <c r="E601" s="8" t="s">
        <v>4087</v>
      </c>
      <c r="F601" s="8" t="s">
        <v>4143</v>
      </c>
      <c r="G601" s="6" t="str">
        <f>_xlfn.XLOOKUP(LD_01[[#This Row],[DISCIPLINA]],'CLASSES DE PROJETOS'!$F$3:$F$37,'CLASSES DE PROJETOS'!$C$3:$C$37)</f>
        <v>PV</v>
      </c>
      <c r="H601" t="str">
        <f>_xlfn.TEXTJOIN("/",TRUE,"MSV-163MS-"&amp;LD_01[[#This Row],[TRECHO]],_xlfn.XLOOKUP(LD_01[[#This Row],[SIGLA]],'CLASSES DE PROJETOS'!$C$3:$C$37,'CLASSES DE PROJETOS'!$E$3:$E$37))</f>
        <v>MSV-163MS-535-545/28.PV</v>
      </c>
      <c r="I601" s="6" t="str" cm="1">
        <f t="array" ref="I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J601" s="6" t="str" cm="1">
        <f t="array" ref="J601">_xlfn.TEXTJOIN(", ",TRUE,_xlfn.UNIQUE(_xlfn._xlws.FILTER(ARQUIVOS_RECEBIDOS!$F$2:$F$5010,ARQUIVOS_RECEBIDOS!$E$2:$E$5010=LD_01[[#This Row],[DOCUMENTO]])))</f>
        <v>R02, R03</v>
      </c>
      <c r="K601" s="12" cm="1">
        <f t="array" ref="K601">_xlfn.UNIQUE(_xlfn._xlws.FILTER(ARQUIVOS[DATA RECEBIMENTO],(ARQUIVOS[DOCUMENTO]=LD_01[[#This Row],[DOCUMENTO]])*(ARQUIVOS[REVISÃO]=LD_01[[#This Row],[REVISÃO]])))</f>
        <v>45895</v>
      </c>
      <c r="L6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M601" s="6" t="str">
        <f>LD_01[[#This Row],[PASTA]]&amp;"/"&amp;LD_01[[#This Row],[ARQUIVO]]</f>
        <v>MSV-163MS-535-545/28.PV/MSV-163MS-535-545-ACA-EXE-DE-I2-002-R03.pdf</v>
      </c>
    </row>
    <row r="602" spans="1:13" hidden="1" x14ac:dyDescent="0.3">
      <c r="A602" s="6" t="s">
        <v>3382</v>
      </c>
      <c r="B602" s="6" t="str">
        <f>VLOOKUP(LD_01[[#This Row],[DOCUMENTO]],_xlfn.SORTBY(ARQUIVOS_RECEBIDOS!$E$2:$F$5010,ARQUIVOS_RECEBIDOS!$F$2:$F$5010,-1),2,)</f>
        <v>R03</v>
      </c>
      <c r="C602" s="15" t="s">
        <v>5987</v>
      </c>
      <c r="D602" s="6" t="s">
        <v>4317</v>
      </c>
      <c r="E602" s="8" t="s">
        <v>4087</v>
      </c>
      <c r="F602" s="8" t="s">
        <v>4143</v>
      </c>
      <c r="G602" s="6" t="str">
        <f>_xlfn.XLOOKUP(LD_01[[#This Row],[DISCIPLINA]],'CLASSES DE PROJETOS'!$F$3:$F$37,'CLASSES DE PROJETOS'!$C$3:$C$37)</f>
        <v>PV</v>
      </c>
      <c r="H602" t="str">
        <f>_xlfn.TEXTJOIN("/",TRUE,"MSV-163MS-"&amp;LD_01[[#This Row],[TRECHO]],_xlfn.XLOOKUP(LD_01[[#This Row],[SIGLA]],'CLASSES DE PROJETOS'!$C$3:$C$37,'CLASSES DE PROJETOS'!$E$3:$E$37))</f>
        <v>MSV-163MS-535-545/28.PV</v>
      </c>
      <c r="I602" s="6" t="str" cm="1">
        <f t="array" ref="I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J602" s="6" t="str" cm="1">
        <f t="array" ref="J602">_xlfn.TEXTJOIN(", ",TRUE,_xlfn.UNIQUE(_xlfn._xlws.FILTER(ARQUIVOS_RECEBIDOS!$F$2:$F$5010,ARQUIVOS_RECEBIDOS!$E$2:$E$5010=LD_01[[#This Row],[DOCUMENTO]])))</f>
        <v>R02, R03</v>
      </c>
      <c r="K602" s="12" cm="1">
        <f t="array" ref="K602">_xlfn.UNIQUE(_xlfn._xlws.FILTER(ARQUIVOS[DATA RECEBIMENTO],(ARQUIVOS[DOCUMENTO]=LD_01[[#This Row],[DOCUMENTO]])*(ARQUIVOS[REVISÃO]=LD_01[[#This Row],[REVISÃO]])))</f>
        <v>45895</v>
      </c>
      <c r="L6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M602" s="6" t="str">
        <f>LD_01[[#This Row],[PASTA]]&amp;"/"&amp;LD_01[[#This Row],[ARQUIVO]]</f>
        <v>MSV-163MS-535-545/28.PV/MSV-163MS-535-545-ACA-EXE-DE-I2-003-R03.pdf</v>
      </c>
    </row>
    <row r="603" spans="1:13" hidden="1" x14ac:dyDescent="0.3">
      <c r="A603" s="6" t="s">
        <v>3383</v>
      </c>
      <c r="B603" s="6" t="str">
        <f>VLOOKUP(LD_01[[#This Row],[DOCUMENTO]],_xlfn.SORTBY(ARQUIVOS_RECEBIDOS!$E$2:$F$5010,ARQUIVOS_RECEBIDOS!$F$2:$F$5010,-1),2,)</f>
        <v>R02</v>
      </c>
      <c r="C603" s="15" t="s">
        <v>5987</v>
      </c>
      <c r="D603" s="6" t="s">
        <v>4317</v>
      </c>
      <c r="E603" s="8" t="s">
        <v>4087</v>
      </c>
      <c r="F603" s="8" t="s">
        <v>4143</v>
      </c>
      <c r="G603" s="6" t="str">
        <f>_xlfn.XLOOKUP(LD_01[[#This Row],[DISCIPLINA]],'CLASSES DE PROJETOS'!$F$3:$F$37,'CLASSES DE PROJETOS'!$C$3:$C$37)</f>
        <v>PV</v>
      </c>
      <c r="H603" t="str">
        <f>_xlfn.TEXTJOIN("/",TRUE,"MSV-163MS-"&amp;LD_01[[#This Row],[TRECHO]],_xlfn.XLOOKUP(LD_01[[#This Row],[SIGLA]],'CLASSES DE PROJETOS'!$C$3:$C$37,'CLASSES DE PROJETOS'!$E$3:$E$37))</f>
        <v>MSV-163MS-535-545/28.PV</v>
      </c>
      <c r="I603" s="6" t="str" cm="1">
        <f t="array" ref="I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J603" s="6" t="str" cm="1">
        <f t="array" ref="J603">_xlfn.TEXTJOIN(", ",TRUE,_xlfn.UNIQUE(_xlfn._xlws.FILTER(ARQUIVOS_RECEBIDOS!$F$2:$F$5010,ARQUIVOS_RECEBIDOS!$E$2:$E$5010=LD_01[[#This Row],[DOCUMENTO]])))</f>
        <v>R02</v>
      </c>
      <c r="K603" s="12" cm="1">
        <f t="array" ref="K603">_xlfn.UNIQUE(_xlfn._xlws.FILTER(ARQUIVOS[DATA RECEBIMENTO],(ARQUIVOS[DOCUMENTO]=LD_01[[#This Row],[DOCUMENTO]])*(ARQUIVOS[REVISÃO]=LD_01[[#This Row],[REVISÃO]])))</f>
        <v>45838</v>
      </c>
      <c r="L6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M603" s="6" t="str">
        <f>LD_01[[#This Row],[PASTA]]&amp;"/"&amp;LD_01[[#This Row],[ARQUIVO]]</f>
        <v>MSV-163MS-535-545/28.PV/MSV-163MS-535-545-ACA-EXE-DE-I2-004-R02.pdf</v>
      </c>
    </row>
    <row r="604" spans="1:13" hidden="1" x14ac:dyDescent="0.3">
      <c r="A604" s="6" t="s">
        <v>3384</v>
      </c>
      <c r="B604" s="6" t="str">
        <f>VLOOKUP(LD_01[[#This Row],[DOCUMENTO]],_xlfn.SORTBY(ARQUIVOS_RECEBIDOS!$E$2:$F$5010,ARQUIVOS_RECEBIDOS!$F$2:$F$5010,-1),2,)</f>
        <v>R02</v>
      </c>
      <c r="C604" s="15" t="s">
        <v>5987</v>
      </c>
      <c r="D604" s="6" t="s">
        <v>4317</v>
      </c>
      <c r="E604" s="8" t="s">
        <v>4087</v>
      </c>
      <c r="F604" s="8" t="s">
        <v>4143</v>
      </c>
      <c r="G604" s="6" t="str">
        <f>_xlfn.XLOOKUP(LD_01[[#This Row],[DISCIPLINA]],'CLASSES DE PROJETOS'!$F$3:$F$37,'CLASSES DE PROJETOS'!$C$3:$C$37)</f>
        <v>PV</v>
      </c>
      <c r="H604" t="str">
        <f>_xlfn.TEXTJOIN("/",TRUE,"MSV-163MS-"&amp;LD_01[[#This Row],[TRECHO]],_xlfn.XLOOKUP(LD_01[[#This Row],[SIGLA]],'CLASSES DE PROJETOS'!$C$3:$C$37,'CLASSES DE PROJETOS'!$E$3:$E$37))</f>
        <v>MSV-163MS-535-545/28.PV</v>
      </c>
      <c r="I604" s="6" t="str" cm="1">
        <f t="array" ref="I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J604" s="6" t="str" cm="1">
        <f t="array" ref="J604">_xlfn.TEXTJOIN(", ",TRUE,_xlfn.UNIQUE(_xlfn._xlws.FILTER(ARQUIVOS_RECEBIDOS!$F$2:$F$5010,ARQUIVOS_RECEBIDOS!$E$2:$E$5010=LD_01[[#This Row],[DOCUMENTO]])))</f>
        <v>R02</v>
      </c>
      <c r="K604" s="12" cm="1">
        <f t="array" ref="K604">_xlfn.UNIQUE(_xlfn._xlws.FILTER(ARQUIVOS[DATA RECEBIMENTO],(ARQUIVOS[DOCUMENTO]=LD_01[[#This Row],[DOCUMENTO]])*(ARQUIVOS[REVISÃO]=LD_01[[#This Row],[REVISÃO]])))</f>
        <v>45838</v>
      </c>
      <c r="L6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M604" s="6" t="str">
        <f>LD_01[[#This Row],[PASTA]]&amp;"/"&amp;LD_01[[#This Row],[ARQUIVO]]</f>
        <v>MSV-163MS-535-545/28.PV/MSV-163MS-535-545-ACA-EXE-DE-I2-005-R02.pdf</v>
      </c>
    </row>
    <row r="605" spans="1:13" hidden="1" x14ac:dyDescent="0.3">
      <c r="A605" s="14" t="s">
        <v>3385</v>
      </c>
      <c r="B605" s="6" t="str">
        <f>VLOOKUP(LD_01[[#This Row],[DOCUMENTO]],_xlfn.SORTBY(ARQUIVOS_RECEBIDOS!$E$2:$F$5010,ARQUIVOS_RECEBIDOS!$F$2:$F$5010,-1),2,)</f>
        <v>R02</v>
      </c>
      <c r="C605" s="15" t="s">
        <v>5987</v>
      </c>
      <c r="D605" s="6" t="s">
        <v>4317</v>
      </c>
      <c r="E605" s="8" t="s">
        <v>4087</v>
      </c>
      <c r="F605" s="8" t="s">
        <v>4143</v>
      </c>
      <c r="G605" s="6" t="str">
        <f>_xlfn.XLOOKUP(LD_01[[#This Row],[DISCIPLINA]],'CLASSES DE PROJETOS'!$F$3:$F$37,'CLASSES DE PROJETOS'!$C$3:$C$37)</f>
        <v>PV</v>
      </c>
      <c r="H605" t="str">
        <f>_xlfn.TEXTJOIN("/",TRUE,"MSV-163MS-"&amp;LD_01[[#This Row],[TRECHO]],_xlfn.XLOOKUP(LD_01[[#This Row],[SIGLA]],'CLASSES DE PROJETOS'!$C$3:$C$37,'CLASSES DE PROJETOS'!$E$3:$E$37))</f>
        <v>MSV-163MS-535-545/28.PV</v>
      </c>
      <c r="I605" s="6" t="str" cm="1">
        <f t="array" ref="I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J605" s="6" t="str" cm="1">
        <f t="array" ref="J605">_xlfn.TEXTJOIN(", ",TRUE,_xlfn.UNIQUE(_xlfn._xlws.FILTER(ARQUIVOS_RECEBIDOS!$F$2:$F$5010,ARQUIVOS_RECEBIDOS!$E$2:$E$5010=LD_01[[#This Row],[DOCUMENTO]])))</f>
        <v>R02</v>
      </c>
      <c r="K605" s="12" cm="1">
        <f t="array" ref="K605">_xlfn.UNIQUE(_xlfn._xlws.FILTER(ARQUIVOS[DATA RECEBIMENTO],(ARQUIVOS[DOCUMENTO]=LD_01[[#This Row],[DOCUMENTO]])*(ARQUIVOS[REVISÃO]=LD_01[[#This Row],[REVISÃO]])))</f>
        <v>45838</v>
      </c>
      <c r="L6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M605" s="6" t="str">
        <f>LD_01[[#This Row],[PASTA]]&amp;"/"&amp;LD_01[[#This Row],[ARQUIVO]]</f>
        <v>MSV-163MS-535-545/28.PV/MSV-163MS-535-545-ACA-EXE-DE-I2-006-R02.pdf</v>
      </c>
    </row>
    <row r="606" spans="1:13" hidden="1" x14ac:dyDescent="0.3">
      <c r="A606" s="14" t="s">
        <v>3386</v>
      </c>
      <c r="B606" s="6" t="str">
        <f>VLOOKUP(LD_01[[#This Row],[DOCUMENTO]],_xlfn.SORTBY(ARQUIVOS_RECEBIDOS!$E$2:$F$5010,ARQUIVOS_RECEBIDOS!$F$2:$F$5010,-1),2,)</f>
        <v>R02</v>
      </c>
      <c r="C606" s="15" t="s">
        <v>5987</v>
      </c>
      <c r="D606" s="6" t="s">
        <v>4317</v>
      </c>
      <c r="E606" s="8" t="s">
        <v>4087</v>
      </c>
      <c r="F606" s="8" t="s">
        <v>4143</v>
      </c>
      <c r="G606" s="6" t="str">
        <f>_xlfn.XLOOKUP(LD_01[[#This Row],[DISCIPLINA]],'CLASSES DE PROJETOS'!$F$3:$F$37,'CLASSES DE PROJETOS'!$C$3:$C$37)</f>
        <v>PV</v>
      </c>
      <c r="H606" t="str">
        <f>_xlfn.TEXTJOIN("/",TRUE,"MSV-163MS-"&amp;LD_01[[#This Row],[TRECHO]],_xlfn.XLOOKUP(LD_01[[#This Row],[SIGLA]],'CLASSES DE PROJETOS'!$C$3:$C$37,'CLASSES DE PROJETOS'!$E$3:$E$37))</f>
        <v>MSV-163MS-535-545/28.PV</v>
      </c>
      <c r="I606" s="6" t="str" cm="1">
        <f t="array" ref="I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J606" s="6" t="str" cm="1">
        <f t="array" ref="J606">_xlfn.TEXTJOIN(", ",TRUE,_xlfn.UNIQUE(_xlfn._xlws.FILTER(ARQUIVOS_RECEBIDOS!$F$2:$F$5010,ARQUIVOS_RECEBIDOS!$E$2:$E$5010=LD_01[[#This Row],[DOCUMENTO]])))</f>
        <v>R02</v>
      </c>
      <c r="K606" s="12" cm="1">
        <f t="array" ref="K606">_xlfn.UNIQUE(_xlfn._xlws.FILTER(ARQUIVOS[DATA RECEBIMENTO],(ARQUIVOS[DOCUMENTO]=LD_01[[#This Row],[DOCUMENTO]])*(ARQUIVOS[REVISÃO]=LD_01[[#This Row],[REVISÃO]])))</f>
        <v>45838</v>
      </c>
      <c r="L6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M606" s="6" t="str">
        <f>LD_01[[#This Row],[PASTA]]&amp;"/"&amp;LD_01[[#This Row],[ARQUIVO]]</f>
        <v>MSV-163MS-535-545/28.PV/MSV-163MS-535-545-ACA-EXE-DE-I2-007-R02.pdf</v>
      </c>
    </row>
    <row r="607" spans="1:13" hidden="1" x14ac:dyDescent="0.3">
      <c r="A607" s="6" t="s">
        <v>3387</v>
      </c>
      <c r="B607" s="6" t="str">
        <f>VLOOKUP(LD_01[[#This Row],[DOCUMENTO]],_xlfn.SORTBY(ARQUIVOS_RECEBIDOS!$E$2:$F$5010,ARQUIVOS_RECEBIDOS!$F$2:$F$5010,-1),2,)</f>
        <v>R02</v>
      </c>
      <c r="C607" s="15" t="s">
        <v>5987</v>
      </c>
      <c r="D607" s="6" t="s">
        <v>4317</v>
      </c>
      <c r="E607" s="8" t="s">
        <v>4087</v>
      </c>
      <c r="F607" s="8" t="s">
        <v>4143</v>
      </c>
      <c r="G607" s="6" t="str">
        <f>_xlfn.XLOOKUP(LD_01[[#This Row],[DISCIPLINA]],'CLASSES DE PROJETOS'!$F$3:$F$37,'CLASSES DE PROJETOS'!$C$3:$C$37)</f>
        <v>PV</v>
      </c>
      <c r="H607" t="str">
        <f>_xlfn.TEXTJOIN("/",TRUE,"MSV-163MS-"&amp;LD_01[[#This Row],[TRECHO]],_xlfn.XLOOKUP(LD_01[[#This Row],[SIGLA]],'CLASSES DE PROJETOS'!$C$3:$C$37,'CLASSES DE PROJETOS'!$E$3:$E$37))</f>
        <v>MSV-163MS-535-545/28.PV</v>
      </c>
      <c r="I607" s="6" t="str" cm="1">
        <f t="array" ref="I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J607" s="6" t="str" cm="1">
        <f t="array" ref="J607">_xlfn.TEXTJOIN(", ",TRUE,_xlfn.UNIQUE(_xlfn._xlws.FILTER(ARQUIVOS_RECEBIDOS!$F$2:$F$5010,ARQUIVOS_RECEBIDOS!$E$2:$E$5010=LD_01[[#This Row],[DOCUMENTO]])))</f>
        <v>R02</v>
      </c>
      <c r="K607" s="12" cm="1">
        <f t="array" ref="K607">_xlfn.UNIQUE(_xlfn._xlws.FILTER(ARQUIVOS[DATA RECEBIMENTO],(ARQUIVOS[DOCUMENTO]=LD_01[[#This Row],[DOCUMENTO]])*(ARQUIVOS[REVISÃO]=LD_01[[#This Row],[REVISÃO]])))</f>
        <v>45838</v>
      </c>
      <c r="L6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M607" s="6" t="str">
        <f>LD_01[[#This Row],[PASTA]]&amp;"/"&amp;LD_01[[#This Row],[ARQUIVO]]</f>
        <v>MSV-163MS-535-545/28.PV/MSV-163MS-535-545-ACA-EXE-DE-I2-008-R02.pdf</v>
      </c>
    </row>
    <row r="608" spans="1:13" hidden="1" x14ac:dyDescent="0.3">
      <c r="A608" s="6" t="s">
        <v>3388</v>
      </c>
      <c r="B608" s="6" t="str">
        <f>VLOOKUP(LD_01[[#This Row],[DOCUMENTO]],_xlfn.SORTBY(ARQUIVOS_RECEBIDOS!$E$2:$F$5010,ARQUIVOS_RECEBIDOS!$F$2:$F$5010,-1),2,)</f>
        <v>R02</v>
      </c>
      <c r="C608" s="15" t="s">
        <v>5987</v>
      </c>
      <c r="D608" s="6" t="s">
        <v>4317</v>
      </c>
      <c r="E608" s="8" t="s">
        <v>4087</v>
      </c>
      <c r="F608" s="8" t="s">
        <v>4143</v>
      </c>
      <c r="G608" s="6" t="str">
        <f>_xlfn.XLOOKUP(LD_01[[#This Row],[DISCIPLINA]],'CLASSES DE PROJETOS'!$F$3:$F$37,'CLASSES DE PROJETOS'!$C$3:$C$37)</f>
        <v>PV</v>
      </c>
      <c r="H608" t="str">
        <f>_xlfn.TEXTJOIN("/",TRUE,"MSV-163MS-"&amp;LD_01[[#This Row],[TRECHO]],_xlfn.XLOOKUP(LD_01[[#This Row],[SIGLA]],'CLASSES DE PROJETOS'!$C$3:$C$37,'CLASSES DE PROJETOS'!$E$3:$E$37))</f>
        <v>MSV-163MS-535-545/28.PV</v>
      </c>
      <c r="I608" s="6" t="str" cm="1">
        <f t="array" ref="I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J608" s="6" t="str" cm="1">
        <f t="array" ref="J608">_xlfn.TEXTJOIN(", ",TRUE,_xlfn.UNIQUE(_xlfn._xlws.FILTER(ARQUIVOS_RECEBIDOS!$F$2:$F$5010,ARQUIVOS_RECEBIDOS!$E$2:$E$5010=LD_01[[#This Row],[DOCUMENTO]])))</f>
        <v>R02</v>
      </c>
      <c r="K608" s="12" cm="1">
        <f t="array" ref="K608">_xlfn.UNIQUE(_xlfn._xlws.FILTER(ARQUIVOS[DATA RECEBIMENTO],(ARQUIVOS[DOCUMENTO]=LD_01[[#This Row],[DOCUMENTO]])*(ARQUIVOS[REVISÃO]=LD_01[[#This Row],[REVISÃO]])))</f>
        <v>45838</v>
      </c>
      <c r="L6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M608" s="6" t="str">
        <f>LD_01[[#This Row],[PASTA]]&amp;"/"&amp;LD_01[[#This Row],[ARQUIVO]]</f>
        <v>MSV-163MS-535-545/28.PV/MSV-163MS-535-545-ACA-EXE-DE-I2-009-R02.pdf</v>
      </c>
    </row>
    <row r="609" spans="1:13" hidden="1" x14ac:dyDescent="0.3">
      <c r="A609" s="6" t="s">
        <v>3389</v>
      </c>
      <c r="B609" s="6" t="str">
        <f>VLOOKUP(LD_01[[#This Row],[DOCUMENTO]],_xlfn.SORTBY(ARQUIVOS_RECEBIDOS!$E$2:$F$5010,ARQUIVOS_RECEBIDOS!$F$2:$F$5010,-1),2,)</f>
        <v>R02</v>
      </c>
      <c r="C609" s="15" t="s">
        <v>5987</v>
      </c>
      <c r="D609" s="6" t="s">
        <v>4317</v>
      </c>
      <c r="E609" s="8" t="s">
        <v>4087</v>
      </c>
      <c r="F609" s="8" t="s">
        <v>4143</v>
      </c>
      <c r="G609" s="6" t="str">
        <f>_xlfn.XLOOKUP(LD_01[[#This Row],[DISCIPLINA]],'CLASSES DE PROJETOS'!$F$3:$F$37,'CLASSES DE PROJETOS'!$C$3:$C$37)</f>
        <v>PV</v>
      </c>
      <c r="H609" t="str">
        <f>_xlfn.TEXTJOIN("/",TRUE,"MSV-163MS-"&amp;LD_01[[#This Row],[TRECHO]],_xlfn.XLOOKUP(LD_01[[#This Row],[SIGLA]],'CLASSES DE PROJETOS'!$C$3:$C$37,'CLASSES DE PROJETOS'!$E$3:$E$37))</f>
        <v>MSV-163MS-535-545/28.PV</v>
      </c>
      <c r="I609" s="6" t="str" cm="1">
        <f t="array" ref="I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J609" s="6" t="str" cm="1">
        <f t="array" ref="J609">_xlfn.TEXTJOIN(", ",TRUE,_xlfn.UNIQUE(_xlfn._xlws.FILTER(ARQUIVOS_RECEBIDOS!$F$2:$F$5010,ARQUIVOS_RECEBIDOS!$E$2:$E$5010=LD_01[[#This Row],[DOCUMENTO]])))</f>
        <v>R02</v>
      </c>
      <c r="K609" s="12" cm="1">
        <f t="array" ref="K609">_xlfn.UNIQUE(_xlfn._xlws.FILTER(ARQUIVOS[DATA RECEBIMENTO],(ARQUIVOS[DOCUMENTO]=LD_01[[#This Row],[DOCUMENTO]])*(ARQUIVOS[REVISÃO]=LD_01[[#This Row],[REVISÃO]])))</f>
        <v>45838</v>
      </c>
      <c r="L6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M609" s="6" t="str">
        <f>LD_01[[#This Row],[PASTA]]&amp;"/"&amp;LD_01[[#This Row],[ARQUIVO]]</f>
        <v>MSV-163MS-535-545/28.PV/MSV-163MS-535-545-ACA-EXE-DE-I2-010-R02.pdf</v>
      </c>
    </row>
    <row r="610" spans="1:13" hidden="1" x14ac:dyDescent="0.3">
      <c r="A610" s="6" t="s">
        <v>3390</v>
      </c>
      <c r="B610" s="6" t="str">
        <f>VLOOKUP(LD_01[[#This Row],[DOCUMENTO]],_xlfn.SORTBY(ARQUIVOS_RECEBIDOS!$E$2:$F$5010,ARQUIVOS_RECEBIDOS!$F$2:$F$5010,-1),2,)</f>
        <v>R02</v>
      </c>
      <c r="C610" s="15" t="s">
        <v>5987</v>
      </c>
      <c r="D610" s="6" t="s">
        <v>4317</v>
      </c>
      <c r="E610" s="8" t="s">
        <v>4087</v>
      </c>
      <c r="F610" s="8" t="s">
        <v>4143</v>
      </c>
      <c r="G610" s="6" t="str">
        <f>_xlfn.XLOOKUP(LD_01[[#This Row],[DISCIPLINA]],'CLASSES DE PROJETOS'!$F$3:$F$37,'CLASSES DE PROJETOS'!$C$3:$C$37)</f>
        <v>PV</v>
      </c>
      <c r="H610" t="str">
        <f>_xlfn.TEXTJOIN("/",TRUE,"MSV-163MS-"&amp;LD_01[[#This Row],[TRECHO]],_xlfn.XLOOKUP(LD_01[[#This Row],[SIGLA]],'CLASSES DE PROJETOS'!$C$3:$C$37,'CLASSES DE PROJETOS'!$E$3:$E$37))</f>
        <v>MSV-163MS-535-545/28.PV</v>
      </c>
      <c r="I610" s="6" t="str" cm="1">
        <f t="array" ref="I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J610" s="6" t="str" cm="1">
        <f t="array" ref="J610">_xlfn.TEXTJOIN(", ",TRUE,_xlfn.UNIQUE(_xlfn._xlws.FILTER(ARQUIVOS_RECEBIDOS!$F$2:$F$5010,ARQUIVOS_RECEBIDOS!$E$2:$E$5010=LD_01[[#This Row],[DOCUMENTO]])))</f>
        <v>R02</v>
      </c>
      <c r="K610" s="12" cm="1">
        <f t="array" ref="K610">_xlfn.UNIQUE(_xlfn._xlws.FILTER(ARQUIVOS[DATA RECEBIMENTO],(ARQUIVOS[DOCUMENTO]=LD_01[[#This Row],[DOCUMENTO]])*(ARQUIVOS[REVISÃO]=LD_01[[#This Row],[REVISÃO]])))</f>
        <v>45838</v>
      </c>
      <c r="L6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M610" s="6" t="str">
        <f>LD_01[[#This Row],[PASTA]]&amp;"/"&amp;LD_01[[#This Row],[ARQUIVO]]</f>
        <v>MSV-163MS-535-545/28.PV/MSV-163MS-535-545-ACA-EXE-DE-I2-011-R02.pdf</v>
      </c>
    </row>
    <row r="611" spans="1:13" hidden="1" x14ac:dyDescent="0.3">
      <c r="A611" s="6" t="s">
        <v>3391</v>
      </c>
      <c r="B611" s="6" t="str">
        <f>VLOOKUP(LD_01[[#This Row],[DOCUMENTO]],_xlfn.SORTBY(ARQUIVOS_RECEBIDOS!$E$2:$F$5010,ARQUIVOS_RECEBIDOS!$F$2:$F$5010,-1),2,)</f>
        <v>R02</v>
      </c>
      <c r="C611" s="15" t="s">
        <v>5987</v>
      </c>
      <c r="D611" s="6" t="s">
        <v>4317</v>
      </c>
      <c r="E611" s="8" t="s">
        <v>4087</v>
      </c>
      <c r="F611" s="8" t="s">
        <v>4143</v>
      </c>
      <c r="G611" s="6" t="str">
        <f>_xlfn.XLOOKUP(LD_01[[#This Row],[DISCIPLINA]],'CLASSES DE PROJETOS'!$F$3:$F$37,'CLASSES DE PROJETOS'!$C$3:$C$37)</f>
        <v>PV</v>
      </c>
      <c r="H611" t="str">
        <f>_xlfn.TEXTJOIN("/",TRUE,"MSV-163MS-"&amp;LD_01[[#This Row],[TRECHO]],_xlfn.XLOOKUP(LD_01[[#This Row],[SIGLA]],'CLASSES DE PROJETOS'!$C$3:$C$37,'CLASSES DE PROJETOS'!$E$3:$E$37))</f>
        <v>MSV-163MS-535-545/28.PV</v>
      </c>
      <c r="I611" s="6" t="str" cm="1">
        <f t="array" ref="I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J611" s="6" t="str" cm="1">
        <f t="array" ref="J611">_xlfn.TEXTJOIN(", ",TRUE,_xlfn.UNIQUE(_xlfn._xlws.FILTER(ARQUIVOS_RECEBIDOS!$F$2:$F$5010,ARQUIVOS_RECEBIDOS!$E$2:$E$5010=LD_01[[#This Row],[DOCUMENTO]])))</f>
        <v>R02</v>
      </c>
      <c r="K611" s="12" cm="1">
        <f t="array" ref="K611">_xlfn.UNIQUE(_xlfn._xlws.FILTER(ARQUIVOS[DATA RECEBIMENTO],(ARQUIVOS[DOCUMENTO]=LD_01[[#This Row],[DOCUMENTO]])*(ARQUIVOS[REVISÃO]=LD_01[[#This Row],[REVISÃO]])))</f>
        <v>45838</v>
      </c>
      <c r="L6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M611" s="6" t="str">
        <f>LD_01[[#This Row],[PASTA]]&amp;"/"&amp;LD_01[[#This Row],[ARQUIVO]]</f>
        <v>MSV-163MS-535-545/28.PV/MSV-163MS-535-545-ACA-EXE-DE-I2-012-R02.pdf</v>
      </c>
    </row>
    <row r="612" spans="1:13" hidden="1" x14ac:dyDescent="0.3">
      <c r="A612" s="6" t="s">
        <v>3392</v>
      </c>
      <c r="B612" s="6" t="str">
        <f>VLOOKUP(LD_01[[#This Row],[DOCUMENTO]],_xlfn.SORTBY(ARQUIVOS_RECEBIDOS!$E$2:$F$5010,ARQUIVOS_RECEBIDOS!$F$2:$F$5010,-1),2,)</f>
        <v>R02</v>
      </c>
      <c r="C612" s="15" t="s">
        <v>5987</v>
      </c>
      <c r="D612" s="6" t="s">
        <v>4317</v>
      </c>
      <c r="E612" s="8" t="s">
        <v>4087</v>
      </c>
      <c r="F612" s="8" t="s">
        <v>4143</v>
      </c>
      <c r="G612" s="6" t="str">
        <f>_xlfn.XLOOKUP(LD_01[[#This Row],[DISCIPLINA]],'CLASSES DE PROJETOS'!$F$3:$F$37,'CLASSES DE PROJETOS'!$C$3:$C$37)</f>
        <v>PV</v>
      </c>
      <c r="H612" t="str">
        <f>_xlfn.TEXTJOIN("/",TRUE,"MSV-163MS-"&amp;LD_01[[#This Row],[TRECHO]],_xlfn.XLOOKUP(LD_01[[#This Row],[SIGLA]],'CLASSES DE PROJETOS'!$C$3:$C$37,'CLASSES DE PROJETOS'!$E$3:$E$37))</f>
        <v>MSV-163MS-535-545/28.PV</v>
      </c>
      <c r="I612" s="6" t="str" cm="1">
        <f t="array" ref="I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J612" s="6" t="str" cm="1">
        <f t="array" ref="J612">_xlfn.TEXTJOIN(", ",TRUE,_xlfn.UNIQUE(_xlfn._xlws.FILTER(ARQUIVOS_RECEBIDOS!$F$2:$F$5010,ARQUIVOS_RECEBIDOS!$E$2:$E$5010=LD_01[[#This Row],[DOCUMENTO]])))</f>
        <v>R02</v>
      </c>
      <c r="K612" s="12" cm="1">
        <f t="array" ref="K612">_xlfn.UNIQUE(_xlfn._xlws.FILTER(ARQUIVOS[DATA RECEBIMENTO],(ARQUIVOS[DOCUMENTO]=LD_01[[#This Row],[DOCUMENTO]])*(ARQUIVOS[REVISÃO]=LD_01[[#This Row],[REVISÃO]])))</f>
        <v>45838</v>
      </c>
      <c r="L6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M612" s="6" t="str">
        <f>LD_01[[#This Row],[PASTA]]&amp;"/"&amp;LD_01[[#This Row],[ARQUIVO]]</f>
        <v>MSV-163MS-535-545/28.PV/MSV-163MS-535-545-ACA-EXE-DE-I2-013-R02.pdf</v>
      </c>
    </row>
    <row r="613" spans="1:13" hidden="1" x14ac:dyDescent="0.3">
      <c r="A613" s="6" t="s">
        <v>3393</v>
      </c>
      <c r="B613" s="6" t="str">
        <f>VLOOKUP(LD_01[[#This Row],[DOCUMENTO]],_xlfn.SORTBY(ARQUIVOS_RECEBIDOS!$E$2:$F$5010,ARQUIVOS_RECEBIDOS!$F$2:$F$5010,-1),2,)</f>
        <v>R02</v>
      </c>
      <c r="C613" s="15" t="s">
        <v>5987</v>
      </c>
      <c r="D613" s="6" t="s">
        <v>4317</v>
      </c>
      <c r="E613" s="8" t="s">
        <v>4087</v>
      </c>
      <c r="F613" s="8" t="s">
        <v>4143</v>
      </c>
      <c r="G613" s="6" t="str">
        <f>_xlfn.XLOOKUP(LD_01[[#This Row],[DISCIPLINA]],'CLASSES DE PROJETOS'!$F$3:$F$37,'CLASSES DE PROJETOS'!$C$3:$C$37)</f>
        <v>PV</v>
      </c>
      <c r="H613" t="str">
        <f>_xlfn.TEXTJOIN("/",TRUE,"MSV-163MS-"&amp;LD_01[[#This Row],[TRECHO]],_xlfn.XLOOKUP(LD_01[[#This Row],[SIGLA]],'CLASSES DE PROJETOS'!$C$3:$C$37,'CLASSES DE PROJETOS'!$E$3:$E$37))</f>
        <v>MSV-163MS-535-545/28.PV</v>
      </c>
      <c r="I613" s="6" t="str" cm="1">
        <f t="array" ref="I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J613" s="6" t="str" cm="1">
        <f t="array" ref="J613">_xlfn.TEXTJOIN(", ",TRUE,_xlfn.UNIQUE(_xlfn._xlws.FILTER(ARQUIVOS_RECEBIDOS!$F$2:$F$5010,ARQUIVOS_RECEBIDOS!$E$2:$E$5010=LD_01[[#This Row],[DOCUMENTO]])))</f>
        <v>R02</v>
      </c>
      <c r="K613" s="12" cm="1">
        <f t="array" ref="K613">_xlfn.UNIQUE(_xlfn._xlws.FILTER(ARQUIVOS[DATA RECEBIMENTO],(ARQUIVOS[DOCUMENTO]=LD_01[[#This Row],[DOCUMENTO]])*(ARQUIVOS[REVISÃO]=LD_01[[#This Row],[REVISÃO]])))</f>
        <v>45838</v>
      </c>
      <c r="L6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M613" s="6" t="str">
        <f>LD_01[[#This Row],[PASTA]]&amp;"/"&amp;LD_01[[#This Row],[ARQUIVO]]</f>
        <v>MSV-163MS-535-545/28.PV/MSV-163MS-535-545-ACA-EXE-DE-I2-014-R02.pdf</v>
      </c>
    </row>
    <row r="614" spans="1:13" hidden="1" x14ac:dyDescent="0.3">
      <c r="A614" s="6" t="s">
        <v>3394</v>
      </c>
      <c r="B614" s="6" t="str">
        <f>VLOOKUP(LD_01[[#This Row],[DOCUMENTO]],_xlfn.SORTBY(ARQUIVOS_RECEBIDOS!$E$2:$F$5010,ARQUIVOS_RECEBIDOS!$F$2:$F$5010,-1),2,)</f>
        <v>R02</v>
      </c>
      <c r="C614" s="15" t="s">
        <v>5987</v>
      </c>
      <c r="D614" s="6" t="s">
        <v>4317</v>
      </c>
      <c r="E614" s="8" t="s">
        <v>4087</v>
      </c>
      <c r="F614" s="8" t="s">
        <v>4143</v>
      </c>
      <c r="G614" s="6" t="str">
        <f>_xlfn.XLOOKUP(LD_01[[#This Row],[DISCIPLINA]],'CLASSES DE PROJETOS'!$F$3:$F$37,'CLASSES DE PROJETOS'!$C$3:$C$37)</f>
        <v>PV</v>
      </c>
      <c r="H614" t="str">
        <f>_xlfn.TEXTJOIN("/",TRUE,"MSV-163MS-"&amp;LD_01[[#This Row],[TRECHO]],_xlfn.XLOOKUP(LD_01[[#This Row],[SIGLA]],'CLASSES DE PROJETOS'!$C$3:$C$37,'CLASSES DE PROJETOS'!$E$3:$E$37))</f>
        <v>MSV-163MS-535-545/28.PV</v>
      </c>
      <c r="I614" s="6" t="str" cm="1">
        <f t="array" ref="I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J614" s="6" t="str" cm="1">
        <f t="array" ref="J614">_xlfn.TEXTJOIN(", ",TRUE,_xlfn.UNIQUE(_xlfn._xlws.FILTER(ARQUIVOS_RECEBIDOS!$F$2:$F$5010,ARQUIVOS_RECEBIDOS!$E$2:$E$5010=LD_01[[#This Row],[DOCUMENTO]])))</f>
        <v>R02</v>
      </c>
      <c r="K614" s="12" cm="1">
        <f t="array" ref="K614">_xlfn.UNIQUE(_xlfn._xlws.FILTER(ARQUIVOS[DATA RECEBIMENTO],(ARQUIVOS[DOCUMENTO]=LD_01[[#This Row],[DOCUMENTO]])*(ARQUIVOS[REVISÃO]=LD_01[[#This Row],[REVISÃO]])))</f>
        <v>45838</v>
      </c>
      <c r="L6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M614" s="6" t="str">
        <f>LD_01[[#This Row],[PASTA]]&amp;"/"&amp;LD_01[[#This Row],[ARQUIVO]]</f>
        <v>MSV-163MS-535-545/28.PV/MSV-163MS-535-545-ACA-EXE-DE-I2-015-R02.pdf</v>
      </c>
    </row>
    <row r="615" spans="1:13" hidden="1" x14ac:dyDescent="0.3">
      <c r="A615" s="6" t="s">
        <v>3395</v>
      </c>
      <c r="B615" s="6" t="str">
        <f>VLOOKUP(LD_01[[#This Row],[DOCUMENTO]],_xlfn.SORTBY(ARQUIVOS_RECEBIDOS!$E$2:$F$5010,ARQUIVOS_RECEBIDOS!$F$2:$F$5010,-1),2,)</f>
        <v>R02</v>
      </c>
      <c r="C615" s="15" t="s">
        <v>5987</v>
      </c>
      <c r="D615" s="6" t="s">
        <v>4317</v>
      </c>
      <c r="E615" s="8" t="s">
        <v>4087</v>
      </c>
      <c r="F615" s="8" t="s">
        <v>4143</v>
      </c>
      <c r="G615" s="6" t="str">
        <f>_xlfn.XLOOKUP(LD_01[[#This Row],[DISCIPLINA]],'CLASSES DE PROJETOS'!$F$3:$F$37,'CLASSES DE PROJETOS'!$C$3:$C$37)</f>
        <v>PV</v>
      </c>
      <c r="H615" t="str">
        <f>_xlfn.TEXTJOIN("/",TRUE,"MSV-163MS-"&amp;LD_01[[#This Row],[TRECHO]],_xlfn.XLOOKUP(LD_01[[#This Row],[SIGLA]],'CLASSES DE PROJETOS'!$C$3:$C$37,'CLASSES DE PROJETOS'!$E$3:$E$37))</f>
        <v>MSV-163MS-535-545/28.PV</v>
      </c>
      <c r="I615" s="6" t="str" cm="1">
        <f t="array" ref="I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J615" s="6" t="str" cm="1">
        <f t="array" ref="J615">_xlfn.TEXTJOIN(", ",TRUE,_xlfn.UNIQUE(_xlfn._xlws.FILTER(ARQUIVOS_RECEBIDOS!$F$2:$F$5010,ARQUIVOS_RECEBIDOS!$E$2:$E$5010=LD_01[[#This Row],[DOCUMENTO]])))</f>
        <v>R02</v>
      </c>
      <c r="K615" s="12" cm="1">
        <f t="array" ref="K615">_xlfn.UNIQUE(_xlfn._xlws.FILTER(ARQUIVOS[DATA RECEBIMENTO],(ARQUIVOS[DOCUMENTO]=LD_01[[#This Row],[DOCUMENTO]])*(ARQUIVOS[REVISÃO]=LD_01[[#This Row],[REVISÃO]])))</f>
        <v>45838</v>
      </c>
      <c r="L6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M615" s="6" t="str">
        <f>LD_01[[#This Row],[PASTA]]&amp;"/"&amp;LD_01[[#This Row],[ARQUIVO]]</f>
        <v>MSV-163MS-535-545/28.PV/MSV-163MS-535-545-ACA-EXE-DE-I2-016-R02.pdf</v>
      </c>
    </row>
    <row r="616" spans="1:13" hidden="1" x14ac:dyDescent="0.3">
      <c r="A616" s="6" t="s">
        <v>3396</v>
      </c>
      <c r="B616" s="6" t="str">
        <f>VLOOKUP(LD_01[[#This Row],[DOCUMENTO]],_xlfn.SORTBY(ARQUIVOS_RECEBIDOS!$E$2:$F$5010,ARQUIVOS_RECEBIDOS!$F$2:$F$5010,-1),2,)</f>
        <v>R02</v>
      </c>
      <c r="C616" s="15" t="s">
        <v>5987</v>
      </c>
      <c r="D616" s="6" t="s">
        <v>4317</v>
      </c>
      <c r="E616" s="8" t="s">
        <v>4087</v>
      </c>
      <c r="F616" s="8" t="s">
        <v>4143</v>
      </c>
      <c r="G616" s="6" t="str">
        <f>_xlfn.XLOOKUP(LD_01[[#This Row],[DISCIPLINA]],'CLASSES DE PROJETOS'!$F$3:$F$37,'CLASSES DE PROJETOS'!$C$3:$C$37)</f>
        <v>PV</v>
      </c>
      <c r="H616" t="str">
        <f>_xlfn.TEXTJOIN("/",TRUE,"MSV-163MS-"&amp;LD_01[[#This Row],[TRECHO]],_xlfn.XLOOKUP(LD_01[[#This Row],[SIGLA]],'CLASSES DE PROJETOS'!$C$3:$C$37,'CLASSES DE PROJETOS'!$E$3:$E$37))</f>
        <v>MSV-163MS-535-545/28.PV</v>
      </c>
      <c r="I616" s="6" t="str" cm="1">
        <f t="array" ref="I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J616" s="6" t="str" cm="1">
        <f t="array" ref="J616">_xlfn.TEXTJOIN(", ",TRUE,_xlfn.UNIQUE(_xlfn._xlws.FILTER(ARQUIVOS_RECEBIDOS!$F$2:$F$5010,ARQUIVOS_RECEBIDOS!$E$2:$E$5010=LD_01[[#This Row],[DOCUMENTO]])))</f>
        <v>R02</v>
      </c>
      <c r="K616" s="12" cm="1">
        <f t="array" ref="K616">_xlfn.UNIQUE(_xlfn._xlws.FILTER(ARQUIVOS[DATA RECEBIMENTO],(ARQUIVOS[DOCUMENTO]=LD_01[[#This Row],[DOCUMENTO]])*(ARQUIVOS[REVISÃO]=LD_01[[#This Row],[REVISÃO]])))</f>
        <v>45838</v>
      </c>
      <c r="L6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M616" s="6" t="str">
        <f>LD_01[[#This Row],[PASTA]]&amp;"/"&amp;LD_01[[#This Row],[ARQUIVO]]</f>
        <v>MSV-163MS-535-545/28.PV/MSV-163MS-535-545-ACA-EXE-DE-I2-017-R02.pdf</v>
      </c>
    </row>
    <row r="617" spans="1:13" hidden="1" x14ac:dyDescent="0.3">
      <c r="A617" s="6" t="s">
        <v>3397</v>
      </c>
      <c r="B617" s="6" t="str">
        <f>VLOOKUP(LD_01[[#This Row],[DOCUMENTO]],_xlfn.SORTBY(ARQUIVOS_RECEBIDOS!$E$2:$F$5010,ARQUIVOS_RECEBIDOS!$F$2:$F$5010,-1),2,)</f>
        <v>R03</v>
      </c>
      <c r="C617" s="15" t="s">
        <v>5987</v>
      </c>
      <c r="D617" s="6" t="s">
        <v>4317</v>
      </c>
      <c r="E617" s="8" t="s">
        <v>4087</v>
      </c>
      <c r="F617" s="8" t="s">
        <v>4143</v>
      </c>
      <c r="G617" s="6" t="str">
        <f>_xlfn.XLOOKUP(LD_01[[#This Row],[DISCIPLINA]],'CLASSES DE PROJETOS'!$F$3:$F$37,'CLASSES DE PROJETOS'!$C$3:$C$37)</f>
        <v>PV</v>
      </c>
      <c r="H617" t="str">
        <f>_xlfn.TEXTJOIN("/",TRUE,"MSV-163MS-"&amp;LD_01[[#This Row],[TRECHO]],_xlfn.XLOOKUP(LD_01[[#This Row],[SIGLA]],'CLASSES DE PROJETOS'!$C$3:$C$37,'CLASSES DE PROJETOS'!$E$3:$E$37))</f>
        <v>MSV-163MS-535-545/28.PV</v>
      </c>
      <c r="I617" s="6" t="str" cm="1">
        <f t="array" ref="I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J617" s="6" t="str" cm="1">
        <f t="array" ref="J617">_xlfn.TEXTJOIN(", ",TRUE,_xlfn.UNIQUE(_xlfn._xlws.FILTER(ARQUIVOS_RECEBIDOS!$F$2:$F$5010,ARQUIVOS_RECEBIDOS!$E$2:$E$5010=LD_01[[#This Row],[DOCUMENTO]])))</f>
        <v>R03</v>
      </c>
      <c r="K617" s="12" cm="1">
        <f t="array" ref="K617">_xlfn.UNIQUE(_xlfn._xlws.FILTER(ARQUIVOS[DATA RECEBIMENTO],(ARQUIVOS[DOCUMENTO]=LD_01[[#This Row],[DOCUMENTO]])*(ARQUIVOS[REVISÃO]=LD_01[[#This Row],[REVISÃO]])))</f>
        <v>45838</v>
      </c>
      <c r="L6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M617" s="6" t="str">
        <f>LD_01[[#This Row],[PASTA]]&amp;"/"&amp;LD_01[[#This Row],[ARQUIVO]]</f>
        <v>MSV-163MS-535-545/28.PV/MSV-163MS-535-545-ACA-EXE-DE-I2-018-R03.pdf</v>
      </c>
    </row>
    <row r="618" spans="1:13" hidden="1" x14ac:dyDescent="0.3">
      <c r="A618" s="6" t="s">
        <v>3398</v>
      </c>
      <c r="B618" s="6" t="str">
        <f>VLOOKUP(LD_01[[#This Row],[DOCUMENTO]],_xlfn.SORTBY(ARQUIVOS_RECEBIDOS!$E$2:$F$5010,ARQUIVOS_RECEBIDOS!$F$2:$F$5010,-1),2,)</f>
        <v>R03</v>
      </c>
      <c r="C618" s="15" t="s">
        <v>5987</v>
      </c>
      <c r="D618" s="6" t="s">
        <v>4317</v>
      </c>
      <c r="E618" s="8" t="s">
        <v>4087</v>
      </c>
      <c r="F618" s="8" t="s">
        <v>4143</v>
      </c>
      <c r="G618" s="6" t="str">
        <f>_xlfn.XLOOKUP(LD_01[[#This Row],[DISCIPLINA]],'CLASSES DE PROJETOS'!$F$3:$F$37,'CLASSES DE PROJETOS'!$C$3:$C$37)</f>
        <v>PV</v>
      </c>
      <c r="H618" t="str">
        <f>_xlfn.TEXTJOIN("/",TRUE,"MSV-163MS-"&amp;LD_01[[#This Row],[TRECHO]],_xlfn.XLOOKUP(LD_01[[#This Row],[SIGLA]],'CLASSES DE PROJETOS'!$C$3:$C$37,'CLASSES DE PROJETOS'!$E$3:$E$37))</f>
        <v>MSV-163MS-535-545/28.PV</v>
      </c>
      <c r="I618" s="6" t="str" cm="1">
        <f t="array" ref="I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J618" s="6" t="str" cm="1">
        <f t="array" ref="J618">_xlfn.TEXTJOIN(", ",TRUE,_xlfn.UNIQUE(_xlfn._xlws.FILTER(ARQUIVOS_RECEBIDOS!$F$2:$F$5010,ARQUIVOS_RECEBIDOS!$E$2:$E$5010=LD_01[[#This Row],[DOCUMENTO]])))</f>
        <v>R03</v>
      </c>
      <c r="K618" s="12" cm="1">
        <f t="array" ref="K618">_xlfn.UNIQUE(_xlfn._xlws.FILTER(ARQUIVOS[DATA RECEBIMENTO],(ARQUIVOS[DOCUMENTO]=LD_01[[#This Row],[DOCUMENTO]])*(ARQUIVOS[REVISÃO]=LD_01[[#This Row],[REVISÃO]])))</f>
        <v>45838</v>
      </c>
      <c r="L6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M618" s="6" t="str">
        <f>LD_01[[#This Row],[PASTA]]&amp;"/"&amp;LD_01[[#This Row],[ARQUIVO]]</f>
        <v>MSV-163MS-535-545/28.PV/MSV-163MS-535-545-ACA-EXE-DE-I2-019-R03.pdf</v>
      </c>
    </row>
    <row r="619" spans="1:13" hidden="1" x14ac:dyDescent="0.3">
      <c r="A619" s="6" t="s">
        <v>3399</v>
      </c>
      <c r="B619" s="6" t="str">
        <f>VLOOKUP(LD_01[[#This Row],[DOCUMENTO]],_xlfn.SORTBY(ARQUIVOS_RECEBIDOS!$E$2:$F$5010,ARQUIVOS_RECEBIDOS!$F$2:$F$5010,-1),2,)</f>
        <v>R02</v>
      </c>
      <c r="C619" s="15" t="s">
        <v>5987</v>
      </c>
      <c r="D619" s="6" t="s">
        <v>4317</v>
      </c>
      <c r="E619" s="8" t="s">
        <v>4087</v>
      </c>
      <c r="F619" s="8" t="s">
        <v>4143</v>
      </c>
      <c r="G619" s="6" t="str">
        <f>_xlfn.XLOOKUP(LD_01[[#This Row],[DISCIPLINA]],'CLASSES DE PROJETOS'!$F$3:$F$37,'CLASSES DE PROJETOS'!$C$3:$C$37)</f>
        <v>PV</v>
      </c>
      <c r="H619" t="str">
        <f>_xlfn.TEXTJOIN("/",TRUE,"MSV-163MS-"&amp;LD_01[[#This Row],[TRECHO]],_xlfn.XLOOKUP(LD_01[[#This Row],[SIGLA]],'CLASSES DE PROJETOS'!$C$3:$C$37,'CLASSES DE PROJETOS'!$E$3:$E$37))</f>
        <v>MSV-163MS-535-545/28.PV</v>
      </c>
      <c r="I619" s="6" t="str" cm="1">
        <f t="array" ref="I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J619" s="6" t="str" cm="1">
        <f t="array" ref="J619">_xlfn.TEXTJOIN(", ",TRUE,_xlfn.UNIQUE(_xlfn._xlws.FILTER(ARQUIVOS_RECEBIDOS!$F$2:$F$5010,ARQUIVOS_RECEBIDOS!$E$2:$E$5010=LD_01[[#This Row],[DOCUMENTO]])))</f>
        <v>R02</v>
      </c>
      <c r="K619" s="12" cm="1">
        <f t="array" ref="K619">_xlfn.UNIQUE(_xlfn._xlws.FILTER(ARQUIVOS[DATA RECEBIMENTO],(ARQUIVOS[DOCUMENTO]=LD_01[[#This Row],[DOCUMENTO]])*(ARQUIVOS[REVISÃO]=LD_01[[#This Row],[REVISÃO]])))</f>
        <v>45838</v>
      </c>
      <c r="L6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M619" s="6" t="str">
        <f>LD_01[[#This Row],[PASTA]]&amp;"/"&amp;LD_01[[#This Row],[ARQUIVO]]</f>
        <v>MSV-163MS-535-545/28.PV/MSV-163MS-535-545-ACA-EXE-DE-I2-020-R02.pdf</v>
      </c>
    </row>
    <row r="620" spans="1:13" hidden="1" x14ac:dyDescent="0.3">
      <c r="A620" s="6" t="s">
        <v>3400</v>
      </c>
      <c r="B620" s="6" t="str">
        <f>VLOOKUP(LD_01[[#This Row],[DOCUMENTO]],_xlfn.SORTBY(ARQUIVOS_RECEBIDOS!$E$2:$F$5010,ARQUIVOS_RECEBIDOS!$F$2:$F$5010,-1),2,)</f>
        <v>R05</v>
      </c>
      <c r="C620" s="15" t="s">
        <v>5987</v>
      </c>
      <c r="D620" s="6" t="s">
        <v>4317</v>
      </c>
      <c r="E620" s="8" t="s">
        <v>4102</v>
      </c>
      <c r="F620" s="8" t="s">
        <v>4143</v>
      </c>
      <c r="G620" s="6" t="str">
        <f>_xlfn.XLOOKUP(LD_01[[#This Row],[DISCIPLINA]],'CLASSES DE PROJETOS'!$F$3:$F$37,'CLASSES DE PROJETOS'!$C$3:$C$37)</f>
        <v>PV</v>
      </c>
      <c r="H620" t="str">
        <f>_xlfn.TEXTJOIN("/",TRUE,"MSV-163MS-"&amp;LD_01[[#This Row],[TRECHO]],_xlfn.XLOOKUP(LD_01[[#This Row],[SIGLA]],'CLASSES DE PROJETOS'!$C$3:$C$37,'CLASSES DE PROJETOS'!$E$3:$E$37))</f>
        <v>MSV-163MS-535-545/28.PV</v>
      </c>
      <c r="I620" s="6" t="str" cm="1">
        <f t="array" ref="I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J620" s="6" t="str" cm="1">
        <f t="array" ref="J620">_xlfn.TEXTJOIN(", ",TRUE,_xlfn.UNIQUE(_xlfn._xlws.FILTER(ARQUIVOS_RECEBIDOS!$F$2:$F$5010,ARQUIVOS_RECEBIDOS!$E$2:$E$5010=LD_01[[#This Row],[DOCUMENTO]])))</f>
        <v>R04, R05</v>
      </c>
      <c r="K620" s="12" cm="1">
        <f t="array" ref="K620">_xlfn.UNIQUE(_xlfn._xlws.FILTER(ARQUIVOS[DATA RECEBIMENTO],(ARQUIVOS[DOCUMENTO]=LD_01[[#This Row],[DOCUMENTO]])*(ARQUIVOS[REVISÃO]=LD_01[[#This Row],[REVISÃO]])))</f>
        <v>45895</v>
      </c>
      <c r="L6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M620" s="6" t="str">
        <f>LD_01[[#This Row],[PASTA]]&amp;"/"&amp;LD_01[[#This Row],[ARQUIVO]]</f>
        <v>MSV-163MS-535-545/28.PV/MSV-163MS-535-545-ACA-EXE-DE-I2-021-R05.pdf</v>
      </c>
    </row>
    <row r="621" spans="1:13" hidden="1" x14ac:dyDescent="0.3">
      <c r="A621" s="6" t="s">
        <v>3401</v>
      </c>
      <c r="B621" s="6" t="str">
        <f>VLOOKUP(LD_01[[#This Row],[DOCUMENTO]],_xlfn.SORTBY(ARQUIVOS_RECEBIDOS!$E$2:$F$5010,ARQUIVOS_RECEBIDOS!$F$2:$F$5010,-1),2,)</f>
        <v>R05</v>
      </c>
      <c r="C621" s="15" t="s">
        <v>5987</v>
      </c>
      <c r="D621" s="6" t="s">
        <v>4317</v>
      </c>
      <c r="E621" s="8" t="s">
        <v>4088</v>
      </c>
      <c r="F621" s="8" t="s">
        <v>4143</v>
      </c>
      <c r="G621" s="6" t="str">
        <f>_xlfn.XLOOKUP(LD_01[[#This Row],[DISCIPLINA]],'CLASSES DE PROJETOS'!$F$3:$F$37,'CLASSES DE PROJETOS'!$C$3:$C$37)</f>
        <v>PV</v>
      </c>
      <c r="H621" t="str">
        <f>_xlfn.TEXTJOIN("/",TRUE,"MSV-163MS-"&amp;LD_01[[#This Row],[TRECHO]],_xlfn.XLOOKUP(LD_01[[#This Row],[SIGLA]],'CLASSES DE PROJETOS'!$C$3:$C$37,'CLASSES DE PROJETOS'!$E$3:$E$37))</f>
        <v>MSV-163MS-535-545/28.PV</v>
      </c>
      <c r="I621" s="6" t="str" cm="1">
        <f t="array" ref="I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J621" s="6" t="str" cm="1">
        <f t="array" ref="J621">_xlfn.TEXTJOIN(", ",TRUE,_xlfn.UNIQUE(_xlfn._xlws.FILTER(ARQUIVOS_RECEBIDOS!$F$2:$F$5010,ARQUIVOS_RECEBIDOS!$E$2:$E$5010=LD_01[[#This Row],[DOCUMENTO]])))</f>
        <v>R04, R05</v>
      </c>
      <c r="K621" s="12" cm="1">
        <f t="array" ref="K621">_xlfn.UNIQUE(_xlfn._xlws.FILTER(ARQUIVOS[DATA RECEBIMENTO],(ARQUIVOS[DOCUMENTO]=LD_01[[#This Row],[DOCUMENTO]])*(ARQUIVOS[REVISÃO]=LD_01[[#This Row],[REVISÃO]])))</f>
        <v>45895</v>
      </c>
      <c r="L6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M621" s="6" t="str">
        <f>LD_01[[#This Row],[PASTA]]&amp;"/"&amp;LD_01[[#This Row],[ARQUIVO]]</f>
        <v>MSV-163MS-535-545/28.PV/MSV-163MS-535-545-ACA-EXE-DE-I2-022-R05.pdf</v>
      </c>
    </row>
    <row r="622" spans="1:13" hidden="1" x14ac:dyDescent="0.3">
      <c r="A622" s="6" t="s">
        <v>3402</v>
      </c>
      <c r="B622" s="6" t="str">
        <f>VLOOKUP(LD_01[[#This Row],[DOCUMENTO]],_xlfn.SORTBY(ARQUIVOS_RECEBIDOS!$E$2:$F$5010,ARQUIVOS_RECEBIDOS!$F$2:$F$5010,-1),2,)</f>
        <v>R05</v>
      </c>
      <c r="C622" s="15" t="s">
        <v>5987</v>
      </c>
      <c r="D622" s="6" t="s">
        <v>4317</v>
      </c>
      <c r="E622" s="8" t="s">
        <v>4089</v>
      </c>
      <c r="F622" s="8" t="s">
        <v>4143</v>
      </c>
      <c r="G622" s="6" t="str">
        <f>_xlfn.XLOOKUP(LD_01[[#This Row],[DISCIPLINA]],'CLASSES DE PROJETOS'!$F$3:$F$37,'CLASSES DE PROJETOS'!$C$3:$C$37)</f>
        <v>PV</v>
      </c>
      <c r="H622" t="str">
        <f>_xlfn.TEXTJOIN("/",TRUE,"MSV-163MS-"&amp;LD_01[[#This Row],[TRECHO]],_xlfn.XLOOKUP(LD_01[[#This Row],[SIGLA]],'CLASSES DE PROJETOS'!$C$3:$C$37,'CLASSES DE PROJETOS'!$E$3:$E$37))</f>
        <v>MSV-163MS-535-545/28.PV</v>
      </c>
      <c r="I622" s="6" t="str" cm="1">
        <f t="array" ref="I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J622" s="6" t="str" cm="1">
        <f t="array" ref="J622">_xlfn.TEXTJOIN(", ",TRUE,_xlfn.UNIQUE(_xlfn._xlws.FILTER(ARQUIVOS_RECEBIDOS!$F$2:$F$5010,ARQUIVOS_RECEBIDOS!$E$2:$E$5010=LD_01[[#This Row],[DOCUMENTO]])))</f>
        <v>R04, R05</v>
      </c>
      <c r="K622" s="12" cm="1">
        <f t="array" ref="K622">_xlfn.UNIQUE(_xlfn._xlws.FILTER(ARQUIVOS[DATA RECEBIMENTO],(ARQUIVOS[DOCUMENTO]=LD_01[[#This Row],[DOCUMENTO]])*(ARQUIVOS[REVISÃO]=LD_01[[#This Row],[REVISÃO]])))</f>
        <v>45895</v>
      </c>
      <c r="L6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M622" s="6" t="str">
        <f>LD_01[[#This Row],[PASTA]]&amp;"/"&amp;LD_01[[#This Row],[ARQUIVO]]</f>
        <v>MSV-163MS-535-545/28.PV/MSV-163MS-535-545-ACA-EXE-DE-I2-023-R05.pdf</v>
      </c>
    </row>
    <row r="623" spans="1:13" hidden="1" x14ac:dyDescent="0.3">
      <c r="A623" s="6" t="s">
        <v>3364</v>
      </c>
      <c r="B623" s="6" t="str">
        <f>VLOOKUP(LD_01[[#This Row],[DOCUMENTO]],_xlfn.SORTBY(ARQUIVOS_RECEBIDOS!$E$2:$F$5010,ARQUIVOS_RECEBIDOS!$F$2:$F$5010,-1),2,)</f>
        <v>R04</v>
      </c>
      <c r="C623" s="15" t="s">
        <v>5987</v>
      </c>
      <c r="D623" s="6" t="s">
        <v>4317</v>
      </c>
      <c r="E623" s="8" t="s">
        <v>4083</v>
      </c>
      <c r="F623" s="8" t="s">
        <v>4331</v>
      </c>
      <c r="G623" s="6" t="str">
        <f>_xlfn.XLOOKUP(LD_01[[#This Row],[DISCIPLINA]],'CLASSES DE PROJETOS'!$F$3:$F$37,'CLASSES DE PROJETOS'!$C$3:$C$37)</f>
        <v>SI</v>
      </c>
      <c r="H623" t="str">
        <f>_xlfn.TEXTJOIN("/",TRUE,"MSV-163MS-"&amp;LD_01[[#This Row],[TRECHO]],_xlfn.XLOOKUP(LD_01[[#This Row],[SIGLA]],'CLASSES DE PROJETOS'!$C$3:$C$37,'CLASSES DE PROJETOS'!$E$3:$E$37))</f>
        <v>MSV-163MS-535-545/31.SI</v>
      </c>
      <c r="I623" s="6" t="str" cm="1">
        <f t="array" ref="I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J623" s="6" t="str" cm="1">
        <f t="array" ref="J623">_xlfn.TEXTJOIN(", ",TRUE,_xlfn.UNIQUE(_xlfn._xlws.FILTER(ARQUIVOS_RECEBIDOS!$F$2:$F$5010,ARQUIVOS_RECEBIDOS!$E$2:$E$5010=LD_01[[#This Row],[DOCUMENTO]])))</f>
        <v>R04</v>
      </c>
      <c r="K623" s="12" cm="1">
        <f t="array" ref="K623">_xlfn.UNIQUE(_xlfn._xlws.FILTER(ARQUIVOS[DATA RECEBIMENTO],(ARQUIVOS[DOCUMENTO]=LD_01[[#This Row],[DOCUMENTO]])*(ARQUIVOS[REVISÃO]=LD_01[[#This Row],[REVISÃO]])))</f>
        <v>45838</v>
      </c>
      <c r="L6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M623" s="6" t="str">
        <f>LD_01[[#This Row],[PASTA]]&amp;"/"&amp;LD_01[[#This Row],[ARQUIVO]]</f>
        <v>MSV-163MS-535-545/31.SI/MSV-163MS-535-545-ACA-EXE-DE-J1-001-R04.pdf</v>
      </c>
    </row>
    <row r="624" spans="1:13" hidden="1" x14ac:dyDescent="0.3">
      <c r="A624" s="6" t="s">
        <v>3365</v>
      </c>
      <c r="B624" s="6" t="str">
        <f>VLOOKUP(LD_01[[#This Row],[DOCUMENTO]],_xlfn.SORTBY(ARQUIVOS_RECEBIDOS!$E$2:$F$5010,ARQUIVOS_RECEBIDOS!$F$2:$F$5010,-1),2,)</f>
        <v>R05</v>
      </c>
      <c r="C624" s="15" t="s">
        <v>5987</v>
      </c>
      <c r="D624" s="6" t="s">
        <v>4317</v>
      </c>
      <c r="E624" s="8" t="s">
        <v>4083</v>
      </c>
      <c r="F624" s="8" t="s">
        <v>4331</v>
      </c>
      <c r="G624" s="6" t="str">
        <f>_xlfn.XLOOKUP(LD_01[[#This Row],[DISCIPLINA]],'CLASSES DE PROJETOS'!$F$3:$F$37,'CLASSES DE PROJETOS'!$C$3:$C$37)</f>
        <v>SI</v>
      </c>
      <c r="H624" t="str">
        <f>_xlfn.TEXTJOIN("/",TRUE,"MSV-163MS-"&amp;LD_01[[#This Row],[TRECHO]],_xlfn.XLOOKUP(LD_01[[#This Row],[SIGLA]],'CLASSES DE PROJETOS'!$C$3:$C$37,'CLASSES DE PROJETOS'!$E$3:$E$37))</f>
        <v>MSV-163MS-535-545/31.SI</v>
      </c>
      <c r="I624" s="6" t="str" cm="1">
        <f t="array" ref="I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J624" s="6" t="str" cm="1">
        <f t="array" ref="J624">_xlfn.TEXTJOIN(", ",TRUE,_xlfn.UNIQUE(_xlfn._xlws.FILTER(ARQUIVOS_RECEBIDOS!$F$2:$F$5010,ARQUIVOS_RECEBIDOS!$E$2:$E$5010=LD_01[[#This Row],[DOCUMENTO]])))</f>
        <v>R05</v>
      </c>
      <c r="K624" s="12" cm="1">
        <f t="array" ref="K624">_xlfn.UNIQUE(_xlfn._xlws.FILTER(ARQUIVOS[DATA RECEBIMENTO],(ARQUIVOS[DOCUMENTO]=LD_01[[#This Row],[DOCUMENTO]])*(ARQUIVOS[REVISÃO]=LD_01[[#This Row],[REVISÃO]])))</f>
        <v>45838</v>
      </c>
      <c r="L6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M624" s="6" t="str">
        <f>LD_01[[#This Row],[PASTA]]&amp;"/"&amp;LD_01[[#This Row],[ARQUIVO]]</f>
        <v>MSV-163MS-535-545/31.SI/MSV-163MS-535-545-ACA-EXE-DE-J1-002-R05.pdf</v>
      </c>
    </row>
    <row r="625" spans="1:13" hidden="1" x14ac:dyDescent="0.3">
      <c r="A625" s="6" t="s">
        <v>3366</v>
      </c>
      <c r="B625" s="6" t="str">
        <f>VLOOKUP(LD_01[[#This Row],[DOCUMENTO]],_xlfn.SORTBY(ARQUIVOS_RECEBIDOS!$E$2:$F$5010,ARQUIVOS_RECEBIDOS!$F$2:$F$5010,-1),2,)</f>
        <v>R04</v>
      </c>
      <c r="C625" s="15" t="s">
        <v>5987</v>
      </c>
      <c r="D625" s="6" t="s">
        <v>4317</v>
      </c>
      <c r="E625" s="8" t="s">
        <v>4083</v>
      </c>
      <c r="F625" s="8" t="s">
        <v>4331</v>
      </c>
      <c r="G625" s="6" t="str">
        <f>_xlfn.XLOOKUP(LD_01[[#This Row],[DISCIPLINA]],'CLASSES DE PROJETOS'!$F$3:$F$37,'CLASSES DE PROJETOS'!$C$3:$C$37)</f>
        <v>SI</v>
      </c>
      <c r="H625" t="str">
        <f>_xlfn.TEXTJOIN("/",TRUE,"MSV-163MS-"&amp;LD_01[[#This Row],[TRECHO]],_xlfn.XLOOKUP(LD_01[[#This Row],[SIGLA]],'CLASSES DE PROJETOS'!$C$3:$C$37,'CLASSES DE PROJETOS'!$E$3:$E$37))</f>
        <v>MSV-163MS-535-545/31.SI</v>
      </c>
      <c r="I625" s="6" t="str" cm="1">
        <f t="array" ref="I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J625" s="6" t="str" cm="1">
        <f t="array" ref="J625">_xlfn.TEXTJOIN(", ",TRUE,_xlfn.UNIQUE(_xlfn._xlws.FILTER(ARQUIVOS_RECEBIDOS!$F$2:$F$5010,ARQUIVOS_RECEBIDOS!$E$2:$E$5010=LD_01[[#This Row],[DOCUMENTO]])))</f>
        <v>R04</v>
      </c>
      <c r="K625" s="12" cm="1">
        <f t="array" ref="K625">_xlfn.UNIQUE(_xlfn._xlws.FILTER(ARQUIVOS[DATA RECEBIMENTO],(ARQUIVOS[DOCUMENTO]=LD_01[[#This Row],[DOCUMENTO]])*(ARQUIVOS[REVISÃO]=LD_01[[#This Row],[REVISÃO]])))</f>
        <v>45838</v>
      </c>
      <c r="L6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M625" s="6" t="str">
        <f>LD_01[[#This Row],[PASTA]]&amp;"/"&amp;LD_01[[#This Row],[ARQUIVO]]</f>
        <v>MSV-163MS-535-545/31.SI/MSV-163MS-535-545-ACA-EXE-DE-J1-003-R04.pdf</v>
      </c>
    </row>
    <row r="626" spans="1:13" hidden="1" x14ac:dyDescent="0.3">
      <c r="A626" s="6" t="s">
        <v>3367</v>
      </c>
      <c r="B626" s="6" t="str">
        <f>VLOOKUP(LD_01[[#This Row],[DOCUMENTO]],_xlfn.SORTBY(ARQUIVOS_RECEBIDOS!$E$2:$F$5010,ARQUIVOS_RECEBIDOS!$F$2:$F$5010,-1),2,)</f>
        <v>R04</v>
      </c>
      <c r="C626" s="15" t="s">
        <v>5987</v>
      </c>
      <c r="D626" s="6" t="s">
        <v>4317</v>
      </c>
      <c r="E626" s="8" t="s">
        <v>4083</v>
      </c>
      <c r="F626" s="8" t="s">
        <v>4331</v>
      </c>
      <c r="G626" s="6" t="str">
        <f>_xlfn.XLOOKUP(LD_01[[#This Row],[DISCIPLINA]],'CLASSES DE PROJETOS'!$F$3:$F$37,'CLASSES DE PROJETOS'!$C$3:$C$37)</f>
        <v>SI</v>
      </c>
      <c r="H626" t="str">
        <f>_xlfn.TEXTJOIN("/",TRUE,"MSV-163MS-"&amp;LD_01[[#This Row],[TRECHO]],_xlfn.XLOOKUP(LD_01[[#This Row],[SIGLA]],'CLASSES DE PROJETOS'!$C$3:$C$37,'CLASSES DE PROJETOS'!$E$3:$E$37))</f>
        <v>MSV-163MS-535-545/31.SI</v>
      </c>
      <c r="I626" s="6" t="str" cm="1">
        <f t="array" ref="I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J626" s="6" t="str" cm="1">
        <f t="array" ref="J626">_xlfn.TEXTJOIN(", ",TRUE,_xlfn.UNIQUE(_xlfn._xlws.FILTER(ARQUIVOS_RECEBIDOS!$F$2:$F$5010,ARQUIVOS_RECEBIDOS!$E$2:$E$5010=LD_01[[#This Row],[DOCUMENTO]])))</f>
        <v>R04</v>
      </c>
      <c r="K626" s="12" cm="1">
        <f t="array" ref="K626">_xlfn.UNIQUE(_xlfn._xlws.FILTER(ARQUIVOS[DATA RECEBIMENTO],(ARQUIVOS[DOCUMENTO]=LD_01[[#This Row],[DOCUMENTO]])*(ARQUIVOS[REVISÃO]=LD_01[[#This Row],[REVISÃO]])))</f>
        <v>45838</v>
      </c>
      <c r="L6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M626" s="6" t="str">
        <f>LD_01[[#This Row],[PASTA]]&amp;"/"&amp;LD_01[[#This Row],[ARQUIVO]]</f>
        <v>MSV-163MS-535-545/31.SI/MSV-163MS-535-545-ACA-EXE-DE-J1-004-R04.pdf</v>
      </c>
    </row>
    <row r="627" spans="1:13" hidden="1" x14ac:dyDescent="0.3">
      <c r="A627" s="6" t="s">
        <v>3368</v>
      </c>
      <c r="B627" s="6" t="str">
        <f>VLOOKUP(LD_01[[#This Row],[DOCUMENTO]],_xlfn.SORTBY(ARQUIVOS_RECEBIDOS!$E$2:$F$5010,ARQUIVOS_RECEBIDOS!$F$2:$F$5010,-1),2,)</f>
        <v>R04</v>
      </c>
      <c r="C627" s="15" t="s">
        <v>5987</v>
      </c>
      <c r="D627" s="6" t="s">
        <v>4317</v>
      </c>
      <c r="E627" s="8" t="s">
        <v>4083</v>
      </c>
      <c r="F627" s="8" t="s">
        <v>4331</v>
      </c>
      <c r="G627" s="6" t="str">
        <f>_xlfn.XLOOKUP(LD_01[[#This Row],[DISCIPLINA]],'CLASSES DE PROJETOS'!$F$3:$F$37,'CLASSES DE PROJETOS'!$C$3:$C$37)</f>
        <v>SI</v>
      </c>
      <c r="H627" t="str">
        <f>_xlfn.TEXTJOIN("/",TRUE,"MSV-163MS-"&amp;LD_01[[#This Row],[TRECHO]],_xlfn.XLOOKUP(LD_01[[#This Row],[SIGLA]],'CLASSES DE PROJETOS'!$C$3:$C$37,'CLASSES DE PROJETOS'!$E$3:$E$37))</f>
        <v>MSV-163MS-535-545/31.SI</v>
      </c>
      <c r="I627" s="6" t="str" cm="1">
        <f t="array" ref="I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J627" s="6" t="str" cm="1">
        <f t="array" ref="J627">_xlfn.TEXTJOIN(", ",TRUE,_xlfn.UNIQUE(_xlfn._xlws.FILTER(ARQUIVOS_RECEBIDOS!$F$2:$F$5010,ARQUIVOS_RECEBIDOS!$E$2:$E$5010=LD_01[[#This Row],[DOCUMENTO]])))</f>
        <v>R04</v>
      </c>
      <c r="K627" s="12" cm="1">
        <f t="array" ref="K627">_xlfn.UNIQUE(_xlfn._xlws.FILTER(ARQUIVOS[DATA RECEBIMENTO],(ARQUIVOS[DOCUMENTO]=LD_01[[#This Row],[DOCUMENTO]])*(ARQUIVOS[REVISÃO]=LD_01[[#This Row],[REVISÃO]])))</f>
        <v>45838</v>
      </c>
      <c r="L6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M627" s="6" t="str">
        <f>LD_01[[#This Row],[PASTA]]&amp;"/"&amp;LD_01[[#This Row],[ARQUIVO]]</f>
        <v>MSV-163MS-535-545/31.SI/MSV-163MS-535-545-ACA-EXE-DE-J1-005-R04.pdf</v>
      </c>
    </row>
    <row r="628" spans="1:13" hidden="1" x14ac:dyDescent="0.3">
      <c r="A628" s="6" t="s">
        <v>3369</v>
      </c>
      <c r="B628" s="6" t="str">
        <f>VLOOKUP(LD_01[[#This Row],[DOCUMENTO]],_xlfn.SORTBY(ARQUIVOS_RECEBIDOS!$E$2:$F$5010,ARQUIVOS_RECEBIDOS!$F$2:$F$5010,-1),2,)</f>
        <v>R05</v>
      </c>
      <c r="C628" s="15" t="s">
        <v>5987</v>
      </c>
      <c r="D628" s="6" t="s">
        <v>4317</v>
      </c>
      <c r="E628" s="8" t="s">
        <v>4083</v>
      </c>
      <c r="F628" s="8" t="s">
        <v>4331</v>
      </c>
      <c r="G628" s="6" t="str">
        <f>_xlfn.XLOOKUP(LD_01[[#This Row],[DISCIPLINA]],'CLASSES DE PROJETOS'!$F$3:$F$37,'CLASSES DE PROJETOS'!$C$3:$C$37)</f>
        <v>SI</v>
      </c>
      <c r="H628" t="str">
        <f>_xlfn.TEXTJOIN("/",TRUE,"MSV-163MS-"&amp;LD_01[[#This Row],[TRECHO]],_xlfn.XLOOKUP(LD_01[[#This Row],[SIGLA]],'CLASSES DE PROJETOS'!$C$3:$C$37,'CLASSES DE PROJETOS'!$E$3:$E$37))</f>
        <v>MSV-163MS-535-545/31.SI</v>
      </c>
      <c r="I628" s="6" t="str" cm="1">
        <f t="array" ref="I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J628" s="6" t="str" cm="1">
        <f t="array" ref="J628">_xlfn.TEXTJOIN(", ",TRUE,_xlfn.UNIQUE(_xlfn._xlws.FILTER(ARQUIVOS_RECEBIDOS!$F$2:$F$5010,ARQUIVOS_RECEBIDOS!$E$2:$E$5010=LD_01[[#This Row],[DOCUMENTO]])))</f>
        <v>R04, R05</v>
      </c>
      <c r="K628" s="12" cm="1">
        <f t="array" ref="K628">_xlfn.UNIQUE(_xlfn._xlws.FILTER(ARQUIVOS[DATA RECEBIMENTO],(ARQUIVOS[DOCUMENTO]=LD_01[[#This Row],[DOCUMENTO]])*(ARQUIVOS[REVISÃO]=LD_01[[#This Row],[REVISÃO]])))</f>
        <v>45895</v>
      </c>
      <c r="L6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M628" s="6" t="str">
        <f>LD_01[[#This Row],[PASTA]]&amp;"/"&amp;LD_01[[#This Row],[ARQUIVO]]</f>
        <v>MSV-163MS-535-545/31.SI/MSV-163MS-535-545-ACA-EXE-DE-J1-006-R05.pdf</v>
      </c>
    </row>
    <row r="629" spans="1:13" hidden="1" x14ac:dyDescent="0.3">
      <c r="A629" s="6" t="s">
        <v>3370</v>
      </c>
      <c r="B629" s="6" t="str">
        <f>VLOOKUP(LD_01[[#This Row],[DOCUMENTO]],_xlfn.SORTBY(ARQUIVOS_RECEBIDOS!$E$2:$F$5010,ARQUIVOS_RECEBIDOS!$F$2:$F$5010,-1),2,)</f>
        <v>R04</v>
      </c>
      <c r="C629" s="15" t="s">
        <v>5987</v>
      </c>
      <c r="D629" s="6" t="s">
        <v>4317</v>
      </c>
      <c r="E629" s="8" t="s">
        <v>4083</v>
      </c>
      <c r="F629" s="8" t="s">
        <v>4331</v>
      </c>
      <c r="G629" s="6" t="str">
        <f>_xlfn.XLOOKUP(LD_01[[#This Row],[DISCIPLINA]],'CLASSES DE PROJETOS'!$F$3:$F$37,'CLASSES DE PROJETOS'!$C$3:$C$37)</f>
        <v>SI</v>
      </c>
      <c r="H629" t="str">
        <f>_xlfn.TEXTJOIN("/",TRUE,"MSV-163MS-"&amp;LD_01[[#This Row],[TRECHO]],_xlfn.XLOOKUP(LD_01[[#This Row],[SIGLA]],'CLASSES DE PROJETOS'!$C$3:$C$37,'CLASSES DE PROJETOS'!$E$3:$E$37))</f>
        <v>MSV-163MS-535-545/31.SI</v>
      </c>
      <c r="I629" s="6" t="str" cm="1">
        <f t="array" ref="I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J629" s="6" t="str" cm="1">
        <f t="array" ref="J629">_xlfn.TEXTJOIN(", ",TRUE,_xlfn.UNIQUE(_xlfn._xlws.FILTER(ARQUIVOS_RECEBIDOS!$F$2:$F$5010,ARQUIVOS_RECEBIDOS!$E$2:$E$5010=LD_01[[#This Row],[DOCUMENTO]])))</f>
        <v>R04</v>
      </c>
      <c r="K629" s="12" cm="1">
        <f t="array" ref="K629">_xlfn.UNIQUE(_xlfn._xlws.FILTER(ARQUIVOS[DATA RECEBIMENTO],(ARQUIVOS[DOCUMENTO]=LD_01[[#This Row],[DOCUMENTO]])*(ARQUIVOS[REVISÃO]=LD_01[[#This Row],[REVISÃO]])))</f>
        <v>45838</v>
      </c>
      <c r="L6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M629" s="6" t="str">
        <f>LD_01[[#This Row],[PASTA]]&amp;"/"&amp;LD_01[[#This Row],[ARQUIVO]]</f>
        <v>MSV-163MS-535-545/31.SI/MSV-163MS-535-545-ACA-EXE-DE-J1-007-R04.pdf</v>
      </c>
    </row>
    <row r="630" spans="1:13" hidden="1" x14ac:dyDescent="0.3">
      <c r="A630" s="6" t="s">
        <v>3371</v>
      </c>
      <c r="B630" s="6" t="str">
        <f>VLOOKUP(LD_01[[#This Row],[DOCUMENTO]],_xlfn.SORTBY(ARQUIVOS_RECEBIDOS!$E$2:$F$5010,ARQUIVOS_RECEBIDOS!$F$2:$F$5010,-1),2,)</f>
        <v>R04</v>
      </c>
      <c r="C630" s="15" t="s">
        <v>5987</v>
      </c>
      <c r="D630" s="6" t="s">
        <v>4317</v>
      </c>
      <c r="E630" s="8" t="s">
        <v>4083</v>
      </c>
      <c r="F630" s="8" t="s">
        <v>4331</v>
      </c>
      <c r="G630" s="6" t="str">
        <f>_xlfn.XLOOKUP(LD_01[[#This Row],[DISCIPLINA]],'CLASSES DE PROJETOS'!$F$3:$F$37,'CLASSES DE PROJETOS'!$C$3:$C$37)</f>
        <v>SI</v>
      </c>
      <c r="H630" t="str">
        <f>_xlfn.TEXTJOIN("/",TRUE,"MSV-163MS-"&amp;LD_01[[#This Row],[TRECHO]],_xlfn.XLOOKUP(LD_01[[#This Row],[SIGLA]],'CLASSES DE PROJETOS'!$C$3:$C$37,'CLASSES DE PROJETOS'!$E$3:$E$37))</f>
        <v>MSV-163MS-535-545/31.SI</v>
      </c>
      <c r="I630" s="6" t="str" cm="1">
        <f t="array" ref="I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J630" s="6" t="str" cm="1">
        <f t="array" ref="J630">_xlfn.TEXTJOIN(", ",TRUE,_xlfn.UNIQUE(_xlfn._xlws.FILTER(ARQUIVOS_RECEBIDOS!$F$2:$F$5010,ARQUIVOS_RECEBIDOS!$E$2:$E$5010=LD_01[[#This Row],[DOCUMENTO]])))</f>
        <v>R04</v>
      </c>
      <c r="K630" s="12" cm="1">
        <f t="array" ref="K630">_xlfn.UNIQUE(_xlfn._xlws.FILTER(ARQUIVOS[DATA RECEBIMENTO],(ARQUIVOS[DOCUMENTO]=LD_01[[#This Row],[DOCUMENTO]])*(ARQUIVOS[REVISÃO]=LD_01[[#This Row],[REVISÃO]])))</f>
        <v>45838</v>
      </c>
      <c r="L6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M630" s="6" t="str">
        <f>LD_01[[#This Row],[PASTA]]&amp;"/"&amp;LD_01[[#This Row],[ARQUIVO]]</f>
        <v>MSV-163MS-535-545/31.SI/MSV-163MS-535-545-ACA-EXE-DE-J1-008-R04.pdf</v>
      </c>
    </row>
    <row r="631" spans="1:13" hidden="1" x14ac:dyDescent="0.3">
      <c r="A631" s="6" t="s">
        <v>3372</v>
      </c>
      <c r="B631" s="6" t="str">
        <f>VLOOKUP(LD_01[[#This Row],[DOCUMENTO]],_xlfn.SORTBY(ARQUIVOS_RECEBIDOS!$E$2:$F$5010,ARQUIVOS_RECEBIDOS!$F$2:$F$5010,-1),2,)</f>
        <v>R04</v>
      </c>
      <c r="C631" s="15" t="s">
        <v>5987</v>
      </c>
      <c r="D631" s="6" t="s">
        <v>4317</v>
      </c>
      <c r="E631" s="8" t="s">
        <v>4083</v>
      </c>
      <c r="F631" s="8" t="s">
        <v>4331</v>
      </c>
      <c r="G631" s="6" t="str">
        <f>_xlfn.XLOOKUP(LD_01[[#This Row],[DISCIPLINA]],'CLASSES DE PROJETOS'!$F$3:$F$37,'CLASSES DE PROJETOS'!$C$3:$C$37)</f>
        <v>SI</v>
      </c>
      <c r="H631" t="str">
        <f>_xlfn.TEXTJOIN("/",TRUE,"MSV-163MS-"&amp;LD_01[[#This Row],[TRECHO]],_xlfn.XLOOKUP(LD_01[[#This Row],[SIGLA]],'CLASSES DE PROJETOS'!$C$3:$C$37,'CLASSES DE PROJETOS'!$E$3:$E$37))</f>
        <v>MSV-163MS-535-545/31.SI</v>
      </c>
      <c r="I631" s="6" t="str" cm="1">
        <f t="array" ref="I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J631" s="6" t="str" cm="1">
        <f t="array" ref="J631">_xlfn.TEXTJOIN(", ",TRUE,_xlfn.UNIQUE(_xlfn._xlws.FILTER(ARQUIVOS_RECEBIDOS!$F$2:$F$5010,ARQUIVOS_RECEBIDOS!$E$2:$E$5010=LD_01[[#This Row],[DOCUMENTO]])))</f>
        <v>R04</v>
      </c>
      <c r="K631" s="12" cm="1">
        <f t="array" ref="K631">_xlfn.UNIQUE(_xlfn._xlws.FILTER(ARQUIVOS[DATA RECEBIMENTO],(ARQUIVOS[DOCUMENTO]=LD_01[[#This Row],[DOCUMENTO]])*(ARQUIVOS[REVISÃO]=LD_01[[#This Row],[REVISÃO]])))</f>
        <v>45838</v>
      </c>
      <c r="L6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M631" s="6" t="str">
        <f>LD_01[[#This Row],[PASTA]]&amp;"/"&amp;LD_01[[#This Row],[ARQUIVO]]</f>
        <v>MSV-163MS-535-545/31.SI/MSV-163MS-535-545-ACA-EXE-DE-J1-009-R04.pdf</v>
      </c>
    </row>
    <row r="632" spans="1:13" hidden="1" x14ac:dyDescent="0.3">
      <c r="A632" s="6" t="s">
        <v>3373</v>
      </c>
      <c r="B632" s="6" t="str">
        <f>VLOOKUP(LD_01[[#This Row],[DOCUMENTO]],_xlfn.SORTBY(ARQUIVOS_RECEBIDOS!$E$2:$F$5010,ARQUIVOS_RECEBIDOS!$F$2:$F$5010,-1),2,)</f>
        <v>R04</v>
      </c>
      <c r="C632" s="15" t="s">
        <v>5987</v>
      </c>
      <c r="D632" s="6" t="s">
        <v>4317</v>
      </c>
      <c r="E632" s="8" t="s">
        <v>4083</v>
      </c>
      <c r="F632" s="8" t="s">
        <v>4331</v>
      </c>
      <c r="G632" s="6" t="str">
        <f>_xlfn.XLOOKUP(LD_01[[#This Row],[DISCIPLINA]],'CLASSES DE PROJETOS'!$F$3:$F$37,'CLASSES DE PROJETOS'!$C$3:$C$37)</f>
        <v>SI</v>
      </c>
      <c r="H632" t="str">
        <f>_xlfn.TEXTJOIN("/",TRUE,"MSV-163MS-"&amp;LD_01[[#This Row],[TRECHO]],_xlfn.XLOOKUP(LD_01[[#This Row],[SIGLA]],'CLASSES DE PROJETOS'!$C$3:$C$37,'CLASSES DE PROJETOS'!$E$3:$E$37))</f>
        <v>MSV-163MS-535-545/31.SI</v>
      </c>
      <c r="I632" s="6" t="str" cm="1">
        <f t="array" ref="I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J632" s="6" t="str" cm="1">
        <f t="array" ref="J632">_xlfn.TEXTJOIN(", ",TRUE,_xlfn.UNIQUE(_xlfn._xlws.FILTER(ARQUIVOS_RECEBIDOS!$F$2:$F$5010,ARQUIVOS_RECEBIDOS!$E$2:$E$5010=LD_01[[#This Row],[DOCUMENTO]])))</f>
        <v>R04</v>
      </c>
      <c r="K632" s="12" cm="1">
        <f t="array" ref="K632">_xlfn.UNIQUE(_xlfn._xlws.FILTER(ARQUIVOS[DATA RECEBIMENTO],(ARQUIVOS[DOCUMENTO]=LD_01[[#This Row],[DOCUMENTO]])*(ARQUIVOS[REVISÃO]=LD_01[[#This Row],[REVISÃO]])))</f>
        <v>45838</v>
      </c>
      <c r="L6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M632" s="6" t="str">
        <f>LD_01[[#This Row],[PASTA]]&amp;"/"&amp;LD_01[[#This Row],[ARQUIVO]]</f>
        <v>MSV-163MS-535-545/31.SI/MSV-163MS-535-545-ACA-EXE-DE-J1-010-R04.pdf</v>
      </c>
    </row>
    <row r="633" spans="1:13" hidden="1" x14ac:dyDescent="0.3">
      <c r="A633" s="6" t="s">
        <v>3374</v>
      </c>
      <c r="B633" s="6" t="str">
        <f>VLOOKUP(LD_01[[#This Row],[DOCUMENTO]],_xlfn.SORTBY(ARQUIVOS_RECEBIDOS!$E$2:$F$5010,ARQUIVOS_RECEBIDOS!$F$2:$F$5010,-1),2,)</f>
        <v>R01</v>
      </c>
      <c r="C633" s="15" t="s">
        <v>5987</v>
      </c>
      <c r="D633" s="6" t="s">
        <v>4317</v>
      </c>
      <c r="E633" s="8" t="s">
        <v>4084</v>
      </c>
      <c r="F633" s="8" t="s">
        <v>4331</v>
      </c>
      <c r="G633" s="6" t="str">
        <f>_xlfn.XLOOKUP(LD_01[[#This Row],[DISCIPLINA]],'CLASSES DE PROJETOS'!$F$3:$F$37,'CLASSES DE PROJETOS'!$C$3:$C$37)</f>
        <v>SI</v>
      </c>
      <c r="H633" t="str">
        <f>_xlfn.TEXTJOIN("/",TRUE,"MSV-163MS-"&amp;LD_01[[#This Row],[TRECHO]],_xlfn.XLOOKUP(LD_01[[#This Row],[SIGLA]],'CLASSES DE PROJETOS'!$C$3:$C$37,'CLASSES DE PROJETOS'!$E$3:$E$37))</f>
        <v>MSV-163MS-535-545/31.SI</v>
      </c>
      <c r="I633" s="6" t="str" cm="1">
        <f t="array" ref="I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J633" s="6" t="str" cm="1">
        <f t="array" ref="J633">_xlfn.TEXTJOIN(", ",TRUE,_xlfn.UNIQUE(_xlfn._xlws.FILTER(ARQUIVOS_RECEBIDOS!$F$2:$F$5010,ARQUIVOS_RECEBIDOS!$E$2:$E$5010=LD_01[[#This Row],[DOCUMENTO]])))</f>
        <v>R01</v>
      </c>
      <c r="K633" s="12" cm="1">
        <f t="array" ref="K633">_xlfn.UNIQUE(_xlfn._xlws.FILTER(ARQUIVOS[DATA RECEBIMENTO],(ARQUIVOS[DOCUMENTO]=LD_01[[#This Row],[DOCUMENTO]])*(ARQUIVOS[REVISÃO]=LD_01[[#This Row],[REVISÃO]])))</f>
        <v>45838</v>
      </c>
      <c r="L6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M633" s="6" t="str">
        <f>LD_01[[#This Row],[PASTA]]&amp;"/"&amp;LD_01[[#This Row],[ARQUIVO]]</f>
        <v>MSV-163MS-535-545/31.SI/MSV-163MS-535-545-ACA-EXE-DE-J1-011-R01.pdf</v>
      </c>
    </row>
    <row r="634" spans="1:13" hidden="1" x14ac:dyDescent="0.3">
      <c r="A634" s="6" t="s">
        <v>3375</v>
      </c>
      <c r="B634" s="6" t="str">
        <f>VLOOKUP(LD_01[[#This Row],[DOCUMENTO]],_xlfn.SORTBY(ARQUIVOS_RECEBIDOS!$E$2:$F$5010,ARQUIVOS_RECEBIDOS!$F$2:$F$5010,-1),2,)</f>
        <v>R02</v>
      </c>
      <c r="C634" s="15" t="s">
        <v>5987</v>
      </c>
      <c r="D634" s="6" t="s">
        <v>4317</v>
      </c>
      <c r="E634" s="8" t="s">
        <v>4085</v>
      </c>
      <c r="F634" s="8" t="s">
        <v>4331</v>
      </c>
      <c r="G634" s="6" t="str">
        <f>_xlfn.XLOOKUP(LD_01[[#This Row],[DISCIPLINA]],'CLASSES DE PROJETOS'!$F$3:$F$37,'CLASSES DE PROJETOS'!$C$3:$C$37)</f>
        <v>SI</v>
      </c>
      <c r="H634" t="str">
        <f>_xlfn.TEXTJOIN("/",TRUE,"MSV-163MS-"&amp;LD_01[[#This Row],[TRECHO]],_xlfn.XLOOKUP(LD_01[[#This Row],[SIGLA]],'CLASSES DE PROJETOS'!$C$3:$C$37,'CLASSES DE PROJETOS'!$E$3:$E$37))</f>
        <v>MSV-163MS-535-545/31.SI</v>
      </c>
      <c r="I634" s="6" t="str" cm="1">
        <f t="array" ref="I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J634" s="6" t="str" cm="1">
        <f t="array" ref="J634">_xlfn.TEXTJOIN(", ",TRUE,_xlfn.UNIQUE(_xlfn._xlws.FILTER(ARQUIVOS_RECEBIDOS!$F$2:$F$5010,ARQUIVOS_RECEBIDOS!$E$2:$E$5010=LD_01[[#This Row],[DOCUMENTO]])))</f>
        <v>R02</v>
      </c>
      <c r="K634" s="12" cm="1">
        <f t="array" ref="K634">_xlfn.UNIQUE(_xlfn._xlws.FILTER(ARQUIVOS[DATA RECEBIMENTO],(ARQUIVOS[DOCUMENTO]=LD_01[[#This Row],[DOCUMENTO]])*(ARQUIVOS[REVISÃO]=LD_01[[#This Row],[REVISÃO]])))</f>
        <v>45838</v>
      </c>
      <c r="L6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M634" s="6" t="str">
        <f>LD_01[[#This Row],[PASTA]]&amp;"/"&amp;LD_01[[#This Row],[ARQUIVO]]</f>
        <v>MSV-163MS-535-545/31.SI/MSV-163MS-535-545-ACA-EXE-DE-J1-012-R02.pdf</v>
      </c>
    </row>
    <row r="635" spans="1:13" hidden="1" x14ac:dyDescent="0.3">
      <c r="A635" s="6" t="s">
        <v>3376</v>
      </c>
      <c r="B635" s="6" t="str">
        <f>VLOOKUP(LD_01[[#This Row],[DOCUMENTO]],_xlfn.SORTBY(ARQUIVOS_RECEBIDOS!$E$2:$F$5010,ARQUIVOS_RECEBIDOS!$F$2:$F$5010,-1),2,)</f>
        <v>R01</v>
      </c>
      <c r="C635" s="15" t="s">
        <v>5987</v>
      </c>
      <c r="D635" s="6" t="s">
        <v>4317</v>
      </c>
      <c r="E635" s="8" t="s">
        <v>4086</v>
      </c>
      <c r="F635" s="8" t="s">
        <v>4331</v>
      </c>
      <c r="G635" s="6" t="str">
        <f>_xlfn.XLOOKUP(LD_01[[#This Row],[DISCIPLINA]],'CLASSES DE PROJETOS'!$F$3:$F$37,'CLASSES DE PROJETOS'!$C$3:$C$37)</f>
        <v>SI</v>
      </c>
      <c r="H635" t="str">
        <f>_xlfn.TEXTJOIN("/",TRUE,"MSV-163MS-"&amp;LD_01[[#This Row],[TRECHO]],_xlfn.XLOOKUP(LD_01[[#This Row],[SIGLA]],'CLASSES DE PROJETOS'!$C$3:$C$37,'CLASSES DE PROJETOS'!$E$3:$E$37))</f>
        <v>MSV-163MS-535-545/31.SI</v>
      </c>
      <c r="I635" s="6" t="str" cm="1">
        <f t="array" ref="I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J635" s="6" t="str" cm="1">
        <f t="array" ref="J635">_xlfn.TEXTJOIN(", ",TRUE,_xlfn.UNIQUE(_xlfn._xlws.FILTER(ARQUIVOS_RECEBIDOS!$F$2:$F$5010,ARQUIVOS_RECEBIDOS!$E$2:$E$5010=LD_01[[#This Row],[DOCUMENTO]])))</f>
        <v>R01</v>
      </c>
      <c r="K635" s="12" cm="1">
        <f t="array" ref="K635">_xlfn.UNIQUE(_xlfn._xlws.FILTER(ARQUIVOS[DATA RECEBIMENTO],(ARQUIVOS[DOCUMENTO]=LD_01[[#This Row],[DOCUMENTO]])*(ARQUIVOS[REVISÃO]=LD_01[[#This Row],[REVISÃO]])))</f>
        <v>45838</v>
      </c>
      <c r="L6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M635" s="6" t="str">
        <f>LD_01[[#This Row],[PASTA]]&amp;"/"&amp;LD_01[[#This Row],[ARQUIVO]]</f>
        <v>MSV-163MS-535-545/31.SI/MSV-163MS-535-545-ACA-EXE-DE-J1-013-R01.pdf</v>
      </c>
    </row>
    <row r="636" spans="1:13" ht="43.2" hidden="1" x14ac:dyDescent="0.3">
      <c r="A636" s="6" t="s">
        <v>3377</v>
      </c>
      <c r="B636" s="6" t="str">
        <f>VLOOKUP(LD_01[[#This Row],[DOCUMENTO]],_xlfn.SORTBY(ARQUIVOS_RECEBIDOS!$E$2:$F$5010,ARQUIVOS_RECEBIDOS!$F$2:$F$5010,-1),2,)</f>
        <v>R01</v>
      </c>
      <c r="C636" s="15" t="s">
        <v>5987</v>
      </c>
      <c r="D636" s="6" t="s">
        <v>4317</v>
      </c>
      <c r="E636" s="8" t="s">
        <v>4254</v>
      </c>
      <c r="F636" s="8" t="s">
        <v>4336</v>
      </c>
      <c r="G636" s="6" t="str">
        <f>_xlfn.XLOOKUP(LD_01[[#This Row],[DISCIPLINA]],'CLASSES DE PROJETOS'!$F$3:$F$37,'CLASSES DE PROJETOS'!$C$3:$C$37)</f>
        <v>OC</v>
      </c>
      <c r="H636" t="str">
        <f>_xlfn.TEXTJOIN("/",TRUE,"MSV-163MS-"&amp;LD_01[[#This Row],[TRECHO]],_xlfn.XLOOKUP(LD_01[[#This Row],[SIGLA]],'CLASSES DE PROJETOS'!$C$3:$C$37,'CLASSES DE PROJETOS'!$E$3:$E$37))</f>
        <v>MSV-163MS-535-545/35.OC</v>
      </c>
      <c r="I636" s="6" t="str" cm="1">
        <f t="array" ref="I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J636" s="6" t="str" cm="1">
        <f t="array" ref="J636">_xlfn.TEXTJOIN(", ",TRUE,_xlfn.UNIQUE(_xlfn._xlws.FILTER(ARQUIVOS_RECEBIDOS!$F$2:$F$5010,ARQUIVOS_RECEBIDOS!$E$2:$E$5010=LD_01[[#This Row],[DOCUMENTO]])))</f>
        <v>R01</v>
      </c>
      <c r="K636" s="12" cm="1">
        <f t="array" ref="K636">_xlfn.UNIQUE(_xlfn._xlws.FILTER(ARQUIVOS[DATA RECEBIMENTO],(ARQUIVOS[DOCUMENTO]=LD_01[[#This Row],[DOCUMENTO]])*(ARQUIVOS[REVISÃO]=LD_01[[#This Row],[REVISÃO]])))</f>
        <v>45838</v>
      </c>
      <c r="L6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M636" s="6" t="str">
        <f>LD_01[[#This Row],[PASTA]]&amp;"/"&amp;LD_01[[#This Row],[ARQUIVO]]</f>
        <v>MSV-163MS-535-545/35.OC/MSV-163MS-535-545-ACA-EXE-DE-J2-001-R01.pdf</v>
      </c>
    </row>
    <row r="637" spans="1:13" ht="43.2" hidden="1" x14ac:dyDescent="0.3">
      <c r="A637" s="6" t="s">
        <v>3378</v>
      </c>
      <c r="B637" s="6" t="str">
        <f>VLOOKUP(LD_01[[#This Row],[DOCUMENTO]],_xlfn.SORTBY(ARQUIVOS_RECEBIDOS!$E$2:$F$5010,ARQUIVOS_RECEBIDOS!$F$2:$F$5010,-1),2,)</f>
        <v>R00</v>
      </c>
      <c r="C637" s="15" t="s">
        <v>5987</v>
      </c>
      <c r="D637" s="6" t="s">
        <v>4317</v>
      </c>
      <c r="E637" s="8" t="s">
        <v>4255</v>
      </c>
      <c r="F637" s="8" t="s">
        <v>4336</v>
      </c>
      <c r="G637" s="6" t="str">
        <f>_xlfn.XLOOKUP(LD_01[[#This Row],[DISCIPLINA]],'CLASSES DE PROJETOS'!$F$3:$F$37,'CLASSES DE PROJETOS'!$C$3:$C$37)</f>
        <v>OC</v>
      </c>
      <c r="H637" t="str">
        <f>_xlfn.TEXTJOIN("/",TRUE,"MSV-163MS-"&amp;LD_01[[#This Row],[TRECHO]],_xlfn.XLOOKUP(LD_01[[#This Row],[SIGLA]],'CLASSES DE PROJETOS'!$C$3:$C$37,'CLASSES DE PROJETOS'!$E$3:$E$37))</f>
        <v>MSV-163MS-535-545/35.OC</v>
      </c>
      <c r="I637" s="6" t="str" cm="1">
        <f t="array" ref="I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J637" s="6" t="str" cm="1">
        <f t="array" ref="J637">_xlfn.TEXTJOIN(", ",TRUE,_xlfn.UNIQUE(_xlfn._xlws.FILTER(ARQUIVOS_RECEBIDOS!$F$2:$F$5010,ARQUIVOS_RECEBIDOS!$E$2:$E$5010=LD_01[[#This Row],[DOCUMENTO]])))</f>
        <v>R00</v>
      </c>
      <c r="K637" s="12" cm="1">
        <f t="array" ref="K637">_xlfn.UNIQUE(_xlfn._xlws.FILTER(ARQUIVOS[DATA RECEBIMENTO],(ARQUIVOS[DOCUMENTO]=LD_01[[#This Row],[DOCUMENTO]])*(ARQUIVOS[REVISÃO]=LD_01[[#This Row],[REVISÃO]])))</f>
        <v>45838</v>
      </c>
      <c r="L6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M637" s="6" t="str">
        <f>LD_01[[#This Row],[PASTA]]&amp;"/"&amp;LD_01[[#This Row],[ARQUIVO]]</f>
        <v>MSV-163MS-535-545/35.OC/MSV-163MS-535-545-ACA-EXE-DE-J2-002-R00.pdf</v>
      </c>
    </row>
    <row r="638" spans="1:13" ht="43.2" hidden="1" x14ac:dyDescent="0.3">
      <c r="A638" s="6" t="s">
        <v>3379</v>
      </c>
      <c r="B638" s="6" t="str">
        <f>VLOOKUP(LD_01[[#This Row],[DOCUMENTO]],_xlfn.SORTBY(ARQUIVOS_RECEBIDOS!$E$2:$F$5010,ARQUIVOS_RECEBIDOS!$F$2:$F$5010,-1),2,)</f>
        <v>R01</v>
      </c>
      <c r="C638" s="15" t="s">
        <v>5987</v>
      </c>
      <c r="D638" s="6" t="s">
        <v>4317</v>
      </c>
      <c r="E638" s="8" t="s">
        <v>4254</v>
      </c>
      <c r="F638" s="8" t="s">
        <v>4336</v>
      </c>
      <c r="G638" s="6" t="str">
        <f>_xlfn.XLOOKUP(LD_01[[#This Row],[DISCIPLINA]],'CLASSES DE PROJETOS'!$F$3:$F$37,'CLASSES DE PROJETOS'!$C$3:$C$37)</f>
        <v>OC</v>
      </c>
      <c r="H638" t="str">
        <f>_xlfn.TEXTJOIN("/",TRUE,"MSV-163MS-"&amp;LD_01[[#This Row],[TRECHO]],_xlfn.XLOOKUP(LD_01[[#This Row],[SIGLA]],'CLASSES DE PROJETOS'!$C$3:$C$37,'CLASSES DE PROJETOS'!$E$3:$E$37))</f>
        <v>MSV-163MS-535-545/35.OC</v>
      </c>
      <c r="I638" s="6" t="str" cm="1">
        <f t="array" ref="I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J638" s="6" t="str" cm="1">
        <f t="array" ref="J638">_xlfn.TEXTJOIN(", ",TRUE,_xlfn.UNIQUE(_xlfn._xlws.FILTER(ARQUIVOS_RECEBIDOS!$F$2:$F$5010,ARQUIVOS_RECEBIDOS!$E$2:$E$5010=LD_01[[#This Row],[DOCUMENTO]])))</f>
        <v>R00, R01</v>
      </c>
      <c r="K638" s="12" cm="1">
        <f t="array" ref="K638">_xlfn.UNIQUE(_xlfn._xlws.FILTER(ARQUIVOS[DATA RECEBIMENTO],(ARQUIVOS[DOCUMENTO]=LD_01[[#This Row],[DOCUMENTO]])*(ARQUIVOS[REVISÃO]=LD_01[[#This Row],[REVISÃO]])))</f>
        <v>45895</v>
      </c>
      <c r="L6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M638" s="6" t="str">
        <f>LD_01[[#This Row],[PASTA]]&amp;"/"&amp;LD_01[[#This Row],[ARQUIVO]]</f>
        <v>MSV-163MS-535-545/35.OC/MSV-163MS-535-545-ACA-EXE-DE-J2-003-R01.pdf</v>
      </c>
    </row>
    <row r="639" spans="1:13" ht="43.2" hidden="1" x14ac:dyDescent="0.3">
      <c r="A639" s="6" t="s">
        <v>3408</v>
      </c>
      <c r="B639" s="6" t="str">
        <f>VLOOKUP(LD_01[[#This Row],[DOCUMENTO]],_xlfn.SORTBY(ARQUIVOS_RECEBIDOS!$E$2:$F$5010,ARQUIVOS_RECEBIDOS!$F$2:$F$5010,-1),2,)</f>
        <v>R01</v>
      </c>
      <c r="C639" s="15" t="s">
        <v>5987</v>
      </c>
      <c r="D639" s="6" t="s">
        <v>4317</v>
      </c>
      <c r="E639" s="8" t="s">
        <v>4197</v>
      </c>
      <c r="F639" s="8" t="s">
        <v>4337</v>
      </c>
      <c r="G639" s="6" t="str">
        <f>_xlfn.XLOOKUP(LD_01[[#This Row],[DISCIPLINA]],'CLASSES DE PROJETOS'!$F$3:$F$37,'CLASSES DE PROJETOS'!$C$3:$C$37)</f>
        <v>EL</v>
      </c>
      <c r="H639" t="str">
        <f>_xlfn.TEXTJOIN("/",TRUE,"MSV-163MS-"&amp;LD_01[[#This Row],[TRECHO]],_xlfn.XLOOKUP(LD_01[[#This Row],[SIGLA]],'CLASSES DE PROJETOS'!$C$3:$C$37,'CLASSES DE PROJETOS'!$E$3:$E$37))</f>
        <v>MSV-163MS-535-545/14.EL</v>
      </c>
      <c r="I639" s="6" t="str" cm="1">
        <f t="array" ref="I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J639" s="6" t="str" cm="1">
        <f t="array" ref="J639">_xlfn.TEXTJOIN(", ",TRUE,_xlfn.UNIQUE(_xlfn._xlws.FILTER(ARQUIVOS_RECEBIDOS!$F$2:$F$5010,ARQUIVOS_RECEBIDOS!$E$2:$E$5010=LD_01[[#This Row],[DOCUMENTO]])))</f>
        <v>R01</v>
      </c>
      <c r="K639" s="12" cm="1">
        <f t="array" ref="K639">_xlfn.UNIQUE(_xlfn._xlws.FILTER(ARQUIVOS[DATA RECEBIMENTO],(ARQUIVOS[DOCUMENTO]=LD_01[[#This Row],[DOCUMENTO]])*(ARQUIVOS[REVISÃO]=LD_01[[#This Row],[REVISÃO]])))</f>
        <v>45838</v>
      </c>
      <c r="L6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M639" s="6" t="str">
        <f>LD_01[[#This Row],[PASTA]]&amp;"/"&amp;LD_01[[#This Row],[ARQUIVO]]</f>
        <v>MSV-163MS-535-545/14.EL/MSV-163MS-535-545-ACA-EXE-DE-K2-001-R01.pdf</v>
      </c>
    </row>
    <row r="640" spans="1:13" ht="43.2" hidden="1" x14ac:dyDescent="0.3">
      <c r="A640" s="6" t="s">
        <v>3409</v>
      </c>
      <c r="B640" s="6" t="str">
        <f>VLOOKUP(LD_01[[#This Row],[DOCUMENTO]],_xlfn.SORTBY(ARQUIVOS_RECEBIDOS!$E$2:$F$5010,ARQUIVOS_RECEBIDOS!$F$2:$F$5010,-1),2,)</f>
        <v>R03</v>
      </c>
      <c r="C640" s="15" t="s">
        <v>5987</v>
      </c>
      <c r="D640" s="6" t="s">
        <v>4317</v>
      </c>
      <c r="E640" s="8" t="s">
        <v>4198</v>
      </c>
      <c r="F640" s="8" t="s">
        <v>4337</v>
      </c>
      <c r="G640" s="6" t="str">
        <f>_xlfn.XLOOKUP(LD_01[[#This Row],[DISCIPLINA]],'CLASSES DE PROJETOS'!$F$3:$F$37,'CLASSES DE PROJETOS'!$C$3:$C$37)</f>
        <v>EL</v>
      </c>
      <c r="H640" t="str">
        <f>_xlfn.TEXTJOIN("/",TRUE,"MSV-163MS-"&amp;LD_01[[#This Row],[TRECHO]],_xlfn.XLOOKUP(LD_01[[#This Row],[SIGLA]],'CLASSES DE PROJETOS'!$C$3:$C$37,'CLASSES DE PROJETOS'!$E$3:$E$37))</f>
        <v>MSV-163MS-535-545/14.EL</v>
      </c>
      <c r="I640" s="6" t="str" cm="1">
        <f t="array" ref="I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J640" s="6" t="str" cm="1">
        <f t="array" ref="J640">_xlfn.TEXTJOIN(", ",TRUE,_xlfn.UNIQUE(_xlfn._xlws.FILTER(ARQUIVOS_RECEBIDOS!$F$2:$F$5010,ARQUIVOS_RECEBIDOS!$E$2:$E$5010=LD_01[[#This Row],[DOCUMENTO]])))</f>
        <v>R02, R03</v>
      </c>
      <c r="K640" s="12" cm="1">
        <f t="array" ref="K640">_xlfn.UNIQUE(_xlfn._xlws.FILTER(ARQUIVOS[DATA RECEBIMENTO],(ARQUIVOS[DOCUMENTO]=LD_01[[#This Row],[DOCUMENTO]])*(ARQUIVOS[REVISÃO]=LD_01[[#This Row],[REVISÃO]])))</f>
        <v>45895</v>
      </c>
      <c r="L6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M640" s="6" t="str">
        <f>LD_01[[#This Row],[PASTA]]&amp;"/"&amp;LD_01[[#This Row],[ARQUIVO]]</f>
        <v>MSV-163MS-535-545/14.EL/MSV-163MS-535-545-ACA-EXE-DE-K2-002-R03.pdf</v>
      </c>
    </row>
    <row r="641" spans="1:13" ht="43.2" hidden="1" x14ac:dyDescent="0.3">
      <c r="A641" s="6" t="s">
        <v>3410</v>
      </c>
      <c r="B641" s="6" t="str">
        <f>VLOOKUP(LD_01[[#This Row],[DOCUMENTO]],_xlfn.SORTBY(ARQUIVOS_RECEBIDOS!$E$2:$F$5010,ARQUIVOS_RECEBIDOS!$F$2:$F$5010,-1),2,)</f>
        <v>R05</v>
      </c>
      <c r="C641" s="15" t="s">
        <v>5987</v>
      </c>
      <c r="D641" s="6" t="s">
        <v>4317</v>
      </c>
      <c r="E641" s="8" t="s">
        <v>4199</v>
      </c>
      <c r="F641" s="8" t="s">
        <v>4337</v>
      </c>
      <c r="G641" s="6" t="str">
        <f>_xlfn.XLOOKUP(LD_01[[#This Row],[DISCIPLINA]],'CLASSES DE PROJETOS'!$F$3:$F$37,'CLASSES DE PROJETOS'!$C$3:$C$37)</f>
        <v>EL</v>
      </c>
      <c r="H641" t="str">
        <f>_xlfn.TEXTJOIN("/",TRUE,"MSV-163MS-"&amp;LD_01[[#This Row],[TRECHO]],_xlfn.XLOOKUP(LD_01[[#This Row],[SIGLA]],'CLASSES DE PROJETOS'!$C$3:$C$37,'CLASSES DE PROJETOS'!$E$3:$E$37))</f>
        <v>MSV-163MS-535-545/14.EL</v>
      </c>
      <c r="I641" s="6" t="str" cm="1">
        <f t="array" ref="I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J641" s="6" t="str" cm="1">
        <f t="array" ref="J641">_xlfn.TEXTJOIN(", ",TRUE,_xlfn.UNIQUE(_xlfn._xlws.FILTER(ARQUIVOS_RECEBIDOS!$F$2:$F$5010,ARQUIVOS_RECEBIDOS!$E$2:$E$5010=LD_01[[#This Row],[DOCUMENTO]])))</f>
        <v>R05</v>
      </c>
      <c r="K641" s="12" cm="1">
        <f t="array" ref="K641">_xlfn.UNIQUE(_xlfn._xlws.FILTER(ARQUIVOS[DATA RECEBIMENTO],(ARQUIVOS[DOCUMENTO]=LD_01[[#This Row],[DOCUMENTO]])*(ARQUIVOS[REVISÃO]=LD_01[[#This Row],[REVISÃO]])))</f>
        <v>45838</v>
      </c>
      <c r="L6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M641" s="6" t="str">
        <f>LD_01[[#This Row],[PASTA]]&amp;"/"&amp;LD_01[[#This Row],[ARQUIVO]]</f>
        <v>MSV-163MS-535-545/14.EL/MSV-163MS-535-545-ACA-EXE-DE-K2-003-R05.pdf</v>
      </c>
    </row>
    <row r="642" spans="1:13" ht="43.2" hidden="1" x14ac:dyDescent="0.3">
      <c r="A642" s="6" t="s">
        <v>3411</v>
      </c>
      <c r="B642" s="6" t="str">
        <f>VLOOKUP(LD_01[[#This Row],[DOCUMENTO]],_xlfn.SORTBY(ARQUIVOS_RECEBIDOS!$E$2:$F$5010,ARQUIVOS_RECEBIDOS!$F$2:$F$5010,-1),2,)</f>
        <v>R05</v>
      </c>
      <c r="C642" s="15" t="s">
        <v>5987</v>
      </c>
      <c r="D642" s="6" t="s">
        <v>4317</v>
      </c>
      <c r="E642" s="8" t="s">
        <v>4199</v>
      </c>
      <c r="F642" s="8" t="s">
        <v>4337</v>
      </c>
      <c r="G642" s="6" t="str">
        <f>_xlfn.XLOOKUP(LD_01[[#This Row],[DISCIPLINA]],'CLASSES DE PROJETOS'!$F$3:$F$37,'CLASSES DE PROJETOS'!$C$3:$C$37)</f>
        <v>EL</v>
      </c>
      <c r="H642" t="str">
        <f>_xlfn.TEXTJOIN("/",TRUE,"MSV-163MS-"&amp;LD_01[[#This Row],[TRECHO]],_xlfn.XLOOKUP(LD_01[[#This Row],[SIGLA]],'CLASSES DE PROJETOS'!$C$3:$C$37,'CLASSES DE PROJETOS'!$E$3:$E$37))</f>
        <v>MSV-163MS-535-545/14.EL</v>
      </c>
      <c r="I642" s="6" t="str" cm="1">
        <f t="array" ref="I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J642" s="6" t="str" cm="1">
        <f t="array" ref="J642">_xlfn.TEXTJOIN(", ",TRUE,_xlfn.UNIQUE(_xlfn._xlws.FILTER(ARQUIVOS_RECEBIDOS!$F$2:$F$5010,ARQUIVOS_RECEBIDOS!$E$2:$E$5010=LD_01[[#This Row],[DOCUMENTO]])))</f>
        <v>R05</v>
      </c>
      <c r="K642" s="12" cm="1">
        <f t="array" ref="K642">_xlfn.UNIQUE(_xlfn._xlws.FILTER(ARQUIVOS[DATA RECEBIMENTO],(ARQUIVOS[DOCUMENTO]=LD_01[[#This Row],[DOCUMENTO]])*(ARQUIVOS[REVISÃO]=LD_01[[#This Row],[REVISÃO]])))</f>
        <v>45838</v>
      </c>
      <c r="L6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M642" s="6" t="str">
        <f>LD_01[[#This Row],[PASTA]]&amp;"/"&amp;LD_01[[#This Row],[ARQUIVO]]</f>
        <v>MSV-163MS-535-545/14.EL/MSV-163MS-535-545-ACA-EXE-DE-K2-004-R05.pdf</v>
      </c>
    </row>
    <row r="643" spans="1:13" ht="43.2" hidden="1" x14ac:dyDescent="0.3">
      <c r="A643" s="6" t="s">
        <v>3412</v>
      </c>
      <c r="B643" s="6" t="str">
        <f>VLOOKUP(LD_01[[#This Row],[DOCUMENTO]],_xlfn.SORTBY(ARQUIVOS_RECEBIDOS!$E$2:$F$5010,ARQUIVOS_RECEBIDOS!$F$2:$F$5010,-1),2,)</f>
        <v>R02</v>
      </c>
      <c r="C643" s="15" t="s">
        <v>5987</v>
      </c>
      <c r="D643" s="6" t="s">
        <v>4317</v>
      </c>
      <c r="E643" s="8" t="s">
        <v>4200</v>
      </c>
      <c r="F643" s="8" t="s">
        <v>4337</v>
      </c>
      <c r="G643" s="6" t="str">
        <f>_xlfn.XLOOKUP(LD_01[[#This Row],[DISCIPLINA]],'CLASSES DE PROJETOS'!$F$3:$F$37,'CLASSES DE PROJETOS'!$C$3:$C$37)</f>
        <v>EL</v>
      </c>
      <c r="H643" t="str">
        <f>_xlfn.TEXTJOIN("/",TRUE,"MSV-163MS-"&amp;LD_01[[#This Row],[TRECHO]],_xlfn.XLOOKUP(LD_01[[#This Row],[SIGLA]],'CLASSES DE PROJETOS'!$C$3:$C$37,'CLASSES DE PROJETOS'!$E$3:$E$37))</f>
        <v>MSV-163MS-535-545/14.EL</v>
      </c>
      <c r="I643" s="6" t="str" cm="1">
        <f t="array" ref="I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J643" s="6" t="str" cm="1">
        <f t="array" ref="J643">_xlfn.TEXTJOIN(", ",TRUE,_xlfn.UNIQUE(_xlfn._xlws.FILTER(ARQUIVOS_RECEBIDOS!$F$2:$F$5010,ARQUIVOS_RECEBIDOS!$E$2:$E$5010=LD_01[[#This Row],[DOCUMENTO]])))</f>
        <v>R02</v>
      </c>
      <c r="K643" s="12" cm="1">
        <f t="array" ref="K643">_xlfn.UNIQUE(_xlfn._xlws.FILTER(ARQUIVOS[DATA RECEBIMENTO],(ARQUIVOS[DOCUMENTO]=LD_01[[#This Row],[DOCUMENTO]])*(ARQUIVOS[REVISÃO]=LD_01[[#This Row],[REVISÃO]])))</f>
        <v>45838</v>
      </c>
      <c r="L6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M643" s="6" t="str">
        <f>LD_01[[#This Row],[PASTA]]&amp;"/"&amp;LD_01[[#This Row],[ARQUIVO]]</f>
        <v>MSV-163MS-535-545/14.EL/MSV-163MS-535-545-ACA-EXE-DE-K2-005-R02.pdf</v>
      </c>
    </row>
    <row r="644" spans="1:13" ht="43.2" hidden="1" x14ac:dyDescent="0.3">
      <c r="A644" s="6" t="s">
        <v>3413</v>
      </c>
      <c r="B644" s="6" t="str">
        <f>VLOOKUP(LD_01[[#This Row],[DOCUMENTO]],_xlfn.SORTBY(ARQUIVOS_RECEBIDOS!$E$2:$F$5010,ARQUIVOS_RECEBIDOS!$F$2:$F$5010,-1),2,)</f>
        <v>R03</v>
      </c>
      <c r="C644" s="15" t="s">
        <v>5987</v>
      </c>
      <c r="D644" s="6" t="s">
        <v>4317</v>
      </c>
      <c r="E644" s="8" t="s">
        <v>4201</v>
      </c>
      <c r="F644" s="8" t="s">
        <v>4337</v>
      </c>
      <c r="G644" s="6" t="str">
        <f>_xlfn.XLOOKUP(LD_01[[#This Row],[DISCIPLINA]],'CLASSES DE PROJETOS'!$F$3:$F$37,'CLASSES DE PROJETOS'!$C$3:$C$37)</f>
        <v>EL</v>
      </c>
      <c r="H644" t="str">
        <f>_xlfn.TEXTJOIN("/",TRUE,"MSV-163MS-"&amp;LD_01[[#This Row],[TRECHO]],_xlfn.XLOOKUP(LD_01[[#This Row],[SIGLA]],'CLASSES DE PROJETOS'!$C$3:$C$37,'CLASSES DE PROJETOS'!$E$3:$E$37))</f>
        <v>MSV-163MS-535-545/14.EL</v>
      </c>
      <c r="I644" s="6" t="str" cm="1">
        <f t="array" ref="I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J644" s="6" t="str" cm="1">
        <f t="array" ref="J644">_xlfn.TEXTJOIN(", ",TRUE,_xlfn.UNIQUE(_xlfn._xlws.FILTER(ARQUIVOS_RECEBIDOS!$F$2:$F$5010,ARQUIVOS_RECEBIDOS!$E$2:$E$5010=LD_01[[#This Row],[DOCUMENTO]])))</f>
        <v>R02, R03</v>
      </c>
      <c r="K644" s="12" cm="1">
        <f t="array" ref="K644">_xlfn.UNIQUE(_xlfn._xlws.FILTER(ARQUIVOS[DATA RECEBIMENTO],(ARQUIVOS[DOCUMENTO]=LD_01[[#This Row],[DOCUMENTO]])*(ARQUIVOS[REVISÃO]=LD_01[[#This Row],[REVISÃO]])))</f>
        <v>45895</v>
      </c>
      <c r="L6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M644" s="6" t="str">
        <f>LD_01[[#This Row],[PASTA]]&amp;"/"&amp;LD_01[[#This Row],[ARQUIVO]]</f>
        <v>MSV-163MS-535-545/14.EL/MSV-163MS-535-545-ACA-EXE-DE-K2-006-R03.pdf</v>
      </c>
    </row>
    <row r="645" spans="1:13" ht="43.2" hidden="1" x14ac:dyDescent="0.3">
      <c r="A645" s="6" t="s">
        <v>3414</v>
      </c>
      <c r="B645" s="6" t="str">
        <f>VLOOKUP(LD_01[[#This Row],[DOCUMENTO]],_xlfn.SORTBY(ARQUIVOS_RECEBIDOS!$E$2:$F$5010,ARQUIVOS_RECEBIDOS!$F$2:$F$5010,-1),2,)</f>
        <v>R05</v>
      </c>
      <c r="C645" s="15" t="s">
        <v>5987</v>
      </c>
      <c r="D645" s="6" t="s">
        <v>4317</v>
      </c>
      <c r="E645" s="8" t="s">
        <v>4202</v>
      </c>
      <c r="F645" s="8" t="s">
        <v>4337</v>
      </c>
      <c r="G645" s="6" t="str">
        <f>_xlfn.XLOOKUP(LD_01[[#This Row],[DISCIPLINA]],'CLASSES DE PROJETOS'!$F$3:$F$37,'CLASSES DE PROJETOS'!$C$3:$C$37)</f>
        <v>EL</v>
      </c>
      <c r="H645" t="str">
        <f>_xlfn.TEXTJOIN("/",TRUE,"MSV-163MS-"&amp;LD_01[[#This Row],[TRECHO]],_xlfn.XLOOKUP(LD_01[[#This Row],[SIGLA]],'CLASSES DE PROJETOS'!$C$3:$C$37,'CLASSES DE PROJETOS'!$E$3:$E$37))</f>
        <v>MSV-163MS-535-545/14.EL</v>
      </c>
      <c r="I645" s="6" t="str" cm="1">
        <f t="array" ref="I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J645" s="6" t="str" cm="1">
        <f t="array" ref="J645">_xlfn.TEXTJOIN(", ",TRUE,_xlfn.UNIQUE(_xlfn._xlws.FILTER(ARQUIVOS_RECEBIDOS!$F$2:$F$5010,ARQUIVOS_RECEBIDOS!$E$2:$E$5010=LD_01[[#This Row],[DOCUMENTO]])))</f>
        <v>R04, R05</v>
      </c>
      <c r="K645" s="12" cm="1">
        <f t="array" ref="K645">_xlfn.UNIQUE(_xlfn._xlws.FILTER(ARQUIVOS[DATA RECEBIMENTO],(ARQUIVOS[DOCUMENTO]=LD_01[[#This Row],[DOCUMENTO]])*(ARQUIVOS[REVISÃO]=LD_01[[#This Row],[REVISÃO]])))</f>
        <v>45895</v>
      </c>
      <c r="L6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M645" s="6" t="str">
        <f>LD_01[[#This Row],[PASTA]]&amp;"/"&amp;LD_01[[#This Row],[ARQUIVO]]</f>
        <v>MSV-163MS-535-545/14.EL/MSV-163MS-535-545-ACA-EXE-DE-K2-007-R05.pdf</v>
      </c>
    </row>
    <row r="646" spans="1:13" ht="43.2" hidden="1" x14ac:dyDescent="0.3">
      <c r="A646" s="6" t="s">
        <v>3415</v>
      </c>
      <c r="B646" s="6" t="str">
        <f>VLOOKUP(LD_01[[#This Row],[DOCUMENTO]],_xlfn.SORTBY(ARQUIVOS_RECEBIDOS!$E$2:$F$5010,ARQUIVOS_RECEBIDOS!$F$2:$F$5010,-1),2,)</f>
        <v>R03</v>
      </c>
      <c r="C646" s="15" t="s">
        <v>5987</v>
      </c>
      <c r="D646" s="6" t="s">
        <v>4317</v>
      </c>
      <c r="E646" s="8" t="s">
        <v>4187</v>
      </c>
      <c r="F646" s="8" t="s">
        <v>4337</v>
      </c>
      <c r="G646" s="6" t="str">
        <f>_xlfn.XLOOKUP(LD_01[[#This Row],[DISCIPLINA]],'CLASSES DE PROJETOS'!$F$3:$F$37,'CLASSES DE PROJETOS'!$C$3:$C$37)</f>
        <v>EL</v>
      </c>
      <c r="H646" t="str">
        <f>_xlfn.TEXTJOIN("/",TRUE,"MSV-163MS-"&amp;LD_01[[#This Row],[TRECHO]],_xlfn.XLOOKUP(LD_01[[#This Row],[SIGLA]],'CLASSES DE PROJETOS'!$C$3:$C$37,'CLASSES DE PROJETOS'!$E$3:$E$37))</f>
        <v>MSV-163MS-535-545/14.EL</v>
      </c>
      <c r="I646" s="6" t="str" cm="1">
        <f t="array" ref="I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J646" s="6" t="str" cm="1">
        <f t="array" ref="J646">_xlfn.TEXTJOIN(", ",TRUE,_xlfn.UNIQUE(_xlfn._xlws.FILTER(ARQUIVOS_RECEBIDOS!$F$2:$F$5010,ARQUIVOS_RECEBIDOS!$E$2:$E$5010=LD_01[[#This Row],[DOCUMENTO]])))</f>
        <v>R02, R03</v>
      </c>
      <c r="K646" s="12" cm="1">
        <f t="array" ref="K646">_xlfn.UNIQUE(_xlfn._xlws.FILTER(ARQUIVOS[DATA RECEBIMENTO],(ARQUIVOS[DOCUMENTO]=LD_01[[#This Row],[DOCUMENTO]])*(ARQUIVOS[REVISÃO]=LD_01[[#This Row],[REVISÃO]])))</f>
        <v>45895</v>
      </c>
      <c r="L6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M646" s="6" t="str">
        <f>LD_01[[#This Row],[PASTA]]&amp;"/"&amp;LD_01[[#This Row],[ARQUIVO]]</f>
        <v>MSV-163MS-535-545/14.EL/MSV-163MS-535-545-ACA-EXE-DE-K2-008-R03.pdf</v>
      </c>
    </row>
    <row r="647" spans="1:13" ht="43.2" hidden="1" x14ac:dyDescent="0.3">
      <c r="A647" s="6" t="s">
        <v>3455</v>
      </c>
      <c r="B647" s="6" t="str">
        <f>VLOOKUP(LD_01[[#This Row],[DOCUMENTO]],_xlfn.SORTBY(ARQUIVOS_RECEBIDOS!$E$2:$F$5010,ARQUIVOS_RECEBIDOS!$F$2:$F$5010,-1),2,)</f>
        <v>R03</v>
      </c>
      <c r="C647" s="15" t="s">
        <v>5987</v>
      </c>
      <c r="D647" s="6" t="s">
        <v>4317</v>
      </c>
      <c r="E647" s="8" t="s">
        <v>4258</v>
      </c>
      <c r="F647" s="8" t="s">
        <v>4333</v>
      </c>
      <c r="G647" s="6" t="str">
        <f>_xlfn.XLOOKUP(LD_01[[#This Row],[DISCIPLINA]],'CLASSES DE PROJETOS'!$F$3:$F$37,'CLASSES DE PROJETOS'!$C$3:$C$37)</f>
        <v>IN</v>
      </c>
      <c r="H647" t="str">
        <f>_xlfn.TEXTJOIN("/",TRUE,"MSV-163MS-"&amp;LD_01[[#This Row],[TRECHO]],_xlfn.XLOOKUP(LD_01[[#This Row],[SIGLA]],'CLASSES DE PROJETOS'!$C$3:$C$37,'CLASSES DE PROJETOS'!$E$3:$E$37))</f>
        <v>MSV-163MS-535-545/23.IN</v>
      </c>
      <c r="I647" s="6" t="str" cm="1">
        <f t="array" ref="I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J647" s="6" t="str" cm="1">
        <f t="array" ref="J647">_xlfn.TEXTJOIN(", ",TRUE,_xlfn.UNIQUE(_xlfn._xlws.FILTER(ARQUIVOS_RECEBIDOS!$F$2:$F$5010,ARQUIVOS_RECEBIDOS!$E$2:$E$5010=LD_01[[#This Row],[DOCUMENTO]])))</f>
        <v>R03</v>
      </c>
      <c r="K647" s="12" cm="1">
        <f t="array" ref="K647">_xlfn.UNIQUE(_xlfn._xlws.FILTER(ARQUIVOS[DATA RECEBIMENTO],(ARQUIVOS[DOCUMENTO]=LD_01[[#This Row],[DOCUMENTO]])*(ARQUIVOS[REVISÃO]=LD_01[[#This Row],[REVISÃO]])))</f>
        <v>45838</v>
      </c>
      <c r="L6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M647" s="6" t="str">
        <f>LD_01[[#This Row],[PASTA]]&amp;"/"&amp;LD_01[[#This Row],[ARQUIVO]]</f>
        <v>MSV-163MS-535-545/23.IN/MSV-163MS-535-545-ACA-EXE-DE-M1-001-R03.pdf</v>
      </c>
    </row>
    <row r="648" spans="1:13" ht="43.2" hidden="1" x14ac:dyDescent="0.3">
      <c r="A648" s="6" t="s">
        <v>3456</v>
      </c>
      <c r="B648" s="6" t="str">
        <f>VLOOKUP(LD_01[[#This Row],[DOCUMENTO]],_xlfn.SORTBY(ARQUIVOS_RECEBIDOS!$E$2:$F$5010,ARQUIVOS_RECEBIDOS!$F$2:$F$5010,-1),2,)</f>
        <v>R03</v>
      </c>
      <c r="C648" s="15" t="s">
        <v>5987</v>
      </c>
      <c r="D648" s="6" t="s">
        <v>4317</v>
      </c>
      <c r="E648" s="8" t="s">
        <v>4258</v>
      </c>
      <c r="F648" s="8" t="s">
        <v>4333</v>
      </c>
      <c r="G648" s="6" t="str">
        <f>_xlfn.XLOOKUP(LD_01[[#This Row],[DISCIPLINA]],'CLASSES DE PROJETOS'!$F$3:$F$37,'CLASSES DE PROJETOS'!$C$3:$C$37)</f>
        <v>IN</v>
      </c>
      <c r="H648" t="str">
        <f>_xlfn.TEXTJOIN("/",TRUE,"MSV-163MS-"&amp;LD_01[[#This Row],[TRECHO]],_xlfn.XLOOKUP(LD_01[[#This Row],[SIGLA]],'CLASSES DE PROJETOS'!$C$3:$C$37,'CLASSES DE PROJETOS'!$E$3:$E$37))</f>
        <v>MSV-163MS-535-545/23.IN</v>
      </c>
      <c r="I648" s="6" t="str" cm="1">
        <f t="array" ref="I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J648" s="6" t="str" cm="1">
        <f t="array" ref="J648">_xlfn.TEXTJOIN(", ",TRUE,_xlfn.UNIQUE(_xlfn._xlws.FILTER(ARQUIVOS_RECEBIDOS!$F$2:$F$5010,ARQUIVOS_RECEBIDOS!$E$2:$E$5010=LD_01[[#This Row],[DOCUMENTO]])))</f>
        <v>R03</v>
      </c>
      <c r="K648" s="12" cm="1">
        <f t="array" ref="K648">_xlfn.UNIQUE(_xlfn._xlws.FILTER(ARQUIVOS[DATA RECEBIMENTO],(ARQUIVOS[DOCUMENTO]=LD_01[[#This Row],[DOCUMENTO]])*(ARQUIVOS[REVISÃO]=LD_01[[#This Row],[REVISÃO]])))</f>
        <v>45838</v>
      </c>
      <c r="L6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M648" s="6" t="str">
        <f>LD_01[[#This Row],[PASTA]]&amp;"/"&amp;LD_01[[#This Row],[ARQUIVO]]</f>
        <v>MSV-163MS-535-545/23.IN/MSV-163MS-535-545-ACA-EXE-DE-M1-002-R03.pdf</v>
      </c>
    </row>
    <row r="649" spans="1:13" ht="43.2" hidden="1" x14ac:dyDescent="0.3">
      <c r="A649" s="6" t="s">
        <v>3457</v>
      </c>
      <c r="B649" s="6" t="str">
        <f>VLOOKUP(LD_01[[#This Row],[DOCUMENTO]],_xlfn.SORTBY(ARQUIVOS_RECEBIDOS!$E$2:$F$5010,ARQUIVOS_RECEBIDOS!$F$2:$F$5010,-1),2,)</f>
        <v>R03</v>
      </c>
      <c r="C649" s="15" t="s">
        <v>5987</v>
      </c>
      <c r="D649" s="6" t="s">
        <v>4317</v>
      </c>
      <c r="E649" s="8" t="s">
        <v>4258</v>
      </c>
      <c r="F649" s="8" t="s">
        <v>4333</v>
      </c>
      <c r="G649" s="6" t="str">
        <f>_xlfn.XLOOKUP(LD_01[[#This Row],[DISCIPLINA]],'CLASSES DE PROJETOS'!$F$3:$F$37,'CLASSES DE PROJETOS'!$C$3:$C$37)</f>
        <v>IN</v>
      </c>
      <c r="H649" t="str">
        <f>_xlfn.TEXTJOIN("/",TRUE,"MSV-163MS-"&amp;LD_01[[#This Row],[TRECHO]],_xlfn.XLOOKUP(LD_01[[#This Row],[SIGLA]],'CLASSES DE PROJETOS'!$C$3:$C$37,'CLASSES DE PROJETOS'!$E$3:$E$37))</f>
        <v>MSV-163MS-535-545/23.IN</v>
      </c>
      <c r="I649" s="6" t="str" cm="1">
        <f t="array" ref="I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J649" s="6" t="str" cm="1">
        <f t="array" ref="J649">_xlfn.TEXTJOIN(", ",TRUE,_xlfn.UNIQUE(_xlfn._xlws.FILTER(ARQUIVOS_RECEBIDOS!$F$2:$F$5010,ARQUIVOS_RECEBIDOS!$E$2:$E$5010=LD_01[[#This Row],[DOCUMENTO]])))</f>
        <v>R03</v>
      </c>
      <c r="K649" s="12" cm="1">
        <f t="array" ref="K649">_xlfn.UNIQUE(_xlfn._xlws.FILTER(ARQUIVOS[DATA RECEBIMENTO],(ARQUIVOS[DOCUMENTO]=LD_01[[#This Row],[DOCUMENTO]])*(ARQUIVOS[REVISÃO]=LD_01[[#This Row],[REVISÃO]])))</f>
        <v>45838</v>
      </c>
      <c r="L6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M649" s="6" t="str">
        <f>LD_01[[#This Row],[PASTA]]&amp;"/"&amp;LD_01[[#This Row],[ARQUIVO]]</f>
        <v>MSV-163MS-535-545/23.IN/MSV-163MS-535-545-ACA-EXE-DE-M1-003-R03.pdf</v>
      </c>
    </row>
    <row r="650" spans="1:13" ht="43.2" hidden="1" x14ac:dyDescent="0.3">
      <c r="A650" s="6" t="s">
        <v>3458</v>
      </c>
      <c r="B650" s="6" t="str">
        <f>VLOOKUP(LD_01[[#This Row],[DOCUMENTO]],_xlfn.SORTBY(ARQUIVOS_RECEBIDOS!$E$2:$F$5010,ARQUIVOS_RECEBIDOS!$F$2:$F$5010,-1),2,)</f>
        <v>R04</v>
      </c>
      <c r="C650" s="15" t="s">
        <v>5987</v>
      </c>
      <c r="D650" s="6" t="s">
        <v>4317</v>
      </c>
      <c r="E650" s="8" t="s">
        <v>4258</v>
      </c>
      <c r="F650" s="8" t="s">
        <v>4333</v>
      </c>
      <c r="G650" s="6" t="str">
        <f>_xlfn.XLOOKUP(LD_01[[#This Row],[DISCIPLINA]],'CLASSES DE PROJETOS'!$F$3:$F$37,'CLASSES DE PROJETOS'!$C$3:$C$37)</f>
        <v>IN</v>
      </c>
      <c r="H650" t="str">
        <f>_xlfn.TEXTJOIN("/",TRUE,"MSV-163MS-"&amp;LD_01[[#This Row],[TRECHO]],_xlfn.XLOOKUP(LD_01[[#This Row],[SIGLA]],'CLASSES DE PROJETOS'!$C$3:$C$37,'CLASSES DE PROJETOS'!$E$3:$E$37))</f>
        <v>MSV-163MS-535-545/23.IN</v>
      </c>
      <c r="I650" s="6" t="str" cm="1">
        <f t="array" ref="I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J650" s="6" t="str" cm="1">
        <f t="array" ref="J650">_xlfn.TEXTJOIN(", ",TRUE,_xlfn.UNIQUE(_xlfn._xlws.FILTER(ARQUIVOS_RECEBIDOS!$F$2:$F$5010,ARQUIVOS_RECEBIDOS!$E$2:$E$5010=LD_01[[#This Row],[DOCUMENTO]])))</f>
        <v>R04</v>
      </c>
      <c r="K650" s="12" cm="1">
        <f t="array" ref="K650">_xlfn.UNIQUE(_xlfn._xlws.FILTER(ARQUIVOS[DATA RECEBIMENTO],(ARQUIVOS[DOCUMENTO]=LD_01[[#This Row],[DOCUMENTO]])*(ARQUIVOS[REVISÃO]=LD_01[[#This Row],[REVISÃO]])))</f>
        <v>45838</v>
      </c>
      <c r="L6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M650" s="6" t="str">
        <f>LD_01[[#This Row],[PASTA]]&amp;"/"&amp;LD_01[[#This Row],[ARQUIVO]]</f>
        <v>MSV-163MS-535-545/23.IN/MSV-163MS-535-545-ACA-EXE-DE-M1-004-R04.pdf</v>
      </c>
    </row>
    <row r="651" spans="1:13" ht="43.2" hidden="1" x14ac:dyDescent="0.3">
      <c r="A651" s="6" t="s">
        <v>3459</v>
      </c>
      <c r="B651" s="6" t="str">
        <f>VLOOKUP(LD_01[[#This Row],[DOCUMENTO]],_xlfn.SORTBY(ARQUIVOS_RECEBIDOS!$E$2:$F$5010,ARQUIVOS_RECEBIDOS!$F$2:$F$5010,-1),2,)</f>
        <v>R04</v>
      </c>
      <c r="C651" s="15" t="s">
        <v>5987</v>
      </c>
      <c r="D651" s="6" t="s">
        <v>4317</v>
      </c>
      <c r="E651" s="8" t="s">
        <v>4258</v>
      </c>
      <c r="F651" s="8" t="s">
        <v>4333</v>
      </c>
      <c r="G651" s="6" t="str">
        <f>_xlfn.XLOOKUP(LD_01[[#This Row],[DISCIPLINA]],'CLASSES DE PROJETOS'!$F$3:$F$37,'CLASSES DE PROJETOS'!$C$3:$C$37)</f>
        <v>IN</v>
      </c>
      <c r="H651" t="str">
        <f>_xlfn.TEXTJOIN("/",TRUE,"MSV-163MS-"&amp;LD_01[[#This Row],[TRECHO]],_xlfn.XLOOKUP(LD_01[[#This Row],[SIGLA]],'CLASSES DE PROJETOS'!$C$3:$C$37,'CLASSES DE PROJETOS'!$E$3:$E$37))</f>
        <v>MSV-163MS-535-545/23.IN</v>
      </c>
      <c r="I651" s="6" t="str" cm="1">
        <f t="array" ref="I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J651" s="6" t="str" cm="1">
        <f t="array" ref="J651">_xlfn.TEXTJOIN(", ",TRUE,_xlfn.UNIQUE(_xlfn._xlws.FILTER(ARQUIVOS_RECEBIDOS!$F$2:$F$5010,ARQUIVOS_RECEBIDOS!$E$2:$E$5010=LD_01[[#This Row],[DOCUMENTO]])))</f>
        <v>R04</v>
      </c>
      <c r="K651" s="12" cm="1">
        <f t="array" ref="K651">_xlfn.UNIQUE(_xlfn._xlws.FILTER(ARQUIVOS[DATA RECEBIMENTO],(ARQUIVOS[DOCUMENTO]=LD_01[[#This Row],[DOCUMENTO]])*(ARQUIVOS[REVISÃO]=LD_01[[#This Row],[REVISÃO]])))</f>
        <v>45838</v>
      </c>
      <c r="L6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M651" s="6" t="str">
        <f>LD_01[[#This Row],[PASTA]]&amp;"/"&amp;LD_01[[#This Row],[ARQUIVO]]</f>
        <v>MSV-163MS-535-545/23.IN/MSV-163MS-535-545-ACA-EXE-DE-M1-005-R04.pdf</v>
      </c>
    </row>
    <row r="652" spans="1:13" ht="43.2" hidden="1" x14ac:dyDescent="0.3">
      <c r="A652" s="6" t="s">
        <v>3460</v>
      </c>
      <c r="B652" s="6" t="str">
        <f>VLOOKUP(LD_01[[#This Row],[DOCUMENTO]],_xlfn.SORTBY(ARQUIVOS_RECEBIDOS!$E$2:$F$5010,ARQUIVOS_RECEBIDOS!$F$2:$F$5010,-1),2,)</f>
        <v>R03</v>
      </c>
      <c r="C652" s="15" t="s">
        <v>5987</v>
      </c>
      <c r="D652" s="6" t="s">
        <v>4317</v>
      </c>
      <c r="E652" s="8" t="s">
        <v>4258</v>
      </c>
      <c r="F652" s="8" t="s">
        <v>4333</v>
      </c>
      <c r="G652" s="6" t="str">
        <f>_xlfn.XLOOKUP(LD_01[[#This Row],[DISCIPLINA]],'CLASSES DE PROJETOS'!$F$3:$F$37,'CLASSES DE PROJETOS'!$C$3:$C$37)</f>
        <v>IN</v>
      </c>
      <c r="H652" t="str">
        <f>_xlfn.TEXTJOIN("/",TRUE,"MSV-163MS-"&amp;LD_01[[#This Row],[TRECHO]],_xlfn.XLOOKUP(LD_01[[#This Row],[SIGLA]],'CLASSES DE PROJETOS'!$C$3:$C$37,'CLASSES DE PROJETOS'!$E$3:$E$37))</f>
        <v>MSV-163MS-535-545/23.IN</v>
      </c>
      <c r="I652" s="6" t="str" cm="1">
        <f t="array" ref="I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J652" s="6" t="str" cm="1">
        <f t="array" ref="J652">_xlfn.TEXTJOIN(", ",TRUE,_xlfn.UNIQUE(_xlfn._xlws.FILTER(ARQUIVOS_RECEBIDOS!$F$2:$F$5010,ARQUIVOS_RECEBIDOS!$E$2:$E$5010=LD_01[[#This Row],[DOCUMENTO]])))</f>
        <v>R03</v>
      </c>
      <c r="K652" s="12" cm="1">
        <f t="array" ref="K652">_xlfn.UNIQUE(_xlfn._xlws.FILTER(ARQUIVOS[DATA RECEBIMENTO],(ARQUIVOS[DOCUMENTO]=LD_01[[#This Row],[DOCUMENTO]])*(ARQUIVOS[REVISÃO]=LD_01[[#This Row],[REVISÃO]])))</f>
        <v>45838</v>
      </c>
      <c r="L6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M652" s="6" t="str">
        <f>LD_01[[#This Row],[PASTA]]&amp;"/"&amp;LD_01[[#This Row],[ARQUIVO]]</f>
        <v>MSV-163MS-535-545/23.IN/MSV-163MS-535-545-ACA-EXE-DE-M1-006-R03.pdf</v>
      </c>
    </row>
    <row r="653" spans="1:13" ht="43.2" hidden="1" x14ac:dyDescent="0.3">
      <c r="A653" s="6" t="s">
        <v>3461</v>
      </c>
      <c r="B653" s="6" t="str">
        <f>VLOOKUP(LD_01[[#This Row],[DOCUMENTO]],_xlfn.SORTBY(ARQUIVOS_RECEBIDOS!$E$2:$F$5010,ARQUIVOS_RECEBIDOS!$F$2:$F$5010,-1),2,)</f>
        <v>R03</v>
      </c>
      <c r="C653" s="15" t="s">
        <v>5987</v>
      </c>
      <c r="D653" s="6" t="s">
        <v>4317</v>
      </c>
      <c r="E653" s="8" t="s">
        <v>4258</v>
      </c>
      <c r="F653" s="8" t="s">
        <v>4333</v>
      </c>
      <c r="G653" s="6" t="str">
        <f>_xlfn.XLOOKUP(LD_01[[#This Row],[DISCIPLINA]],'CLASSES DE PROJETOS'!$F$3:$F$37,'CLASSES DE PROJETOS'!$C$3:$C$37)</f>
        <v>IN</v>
      </c>
      <c r="H653" t="str">
        <f>_xlfn.TEXTJOIN("/",TRUE,"MSV-163MS-"&amp;LD_01[[#This Row],[TRECHO]],_xlfn.XLOOKUP(LD_01[[#This Row],[SIGLA]],'CLASSES DE PROJETOS'!$C$3:$C$37,'CLASSES DE PROJETOS'!$E$3:$E$37))</f>
        <v>MSV-163MS-535-545/23.IN</v>
      </c>
      <c r="I653" s="6" t="str" cm="1">
        <f t="array" ref="I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J653" s="6" t="str" cm="1">
        <f t="array" ref="J653">_xlfn.TEXTJOIN(", ",TRUE,_xlfn.UNIQUE(_xlfn._xlws.FILTER(ARQUIVOS_RECEBIDOS!$F$2:$F$5010,ARQUIVOS_RECEBIDOS!$E$2:$E$5010=LD_01[[#This Row],[DOCUMENTO]])))</f>
        <v>R03</v>
      </c>
      <c r="K653" s="12" cm="1">
        <f t="array" ref="K653">_xlfn.UNIQUE(_xlfn._xlws.FILTER(ARQUIVOS[DATA RECEBIMENTO],(ARQUIVOS[DOCUMENTO]=LD_01[[#This Row],[DOCUMENTO]])*(ARQUIVOS[REVISÃO]=LD_01[[#This Row],[REVISÃO]])))</f>
        <v>45838</v>
      </c>
      <c r="L6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M653" s="6" t="str">
        <f>LD_01[[#This Row],[PASTA]]&amp;"/"&amp;LD_01[[#This Row],[ARQUIVO]]</f>
        <v>MSV-163MS-535-545/23.IN/MSV-163MS-535-545-ACA-EXE-DE-M1-007-R03.pdf</v>
      </c>
    </row>
    <row r="654" spans="1:13" ht="43.2" hidden="1" x14ac:dyDescent="0.3">
      <c r="A654" s="6" t="s">
        <v>3462</v>
      </c>
      <c r="B654" s="6" t="str">
        <f>VLOOKUP(LD_01[[#This Row],[DOCUMENTO]],_xlfn.SORTBY(ARQUIVOS_RECEBIDOS!$E$2:$F$5010,ARQUIVOS_RECEBIDOS!$F$2:$F$5010,-1),2,)</f>
        <v>R04</v>
      </c>
      <c r="C654" s="15" t="s">
        <v>5987</v>
      </c>
      <c r="D654" s="6" t="s">
        <v>4317</v>
      </c>
      <c r="E654" s="8" t="s">
        <v>4258</v>
      </c>
      <c r="F654" s="8" t="s">
        <v>4333</v>
      </c>
      <c r="G654" s="6" t="str">
        <f>_xlfn.XLOOKUP(LD_01[[#This Row],[DISCIPLINA]],'CLASSES DE PROJETOS'!$F$3:$F$37,'CLASSES DE PROJETOS'!$C$3:$C$37)</f>
        <v>IN</v>
      </c>
      <c r="H654" t="str">
        <f>_xlfn.TEXTJOIN("/",TRUE,"MSV-163MS-"&amp;LD_01[[#This Row],[TRECHO]],_xlfn.XLOOKUP(LD_01[[#This Row],[SIGLA]],'CLASSES DE PROJETOS'!$C$3:$C$37,'CLASSES DE PROJETOS'!$E$3:$E$37))</f>
        <v>MSV-163MS-535-545/23.IN</v>
      </c>
      <c r="I654" s="6" t="str" cm="1">
        <f t="array" ref="I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J654" s="6" t="str" cm="1">
        <f t="array" ref="J654">_xlfn.TEXTJOIN(", ",TRUE,_xlfn.UNIQUE(_xlfn._xlws.FILTER(ARQUIVOS_RECEBIDOS!$F$2:$F$5010,ARQUIVOS_RECEBIDOS!$E$2:$E$5010=LD_01[[#This Row],[DOCUMENTO]])))</f>
        <v>R04</v>
      </c>
      <c r="K654" s="12" cm="1">
        <f t="array" ref="K654">_xlfn.UNIQUE(_xlfn._xlws.FILTER(ARQUIVOS[DATA RECEBIMENTO],(ARQUIVOS[DOCUMENTO]=LD_01[[#This Row],[DOCUMENTO]])*(ARQUIVOS[REVISÃO]=LD_01[[#This Row],[REVISÃO]])))</f>
        <v>45838</v>
      </c>
      <c r="L6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M654" s="6" t="str">
        <f>LD_01[[#This Row],[PASTA]]&amp;"/"&amp;LD_01[[#This Row],[ARQUIVO]]</f>
        <v>MSV-163MS-535-545/23.IN/MSV-163MS-535-545-ACA-EXE-DE-M1-008-R04.pdf</v>
      </c>
    </row>
    <row r="655" spans="1:13" ht="43.2" hidden="1" x14ac:dyDescent="0.3">
      <c r="A655" s="6" t="s">
        <v>3463</v>
      </c>
      <c r="B655" s="6" t="str">
        <f>VLOOKUP(LD_01[[#This Row],[DOCUMENTO]],_xlfn.SORTBY(ARQUIVOS_RECEBIDOS!$E$2:$F$5010,ARQUIVOS_RECEBIDOS!$F$2:$F$5010,-1),2,)</f>
        <v>R03</v>
      </c>
      <c r="C655" s="15" t="s">
        <v>5987</v>
      </c>
      <c r="D655" s="6" t="s">
        <v>4317</v>
      </c>
      <c r="E655" s="8" t="s">
        <v>4258</v>
      </c>
      <c r="F655" s="8" t="s">
        <v>4333</v>
      </c>
      <c r="G655" s="6" t="str">
        <f>_xlfn.XLOOKUP(LD_01[[#This Row],[DISCIPLINA]],'CLASSES DE PROJETOS'!$F$3:$F$37,'CLASSES DE PROJETOS'!$C$3:$C$37)</f>
        <v>IN</v>
      </c>
      <c r="H655" t="str">
        <f>_xlfn.TEXTJOIN("/",TRUE,"MSV-163MS-"&amp;LD_01[[#This Row],[TRECHO]],_xlfn.XLOOKUP(LD_01[[#This Row],[SIGLA]],'CLASSES DE PROJETOS'!$C$3:$C$37,'CLASSES DE PROJETOS'!$E$3:$E$37))</f>
        <v>MSV-163MS-535-545/23.IN</v>
      </c>
      <c r="I655" s="6" t="str" cm="1">
        <f t="array" ref="I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J655" s="6" t="str" cm="1">
        <f t="array" ref="J655">_xlfn.TEXTJOIN(", ",TRUE,_xlfn.UNIQUE(_xlfn._xlws.FILTER(ARQUIVOS_RECEBIDOS!$F$2:$F$5010,ARQUIVOS_RECEBIDOS!$E$2:$E$5010=LD_01[[#This Row],[DOCUMENTO]])))</f>
        <v>R03</v>
      </c>
      <c r="K655" s="12" cm="1">
        <f t="array" ref="K655">_xlfn.UNIQUE(_xlfn._xlws.FILTER(ARQUIVOS[DATA RECEBIMENTO],(ARQUIVOS[DOCUMENTO]=LD_01[[#This Row],[DOCUMENTO]])*(ARQUIVOS[REVISÃO]=LD_01[[#This Row],[REVISÃO]])))</f>
        <v>45838</v>
      </c>
      <c r="L6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M655" s="6" t="str">
        <f>LD_01[[#This Row],[PASTA]]&amp;"/"&amp;LD_01[[#This Row],[ARQUIVO]]</f>
        <v>MSV-163MS-535-545/23.IN/MSV-163MS-535-545-ACA-EXE-DE-M1-009-R03.pdf</v>
      </c>
    </row>
    <row r="656" spans="1:13" ht="43.2" hidden="1" x14ac:dyDescent="0.3">
      <c r="A656" s="6" t="s">
        <v>3464</v>
      </c>
      <c r="B656" s="6" t="str">
        <f>VLOOKUP(LD_01[[#This Row],[DOCUMENTO]],_xlfn.SORTBY(ARQUIVOS_RECEBIDOS!$E$2:$F$5010,ARQUIVOS_RECEBIDOS!$F$2:$F$5010,-1),2,)</f>
        <v>R03</v>
      </c>
      <c r="C656" s="15" t="s">
        <v>5987</v>
      </c>
      <c r="D656" s="6" t="s">
        <v>4317</v>
      </c>
      <c r="E656" s="8" t="s">
        <v>4258</v>
      </c>
      <c r="F656" s="8" t="s">
        <v>4333</v>
      </c>
      <c r="G656" s="6" t="str">
        <f>_xlfn.XLOOKUP(LD_01[[#This Row],[DISCIPLINA]],'CLASSES DE PROJETOS'!$F$3:$F$37,'CLASSES DE PROJETOS'!$C$3:$C$37)</f>
        <v>IN</v>
      </c>
      <c r="H656" t="str">
        <f>_xlfn.TEXTJOIN("/",TRUE,"MSV-163MS-"&amp;LD_01[[#This Row],[TRECHO]],_xlfn.XLOOKUP(LD_01[[#This Row],[SIGLA]],'CLASSES DE PROJETOS'!$C$3:$C$37,'CLASSES DE PROJETOS'!$E$3:$E$37))</f>
        <v>MSV-163MS-535-545/23.IN</v>
      </c>
      <c r="I656" s="6" t="str" cm="1">
        <f t="array" ref="I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J656" s="6" t="str" cm="1">
        <f t="array" ref="J656">_xlfn.TEXTJOIN(", ",TRUE,_xlfn.UNIQUE(_xlfn._xlws.FILTER(ARQUIVOS_RECEBIDOS!$F$2:$F$5010,ARQUIVOS_RECEBIDOS!$E$2:$E$5010=LD_01[[#This Row],[DOCUMENTO]])))</f>
        <v>R03</v>
      </c>
      <c r="K656" s="12" cm="1">
        <f t="array" ref="K656">_xlfn.UNIQUE(_xlfn._xlws.FILTER(ARQUIVOS[DATA RECEBIMENTO],(ARQUIVOS[DOCUMENTO]=LD_01[[#This Row],[DOCUMENTO]])*(ARQUIVOS[REVISÃO]=LD_01[[#This Row],[REVISÃO]])))</f>
        <v>45838</v>
      </c>
      <c r="L6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M656" s="6" t="str">
        <f>LD_01[[#This Row],[PASTA]]&amp;"/"&amp;LD_01[[#This Row],[ARQUIVO]]</f>
        <v>MSV-163MS-535-545/23.IN/MSV-163MS-535-545-ACA-EXE-DE-M1-010-R03.pdf</v>
      </c>
    </row>
    <row r="657" spans="1:13" ht="28.8" hidden="1" x14ac:dyDescent="0.3">
      <c r="A657" s="6" t="s">
        <v>3503</v>
      </c>
      <c r="B657" s="6" t="str">
        <f>VLOOKUP(LD_01[[#This Row],[DOCUMENTO]],_xlfn.SORTBY(ARQUIVOS_RECEBIDOS!$E$2:$F$5010,ARQUIVOS_RECEBIDOS!$F$2:$F$5010,-1),2,)</f>
        <v>R04</v>
      </c>
      <c r="C657" s="15" t="s">
        <v>5987</v>
      </c>
      <c r="D657" s="6" t="s">
        <v>4317</v>
      </c>
      <c r="E657" s="8" t="s">
        <v>4168</v>
      </c>
      <c r="F657" s="8" t="s">
        <v>4334</v>
      </c>
      <c r="G657" s="6" t="str">
        <f>_xlfn.XLOOKUP(LD_01[[#This Row],[DISCIPLINA]],'CLASSES DE PROJETOS'!$F$3:$F$37,'CLASSES DE PROJETOS'!$C$3:$C$37)</f>
        <v>PA</v>
      </c>
      <c r="H657" t="str">
        <f>_xlfn.TEXTJOIN("/",TRUE,"MSV-163MS-"&amp;LD_01[[#This Row],[TRECHO]],_xlfn.XLOOKUP(LD_01[[#This Row],[SIGLA]],'CLASSES DE PROJETOS'!$C$3:$C$37,'CLASSES DE PROJETOS'!$E$3:$E$37))</f>
        <v>MSV-163MS-535-545/27.PA</v>
      </c>
      <c r="I657" s="6" t="str" cm="1">
        <f t="array" ref="I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J657" s="6" t="str" cm="1">
        <f t="array" ref="J657">_xlfn.TEXTJOIN(", ",TRUE,_xlfn.UNIQUE(_xlfn._xlws.FILTER(ARQUIVOS_RECEBIDOS!$F$2:$F$5010,ARQUIVOS_RECEBIDOS!$E$2:$E$5010=LD_01[[#This Row],[DOCUMENTO]])))</f>
        <v>R04</v>
      </c>
      <c r="K657" s="12" cm="1">
        <f t="array" ref="K657">_xlfn.UNIQUE(_xlfn._xlws.FILTER(ARQUIVOS[DATA RECEBIMENTO],(ARQUIVOS[DOCUMENTO]=LD_01[[#This Row],[DOCUMENTO]])*(ARQUIVOS[REVISÃO]=LD_01[[#This Row],[REVISÃO]])))</f>
        <v>45838</v>
      </c>
      <c r="L6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M657" s="6" t="str">
        <f>LD_01[[#This Row],[PASTA]]&amp;"/"&amp;LD_01[[#This Row],[ARQUIVO]]</f>
        <v>MSV-163MS-535-545/27.PA/MSV-163MS-535-545-ACA-EXE-DE-N2-001-R04.pdf</v>
      </c>
    </row>
    <row r="658" spans="1:13" ht="28.8" hidden="1" x14ac:dyDescent="0.3">
      <c r="A658" s="6" t="s">
        <v>3504</v>
      </c>
      <c r="B658" s="6" t="str">
        <f>VLOOKUP(LD_01[[#This Row],[DOCUMENTO]],_xlfn.SORTBY(ARQUIVOS_RECEBIDOS!$E$2:$F$5010,ARQUIVOS_RECEBIDOS!$F$2:$F$5010,-1),2,)</f>
        <v>R04</v>
      </c>
      <c r="C658" s="15" t="s">
        <v>5987</v>
      </c>
      <c r="D658" s="6" t="s">
        <v>4317</v>
      </c>
      <c r="E658" s="8" t="s">
        <v>4168</v>
      </c>
      <c r="F658" s="8" t="s">
        <v>4334</v>
      </c>
      <c r="G658" s="6" t="str">
        <f>_xlfn.XLOOKUP(LD_01[[#This Row],[DISCIPLINA]],'CLASSES DE PROJETOS'!$F$3:$F$37,'CLASSES DE PROJETOS'!$C$3:$C$37)</f>
        <v>PA</v>
      </c>
      <c r="H658" t="str">
        <f>_xlfn.TEXTJOIN("/",TRUE,"MSV-163MS-"&amp;LD_01[[#This Row],[TRECHO]],_xlfn.XLOOKUP(LD_01[[#This Row],[SIGLA]],'CLASSES DE PROJETOS'!$C$3:$C$37,'CLASSES DE PROJETOS'!$E$3:$E$37))</f>
        <v>MSV-163MS-535-545/27.PA</v>
      </c>
      <c r="I658" s="6" t="str" cm="1">
        <f t="array" ref="I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J658" s="6" t="str" cm="1">
        <f t="array" ref="J658">_xlfn.TEXTJOIN(", ",TRUE,_xlfn.UNIQUE(_xlfn._xlws.FILTER(ARQUIVOS_RECEBIDOS!$F$2:$F$5010,ARQUIVOS_RECEBIDOS!$E$2:$E$5010=LD_01[[#This Row],[DOCUMENTO]])))</f>
        <v>R04</v>
      </c>
      <c r="K658" s="12" cm="1">
        <f t="array" ref="K658">_xlfn.UNIQUE(_xlfn._xlws.FILTER(ARQUIVOS[DATA RECEBIMENTO],(ARQUIVOS[DOCUMENTO]=LD_01[[#This Row],[DOCUMENTO]])*(ARQUIVOS[REVISÃO]=LD_01[[#This Row],[REVISÃO]])))</f>
        <v>45838</v>
      </c>
      <c r="L6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M658" s="6" t="str">
        <f>LD_01[[#This Row],[PASTA]]&amp;"/"&amp;LD_01[[#This Row],[ARQUIVO]]</f>
        <v>MSV-163MS-535-545/27.PA/MSV-163MS-535-545-ACA-EXE-DE-N2-002-R04.pdf</v>
      </c>
    </row>
    <row r="659" spans="1:13" ht="28.8" hidden="1" x14ac:dyDescent="0.3">
      <c r="A659" s="6" t="s">
        <v>3505</v>
      </c>
      <c r="B659" s="6" t="str">
        <f>VLOOKUP(LD_01[[#This Row],[DOCUMENTO]],_xlfn.SORTBY(ARQUIVOS_RECEBIDOS!$E$2:$F$5010,ARQUIVOS_RECEBIDOS!$F$2:$F$5010,-1),2,)</f>
        <v>R04</v>
      </c>
      <c r="C659" s="15" t="s">
        <v>5987</v>
      </c>
      <c r="D659" s="6" t="s">
        <v>4317</v>
      </c>
      <c r="E659" s="8" t="s">
        <v>4168</v>
      </c>
      <c r="F659" s="8" t="s">
        <v>4334</v>
      </c>
      <c r="G659" s="6" t="str">
        <f>_xlfn.XLOOKUP(LD_01[[#This Row],[DISCIPLINA]],'CLASSES DE PROJETOS'!$F$3:$F$37,'CLASSES DE PROJETOS'!$C$3:$C$37)</f>
        <v>PA</v>
      </c>
      <c r="H659" t="str">
        <f>_xlfn.TEXTJOIN("/",TRUE,"MSV-163MS-"&amp;LD_01[[#This Row],[TRECHO]],_xlfn.XLOOKUP(LD_01[[#This Row],[SIGLA]],'CLASSES DE PROJETOS'!$C$3:$C$37,'CLASSES DE PROJETOS'!$E$3:$E$37))</f>
        <v>MSV-163MS-535-545/27.PA</v>
      </c>
      <c r="I659" s="6" t="str" cm="1">
        <f t="array" ref="I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J659" s="6" t="str" cm="1">
        <f t="array" ref="J659">_xlfn.TEXTJOIN(", ",TRUE,_xlfn.UNIQUE(_xlfn._xlws.FILTER(ARQUIVOS_RECEBIDOS!$F$2:$F$5010,ARQUIVOS_RECEBIDOS!$E$2:$E$5010=LD_01[[#This Row],[DOCUMENTO]])))</f>
        <v>R04</v>
      </c>
      <c r="K659" s="12" cm="1">
        <f t="array" ref="K659">_xlfn.UNIQUE(_xlfn._xlws.FILTER(ARQUIVOS[DATA RECEBIMENTO],(ARQUIVOS[DOCUMENTO]=LD_01[[#This Row],[DOCUMENTO]])*(ARQUIVOS[REVISÃO]=LD_01[[#This Row],[REVISÃO]])))</f>
        <v>45838</v>
      </c>
      <c r="L6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M659" s="6" t="str">
        <f>LD_01[[#This Row],[PASTA]]&amp;"/"&amp;LD_01[[#This Row],[ARQUIVO]]</f>
        <v>MSV-163MS-535-545/27.PA/MSV-163MS-535-545-ACA-EXE-DE-N2-003-R04.pdf</v>
      </c>
    </row>
    <row r="660" spans="1:13" ht="28.8" hidden="1" x14ac:dyDescent="0.3">
      <c r="A660" s="6" t="s">
        <v>3506</v>
      </c>
      <c r="B660" s="6" t="str">
        <f>VLOOKUP(LD_01[[#This Row],[DOCUMENTO]],_xlfn.SORTBY(ARQUIVOS_RECEBIDOS!$E$2:$F$5010,ARQUIVOS_RECEBIDOS!$F$2:$F$5010,-1),2,)</f>
        <v>R04</v>
      </c>
      <c r="C660" s="15" t="s">
        <v>5987</v>
      </c>
      <c r="D660" s="6" t="s">
        <v>4317</v>
      </c>
      <c r="E660" s="8" t="s">
        <v>4168</v>
      </c>
      <c r="F660" s="8" t="s">
        <v>4334</v>
      </c>
      <c r="G660" s="6" t="str">
        <f>_xlfn.XLOOKUP(LD_01[[#This Row],[DISCIPLINA]],'CLASSES DE PROJETOS'!$F$3:$F$37,'CLASSES DE PROJETOS'!$C$3:$C$37)</f>
        <v>PA</v>
      </c>
      <c r="H660" t="str">
        <f>_xlfn.TEXTJOIN("/",TRUE,"MSV-163MS-"&amp;LD_01[[#This Row],[TRECHO]],_xlfn.XLOOKUP(LD_01[[#This Row],[SIGLA]],'CLASSES DE PROJETOS'!$C$3:$C$37,'CLASSES DE PROJETOS'!$E$3:$E$37))</f>
        <v>MSV-163MS-535-545/27.PA</v>
      </c>
      <c r="I660" s="6" t="str" cm="1">
        <f t="array" ref="I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J660" s="6" t="str" cm="1">
        <f t="array" ref="J660">_xlfn.TEXTJOIN(", ",TRUE,_xlfn.UNIQUE(_xlfn._xlws.FILTER(ARQUIVOS_RECEBIDOS!$F$2:$F$5010,ARQUIVOS_RECEBIDOS!$E$2:$E$5010=LD_01[[#This Row],[DOCUMENTO]])))</f>
        <v>R04</v>
      </c>
      <c r="K660" s="12" cm="1">
        <f t="array" ref="K660">_xlfn.UNIQUE(_xlfn._xlws.FILTER(ARQUIVOS[DATA RECEBIMENTO],(ARQUIVOS[DOCUMENTO]=LD_01[[#This Row],[DOCUMENTO]])*(ARQUIVOS[REVISÃO]=LD_01[[#This Row],[REVISÃO]])))</f>
        <v>45838</v>
      </c>
      <c r="L6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M660" s="6" t="str">
        <f>LD_01[[#This Row],[PASTA]]&amp;"/"&amp;LD_01[[#This Row],[ARQUIVO]]</f>
        <v>MSV-163MS-535-545/27.PA/MSV-163MS-535-545-ACA-EXE-DE-N2-004-R04.pdf</v>
      </c>
    </row>
    <row r="661" spans="1:13" ht="28.8" hidden="1" x14ac:dyDescent="0.3">
      <c r="A661" s="6" t="s">
        <v>3507</v>
      </c>
      <c r="B661" s="6" t="str">
        <f>VLOOKUP(LD_01[[#This Row],[DOCUMENTO]],_xlfn.SORTBY(ARQUIVOS_RECEBIDOS!$E$2:$F$5010,ARQUIVOS_RECEBIDOS!$F$2:$F$5010,-1),2,)</f>
        <v>R04</v>
      </c>
      <c r="C661" s="15" t="s">
        <v>5987</v>
      </c>
      <c r="D661" s="6" t="s">
        <v>4317</v>
      </c>
      <c r="E661" s="8" t="s">
        <v>4168</v>
      </c>
      <c r="F661" s="8" t="s">
        <v>4334</v>
      </c>
      <c r="G661" s="6" t="str">
        <f>_xlfn.XLOOKUP(LD_01[[#This Row],[DISCIPLINA]],'CLASSES DE PROJETOS'!$F$3:$F$37,'CLASSES DE PROJETOS'!$C$3:$C$37)</f>
        <v>PA</v>
      </c>
      <c r="H661" t="str">
        <f>_xlfn.TEXTJOIN("/",TRUE,"MSV-163MS-"&amp;LD_01[[#This Row],[TRECHO]],_xlfn.XLOOKUP(LD_01[[#This Row],[SIGLA]],'CLASSES DE PROJETOS'!$C$3:$C$37,'CLASSES DE PROJETOS'!$E$3:$E$37))</f>
        <v>MSV-163MS-535-545/27.PA</v>
      </c>
      <c r="I661" s="6" t="str" cm="1">
        <f t="array" ref="I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J661" s="6" t="str" cm="1">
        <f t="array" ref="J661">_xlfn.TEXTJOIN(", ",TRUE,_xlfn.UNIQUE(_xlfn._xlws.FILTER(ARQUIVOS_RECEBIDOS!$F$2:$F$5010,ARQUIVOS_RECEBIDOS!$E$2:$E$5010=LD_01[[#This Row],[DOCUMENTO]])))</f>
        <v>R04</v>
      </c>
      <c r="K661" s="12" cm="1">
        <f t="array" ref="K661">_xlfn.UNIQUE(_xlfn._xlws.FILTER(ARQUIVOS[DATA RECEBIMENTO],(ARQUIVOS[DOCUMENTO]=LD_01[[#This Row],[DOCUMENTO]])*(ARQUIVOS[REVISÃO]=LD_01[[#This Row],[REVISÃO]])))</f>
        <v>45838</v>
      </c>
      <c r="L6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M661" s="6" t="str">
        <f>LD_01[[#This Row],[PASTA]]&amp;"/"&amp;LD_01[[#This Row],[ARQUIVO]]</f>
        <v>MSV-163MS-535-545/27.PA/MSV-163MS-535-545-ACA-EXE-DE-N2-005-R04.pdf</v>
      </c>
    </row>
    <row r="662" spans="1:13" ht="28.8" hidden="1" x14ac:dyDescent="0.3">
      <c r="A662" s="6" t="s">
        <v>3508</v>
      </c>
      <c r="B662" s="6" t="str">
        <f>VLOOKUP(LD_01[[#This Row],[DOCUMENTO]],_xlfn.SORTBY(ARQUIVOS_RECEBIDOS!$E$2:$F$5010,ARQUIVOS_RECEBIDOS!$F$2:$F$5010,-1),2,)</f>
        <v>R04</v>
      </c>
      <c r="C662" s="15" t="s">
        <v>5987</v>
      </c>
      <c r="D662" s="6" t="s">
        <v>4317</v>
      </c>
      <c r="E662" s="8" t="s">
        <v>4168</v>
      </c>
      <c r="F662" s="8" t="s">
        <v>4334</v>
      </c>
      <c r="G662" s="6" t="str">
        <f>_xlfn.XLOOKUP(LD_01[[#This Row],[DISCIPLINA]],'CLASSES DE PROJETOS'!$F$3:$F$37,'CLASSES DE PROJETOS'!$C$3:$C$37)</f>
        <v>PA</v>
      </c>
      <c r="H662" t="str">
        <f>_xlfn.TEXTJOIN("/",TRUE,"MSV-163MS-"&amp;LD_01[[#This Row],[TRECHO]],_xlfn.XLOOKUP(LD_01[[#This Row],[SIGLA]],'CLASSES DE PROJETOS'!$C$3:$C$37,'CLASSES DE PROJETOS'!$E$3:$E$37))</f>
        <v>MSV-163MS-535-545/27.PA</v>
      </c>
      <c r="I662" s="6" t="str" cm="1">
        <f t="array" ref="I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J662" s="6" t="str" cm="1">
        <f t="array" ref="J662">_xlfn.TEXTJOIN(", ",TRUE,_xlfn.UNIQUE(_xlfn._xlws.FILTER(ARQUIVOS_RECEBIDOS!$F$2:$F$5010,ARQUIVOS_RECEBIDOS!$E$2:$E$5010=LD_01[[#This Row],[DOCUMENTO]])))</f>
        <v>R04</v>
      </c>
      <c r="K662" s="12" cm="1">
        <f t="array" ref="K662">_xlfn.UNIQUE(_xlfn._xlws.FILTER(ARQUIVOS[DATA RECEBIMENTO],(ARQUIVOS[DOCUMENTO]=LD_01[[#This Row],[DOCUMENTO]])*(ARQUIVOS[REVISÃO]=LD_01[[#This Row],[REVISÃO]])))</f>
        <v>45838</v>
      </c>
      <c r="L6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M662" s="6" t="str">
        <f>LD_01[[#This Row],[PASTA]]&amp;"/"&amp;LD_01[[#This Row],[ARQUIVO]]</f>
        <v>MSV-163MS-535-545/27.PA/MSV-163MS-535-545-ACA-EXE-DE-N2-006-R04.pdf</v>
      </c>
    </row>
    <row r="663" spans="1:13" ht="28.8" hidden="1" x14ac:dyDescent="0.3">
      <c r="A663" s="6" t="s">
        <v>3509</v>
      </c>
      <c r="B663" s="6" t="str">
        <f>VLOOKUP(LD_01[[#This Row],[DOCUMENTO]],_xlfn.SORTBY(ARQUIVOS_RECEBIDOS!$E$2:$F$5010,ARQUIVOS_RECEBIDOS!$F$2:$F$5010,-1),2,)</f>
        <v>R04</v>
      </c>
      <c r="C663" s="15" t="s">
        <v>5987</v>
      </c>
      <c r="D663" s="6" t="s">
        <v>4317</v>
      </c>
      <c r="E663" s="8" t="s">
        <v>4168</v>
      </c>
      <c r="F663" s="8" t="s">
        <v>4334</v>
      </c>
      <c r="G663" s="6" t="str">
        <f>_xlfn.XLOOKUP(LD_01[[#This Row],[DISCIPLINA]],'CLASSES DE PROJETOS'!$F$3:$F$37,'CLASSES DE PROJETOS'!$C$3:$C$37)</f>
        <v>PA</v>
      </c>
      <c r="H663" t="str">
        <f>_xlfn.TEXTJOIN("/",TRUE,"MSV-163MS-"&amp;LD_01[[#This Row],[TRECHO]],_xlfn.XLOOKUP(LD_01[[#This Row],[SIGLA]],'CLASSES DE PROJETOS'!$C$3:$C$37,'CLASSES DE PROJETOS'!$E$3:$E$37))</f>
        <v>MSV-163MS-535-545/27.PA</v>
      </c>
      <c r="I663" s="6" t="str" cm="1">
        <f t="array" ref="I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J663" s="6" t="str" cm="1">
        <f t="array" ref="J663">_xlfn.TEXTJOIN(", ",TRUE,_xlfn.UNIQUE(_xlfn._xlws.FILTER(ARQUIVOS_RECEBIDOS!$F$2:$F$5010,ARQUIVOS_RECEBIDOS!$E$2:$E$5010=LD_01[[#This Row],[DOCUMENTO]])))</f>
        <v>R04</v>
      </c>
      <c r="K663" s="12" cm="1">
        <f t="array" ref="K663">_xlfn.UNIQUE(_xlfn._xlws.FILTER(ARQUIVOS[DATA RECEBIMENTO],(ARQUIVOS[DOCUMENTO]=LD_01[[#This Row],[DOCUMENTO]])*(ARQUIVOS[REVISÃO]=LD_01[[#This Row],[REVISÃO]])))</f>
        <v>45838</v>
      </c>
      <c r="L6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M663" s="6" t="str">
        <f>LD_01[[#This Row],[PASTA]]&amp;"/"&amp;LD_01[[#This Row],[ARQUIVO]]</f>
        <v>MSV-163MS-535-545/27.PA/MSV-163MS-535-545-ACA-EXE-DE-N2-007-R04.pdf</v>
      </c>
    </row>
    <row r="664" spans="1:13" ht="28.8" hidden="1" x14ac:dyDescent="0.3">
      <c r="A664" s="6" t="s">
        <v>3510</v>
      </c>
      <c r="B664" s="6" t="str">
        <f>VLOOKUP(LD_01[[#This Row],[DOCUMENTO]],_xlfn.SORTBY(ARQUIVOS_RECEBIDOS!$E$2:$F$5010,ARQUIVOS_RECEBIDOS!$F$2:$F$5010,-1),2,)</f>
        <v>R04</v>
      </c>
      <c r="C664" s="15" t="s">
        <v>5987</v>
      </c>
      <c r="D664" s="6" t="s">
        <v>4317</v>
      </c>
      <c r="E664" s="8" t="s">
        <v>4168</v>
      </c>
      <c r="F664" s="8" t="s">
        <v>4334</v>
      </c>
      <c r="G664" s="6" t="str">
        <f>_xlfn.XLOOKUP(LD_01[[#This Row],[DISCIPLINA]],'CLASSES DE PROJETOS'!$F$3:$F$37,'CLASSES DE PROJETOS'!$C$3:$C$37)</f>
        <v>PA</v>
      </c>
      <c r="H664" t="str">
        <f>_xlfn.TEXTJOIN("/",TRUE,"MSV-163MS-"&amp;LD_01[[#This Row],[TRECHO]],_xlfn.XLOOKUP(LD_01[[#This Row],[SIGLA]],'CLASSES DE PROJETOS'!$C$3:$C$37,'CLASSES DE PROJETOS'!$E$3:$E$37))</f>
        <v>MSV-163MS-535-545/27.PA</v>
      </c>
      <c r="I664" s="6" t="str" cm="1">
        <f t="array" ref="I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J664" s="6" t="str" cm="1">
        <f t="array" ref="J664">_xlfn.TEXTJOIN(", ",TRUE,_xlfn.UNIQUE(_xlfn._xlws.FILTER(ARQUIVOS_RECEBIDOS!$F$2:$F$5010,ARQUIVOS_RECEBIDOS!$E$2:$E$5010=LD_01[[#This Row],[DOCUMENTO]])))</f>
        <v>R04</v>
      </c>
      <c r="K664" s="12" cm="1">
        <f t="array" ref="K664">_xlfn.UNIQUE(_xlfn._xlws.FILTER(ARQUIVOS[DATA RECEBIMENTO],(ARQUIVOS[DOCUMENTO]=LD_01[[#This Row],[DOCUMENTO]])*(ARQUIVOS[REVISÃO]=LD_01[[#This Row],[REVISÃO]])))</f>
        <v>45838</v>
      </c>
      <c r="L6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M664" s="6" t="str">
        <f>LD_01[[#This Row],[PASTA]]&amp;"/"&amp;LD_01[[#This Row],[ARQUIVO]]</f>
        <v>MSV-163MS-535-545/27.PA/MSV-163MS-535-545-ACA-EXE-DE-N2-008-R04.pdf</v>
      </c>
    </row>
    <row r="665" spans="1:13" ht="28.8" hidden="1" x14ac:dyDescent="0.3">
      <c r="A665" s="6" t="s">
        <v>3511</v>
      </c>
      <c r="B665" s="6" t="str">
        <f>VLOOKUP(LD_01[[#This Row],[DOCUMENTO]],_xlfn.SORTBY(ARQUIVOS_RECEBIDOS!$E$2:$F$5010,ARQUIVOS_RECEBIDOS!$F$2:$F$5010,-1),2,)</f>
        <v>R04</v>
      </c>
      <c r="C665" s="15" t="s">
        <v>5987</v>
      </c>
      <c r="D665" s="6" t="s">
        <v>4317</v>
      </c>
      <c r="E665" s="8" t="s">
        <v>4168</v>
      </c>
      <c r="F665" s="8" t="s">
        <v>4334</v>
      </c>
      <c r="G665" s="6" t="str">
        <f>_xlfn.XLOOKUP(LD_01[[#This Row],[DISCIPLINA]],'CLASSES DE PROJETOS'!$F$3:$F$37,'CLASSES DE PROJETOS'!$C$3:$C$37)</f>
        <v>PA</v>
      </c>
      <c r="H665" t="str">
        <f>_xlfn.TEXTJOIN("/",TRUE,"MSV-163MS-"&amp;LD_01[[#This Row],[TRECHO]],_xlfn.XLOOKUP(LD_01[[#This Row],[SIGLA]],'CLASSES DE PROJETOS'!$C$3:$C$37,'CLASSES DE PROJETOS'!$E$3:$E$37))</f>
        <v>MSV-163MS-535-545/27.PA</v>
      </c>
      <c r="I665" s="6" t="str" cm="1">
        <f t="array" ref="I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J665" s="6" t="str" cm="1">
        <f t="array" ref="J665">_xlfn.TEXTJOIN(", ",TRUE,_xlfn.UNIQUE(_xlfn._xlws.FILTER(ARQUIVOS_RECEBIDOS!$F$2:$F$5010,ARQUIVOS_RECEBIDOS!$E$2:$E$5010=LD_01[[#This Row],[DOCUMENTO]])))</f>
        <v>R04</v>
      </c>
      <c r="K665" s="12" cm="1">
        <f t="array" ref="K665">_xlfn.UNIQUE(_xlfn._xlws.FILTER(ARQUIVOS[DATA RECEBIMENTO],(ARQUIVOS[DOCUMENTO]=LD_01[[#This Row],[DOCUMENTO]])*(ARQUIVOS[REVISÃO]=LD_01[[#This Row],[REVISÃO]])))</f>
        <v>45838</v>
      </c>
      <c r="L6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M665" s="6" t="str">
        <f>LD_01[[#This Row],[PASTA]]&amp;"/"&amp;LD_01[[#This Row],[ARQUIVO]]</f>
        <v>MSV-163MS-535-545/27.PA/MSV-163MS-535-545-ACA-EXE-DE-N2-009-R04.pdf</v>
      </c>
    </row>
    <row r="666" spans="1:13" ht="28.8" hidden="1" x14ac:dyDescent="0.3">
      <c r="A666" s="6" t="s">
        <v>3512</v>
      </c>
      <c r="B666" s="6" t="str">
        <f>VLOOKUP(LD_01[[#This Row],[DOCUMENTO]],_xlfn.SORTBY(ARQUIVOS_RECEBIDOS!$E$2:$F$5010,ARQUIVOS_RECEBIDOS!$F$2:$F$5010,-1),2,)</f>
        <v>R04</v>
      </c>
      <c r="C666" s="15" t="s">
        <v>5987</v>
      </c>
      <c r="D666" s="6" t="s">
        <v>4317</v>
      </c>
      <c r="E666" s="8" t="s">
        <v>4168</v>
      </c>
      <c r="F666" s="8" t="s">
        <v>4334</v>
      </c>
      <c r="G666" s="6" t="str">
        <f>_xlfn.XLOOKUP(LD_01[[#This Row],[DISCIPLINA]],'CLASSES DE PROJETOS'!$F$3:$F$37,'CLASSES DE PROJETOS'!$C$3:$C$37)</f>
        <v>PA</v>
      </c>
      <c r="H666" t="str">
        <f>_xlfn.TEXTJOIN("/",TRUE,"MSV-163MS-"&amp;LD_01[[#This Row],[TRECHO]],_xlfn.XLOOKUP(LD_01[[#This Row],[SIGLA]],'CLASSES DE PROJETOS'!$C$3:$C$37,'CLASSES DE PROJETOS'!$E$3:$E$37))</f>
        <v>MSV-163MS-535-545/27.PA</v>
      </c>
      <c r="I666" s="6" t="str" cm="1">
        <f t="array" ref="I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J666" s="6" t="str" cm="1">
        <f t="array" ref="J666">_xlfn.TEXTJOIN(", ",TRUE,_xlfn.UNIQUE(_xlfn._xlws.FILTER(ARQUIVOS_RECEBIDOS!$F$2:$F$5010,ARQUIVOS_RECEBIDOS!$E$2:$E$5010=LD_01[[#This Row],[DOCUMENTO]])))</f>
        <v>R04</v>
      </c>
      <c r="K666" s="12" cm="1">
        <f t="array" ref="K666">_xlfn.UNIQUE(_xlfn._xlws.FILTER(ARQUIVOS[DATA RECEBIMENTO],(ARQUIVOS[DOCUMENTO]=LD_01[[#This Row],[DOCUMENTO]])*(ARQUIVOS[REVISÃO]=LD_01[[#This Row],[REVISÃO]])))</f>
        <v>45838</v>
      </c>
      <c r="L6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M666" s="6" t="str">
        <f>LD_01[[#This Row],[PASTA]]&amp;"/"&amp;LD_01[[#This Row],[ARQUIVO]]</f>
        <v>MSV-163MS-535-545/27.PA/MSV-163MS-535-545-ACA-EXE-DE-N2-010-R04.pdf</v>
      </c>
    </row>
    <row r="667" spans="1:13" ht="28.8" hidden="1" x14ac:dyDescent="0.3">
      <c r="A667" s="6" t="s">
        <v>3513</v>
      </c>
      <c r="B667" s="6" t="str">
        <f>VLOOKUP(LD_01[[#This Row],[DOCUMENTO]],_xlfn.SORTBY(ARQUIVOS_RECEBIDOS!$E$2:$F$5010,ARQUIVOS_RECEBIDOS!$F$2:$F$5010,-1),2,)</f>
        <v>R00</v>
      </c>
      <c r="C667" s="15" t="s">
        <v>5987</v>
      </c>
      <c r="D667" s="6" t="s">
        <v>4317</v>
      </c>
      <c r="E667" s="8" t="s">
        <v>4168</v>
      </c>
      <c r="F667" s="8" t="s">
        <v>4334</v>
      </c>
      <c r="G667" s="6" t="str">
        <f>_xlfn.XLOOKUP(LD_01[[#This Row],[DISCIPLINA]],'CLASSES DE PROJETOS'!$F$3:$F$37,'CLASSES DE PROJETOS'!$C$3:$C$37)</f>
        <v>PA</v>
      </c>
      <c r="H667" t="str">
        <f>_xlfn.TEXTJOIN("/",TRUE,"MSV-163MS-"&amp;LD_01[[#This Row],[TRECHO]],_xlfn.XLOOKUP(LD_01[[#This Row],[SIGLA]],'CLASSES DE PROJETOS'!$C$3:$C$37,'CLASSES DE PROJETOS'!$E$3:$E$37))</f>
        <v>MSV-163MS-535-545/27.PA</v>
      </c>
      <c r="I667" s="6" t="str" cm="1">
        <f t="array" ref="I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J667" s="6" t="str" cm="1">
        <f t="array" ref="J667">_xlfn.TEXTJOIN(", ",TRUE,_xlfn.UNIQUE(_xlfn._xlws.FILTER(ARQUIVOS_RECEBIDOS!$F$2:$F$5010,ARQUIVOS_RECEBIDOS!$E$2:$E$5010=LD_01[[#This Row],[DOCUMENTO]])))</f>
        <v>R00</v>
      </c>
      <c r="K667" s="12" cm="1">
        <f t="array" ref="K667">_xlfn.UNIQUE(_xlfn._xlws.FILTER(ARQUIVOS[DATA RECEBIMENTO],(ARQUIVOS[DOCUMENTO]=LD_01[[#This Row],[DOCUMENTO]])*(ARQUIVOS[REVISÃO]=LD_01[[#This Row],[REVISÃO]])))</f>
        <v>45838</v>
      </c>
      <c r="L6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M667" s="6" t="str">
        <f>LD_01[[#This Row],[PASTA]]&amp;"/"&amp;LD_01[[#This Row],[ARQUIVO]]</f>
        <v>MSV-163MS-535-545/27.PA/MSV-163MS-535-545-ACA-EXE-DE-N2-011-R00.pdf</v>
      </c>
    </row>
    <row r="668" spans="1:13" ht="28.8" hidden="1" x14ac:dyDescent="0.3">
      <c r="A668" s="6" t="s">
        <v>3514</v>
      </c>
      <c r="B668" s="6" t="str">
        <f>VLOOKUP(LD_01[[#This Row],[DOCUMENTO]],_xlfn.SORTBY(ARQUIVOS_RECEBIDOS!$E$2:$F$5010,ARQUIVOS_RECEBIDOS!$F$2:$F$5010,-1),2,)</f>
        <v>R00</v>
      </c>
      <c r="C668" s="15" t="s">
        <v>5987</v>
      </c>
      <c r="D668" s="6" t="s">
        <v>4317</v>
      </c>
      <c r="E668" s="8" t="s">
        <v>4168</v>
      </c>
      <c r="F668" s="8" t="s">
        <v>4334</v>
      </c>
      <c r="G668" s="6" t="str">
        <f>_xlfn.XLOOKUP(LD_01[[#This Row],[DISCIPLINA]],'CLASSES DE PROJETOS'!$F$3:$F$37,'CLASSES DE PROJETOS'!$C$3:$C$37)</f>
        <v>PA</v>
      </c>
      <c r="H668" t="str">
        <f>_xlfn.TEXTJOIN("/",TRUE,"MSV-163MS-"&amp;LD_01[[#This Row],[TRECHO]],_xlfn.XLOOKUP(LD_01[[#This Row],[SIGLA]],'CLASSES DE PROJETOS'!$C$3:$C$37,'CLASSES DE PROJETOS'!$E$3:$E$37))</f>
        <v>MSV-163MS-535-545/27.PA</v>
      </c>
      <c r="I668" s="6" t="str" cm="1">
        <f t="array" ref="I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J668" s="6" t="str" cm="1">
        <f t="array" ref="J668">_xlfn.TEXTJOIN(", ",TRUE,_xlfn.UNIQUE(_xlfn._xlws.FILTER(ARQUIVOS_RECEBIDOS!$F$2:$F$5010,ARQUIVOS_RECEBIDOS!$E$2:$E$5010=LD_01[[#This Row],[DOCUMENTO]])))</f>
        <v>R00</v>
      </c>
      <c r="K668" s="12" cm="1">
        <f t="array" ref="K668">_xlfn.UNIQUE(_xlfn._xlws.FILTER(ARQUIVOS[DATA RECEBIMENTO],(ARQUIVOS[DOCUMENTO]=LD_01[[#This Row],[DOCUMENTO]])*(ARQUIVOS[REVISÃO]=LD_01[[#This Row],[REVISÃO]])))</f>
        <v>45838</v>
      </c>
      <c r="L6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M668" s="6" t="str">
        <f>LD_01[[#This Row],[PASTA]]&amp;"/"&amp;LD_01[[#This Row],[ARQUIVO]]</f>
        <v>MSV-163MS-535-545/27.PA/MSV-163MS-535-545-ACA-EXE-DE-N2-012-R00.pdf</v>
      </c>
    </row>
    <row r="669" spans="1:13" ht="28.8" hidden="1" x14ac:dyDescent="0.3">
      <c r="A669" s="6" t="s">
        <v>3478</v>
      </c>
      <c r="B669" s="6" t="str">
        <f>VLOOKUP(LD_01[[#This Row],[DOCUMENTO]],_xlfn.SORTBY(ARQUIVOS_RECEBIDOS!$E$2:$F$5010,ARQUIVOS_RECEBIDOS!$F$2:$F$5010,-1),2,)</f>
        <v>R02</v>
      </c>
      <c r="C669" s="15" t="s">
        <v>5987</v>
      </c>
      <c r="D669" s="6" t="s">
        <v>4317</v>
      </c>
      <c r="E669" s="8" t="s">
        <v>4094</v>
      </c>
      <c r="F669" s="8" t="s">
        <v>4144</v>
      </c>
      <c r="G669" s="6" t="str">
        <f>_xlfn.XLOOKUP(LD_01[[#This Row],[DISCIPLINA]],'CLASSES DE PROJETOS'!$F$3:$F$37,'CLASSES DE PROJETOS'!$C$3:$C$37)</f>
        <v>DV</v>
      </c>
      <c r="H669" t="str">
        <f>_xlfn.TEXTJOIN("/",TRUE,"MSV-163MS-"&amp;LD_01[[#This Row],[TRECHO]],_xlfn.XLOOKUP(LD_01[[#This Row],[SIGLA]],'CLASSES DE PROJETOS'!$C$3:$C$37,'CLASSES DE PROJETOS'!$E$3:$E$37))</f>
        <v>MSV-163MS-535-545/12.DV</v>
      </c>
      <c r="I669" s="6" t="str" cm="1">
        <f t="array" ref="I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J669" s="6" t="str" cm="1">
        <f t="array" ref="J669">_xlfn.TEXTJOIN(", ",TRUE,_xlfn.UNIQUE(_xlfn._xlws.FILTER(ARQUIVOS_RECEBIDOS!$F$2:$F$5010,ARQUIVOS_RECEBIDOS!$E$2:$E$5010=LD_01[[#This Row],[DOCUMENTO]])))</f>
        <v>R02</v>
      </c>
      <c r="K669" s="12" cm="1">
        <f t="array" ref="K669">_xlfn.UNIQUE(_xlfn._xlws.FILTER(ARQUIVOS[DATA RECEBIMENTO],(ARQUIVOS[DOCUMENTO]=LD_01[[#This Row],[DOCUMENTO]])*(ARQUIVOS[REVISÃO]=LD_01[[#This Row],[REVISÃO]])))</f>
        <v>45838</v>
      </c>
      <c r="L6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M669" s="6" t="str">
        <f>LD_01[[#This Row],[PASTA]]&amp;"/"&amp;LD_01[[#This Row],[ARQUIVO]]</f>
        <v>MSV-163MS-535-545/12.DV/MSV-163MS-535-545-ACA-EXE-DE-O2-001-R02.pdf</v>
      </c>
    </row>
    <row r="670" spans="1:13" ht="28.8" hidden="1" x14ac:dyDescent="0.3">
      <c r="A670" s="6" t="s">
        <v>3479</v>
      </c>
      <c r="B670" s="6" t="str">
        <f>VLOOKUP(LD_01[[#This Row],[DOCUMENTO]],_xlfn.SORTBY(ARQUIVOS_RECEBIDOS!$E$2:$F$5010,ARQUIVOS_RECEBIDOS!$F$2:$F$5010,-1),2,)</f>
        <v>R02</v>
      </c>
      <c r="C670" s="15" t="s">
        <v>5987</v>
      </c>
      <c r="D670" s="6" t="s">
        <v>4317</v>
      </c>
      <c r="E670" s="8" t="s">
        <v>4094</v>
      </c>
      <c r="F670" s="8" t="s">
        <v>4144</v>
      </c>
      <c r="G670" s="6" t="str">
        <f>_xlfn.XLOOKUP(LD_01[[#This Row],[DISCIPLINA]],'CLASSES DE PROJETOS'!$F$3:$F$37,'CLASSES DE PROJETOS'!$C$3:$C$37)</f>
        <v>DV</v>
      </c>
      <c r="H670" t="str">
        <f>_xlfn.TEXTJOIN("/",TRUE,"MSV-163MS-"&amp;LD_01[[#This Row],[TRECHO]],_xlfn.XLOOKUP(LD_01[[#This Row],[SIGLA]],'CLASSES DE PROJETOS'!$C$3:$C$37,'CLASSES DE PROJETOS'!$E$3:$E$37))</f>
        <v>MSV-163MS-535-545/12.DV</v>
      </c>
      <c r="I670" s="6" t="str" cm="1">
        <f t="array" ref="I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J670" s="6" t="str" cm="1">
        <f t="array" ref="J670">_xlfn.TEXTJOIN(", ",TRUE,_xlfn.UNIQUE(_xlfn._xlws.FILTER(ARQUIVOS_RECEBIDOS!$F$2:$F$5010,ARQUIVOS_RECEBIDOS!$E$2:$E$5010=LD_01[[#This Row],[DOCUMENTO]])))</f>
        <v>R02</v>
      </c>
      <c r="K670" s="12" cm="1">
        <f t="array" ref="K670">_xlfn.UNIQUE(_xlfn._xlws.FILTER(ARQUIVOS[DATA RECEBIMENTO],(ARQUIVOS[DOCUMENTO]=LD_01[[#This Row],[DOCUMENTO]])*(ARQUIVOS[REVISÃO]=LD_01[[#This Row],[REVISÃO]])))</f>
        <v>45838</v>
      </c>
      <c r="L6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M670" s="6" t="str">
        <f>LD_01[[#This Row],[PASTA]]&amp;"/"&amp;LD_01[[#This Row],[ARQUIVO]]</f>
        <v>MSV-163MS-535-545/12.DV/MSV-163MS-535-545-ACA-EXE-DE-O2-002-R02.pdf</v>
      </c>
    </row>
    <row r="671" spans="1:13" ht="28.8" hidden="1" x14ac:dyDescent="0.3">
      <c r="A671" s="6" t="s">
        <v>3480</v>
      </c>
      <c r="B671" s="6" t="str">
        <f>VLOOKUP(LD_01[[#This Row],[DOCUMENTO]],_xlfn.SORTBY(ARQUIVOS_RECEBIDOS!$E$2:$F$5010,ARQUIVOS_RECEBIDOS!$F$2:$F$5010,-1),2,)</f>
        <v>R01</v>
      </c>
      <c r="C671" s="15" t="s">
        <v>5987</v>
      </c>
      <c r="D671" s="6" t="s">
        <v>4317</v>
      </c>
      <c r="E671" s="8" t="s">
        <v>4125</v>
      </c>
      <c r="F671" s="8" t="s">
        <v>4144</v>
      </c>
      <c r="G671" s="6" t="str">
        <f>_xlfn.XLOOKUP(LD_01[[#This Row],[DISCIPLINA]],'CLASSES DE PROJETOS'!$F$3:$F$37,'CLASSES DE PROJETOS'!$C$3:$C$37)</f>
        <v>DV</v>
      </c>
      <c r="H671" t="str">
        <f>_xlfn.TEXTJOIN("/",TRUE,"MSV-163MS-"&amp;LD_01[[#This Row],[TRECHO]],_xlfn.XLOOKUP(LD_01[[#This Row],[SIGLA]],'CLASSES DE PROJETOS'!$C$3:$C$37,'CLASSES DE PROJETOS'!$E$3:$E$37))</f>
        <v>MSV-163MS-535-545/12.DV</v>
      </c>
      <c r="I671" s="6" t="str" cm="1">
        <f t="array" ref="I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J671" s="6" t="str" cm="1">
        <f t="array" ref="J671">_xlfn.TEXTJOIN(", ",TRUE,_xlfn.UNIQUE(_xlfn._xlws.FILTER(ARQUIVOS_RECEBIDOS!$F$2:$F$5010,ARQUIVOS_RECEBIDOS!$E$2:$E$5010=LD_01[[#This Row],[DOCUMENTO]])))</f>
        <v>R01</v>
      </c>
      <c r="K671" s="12" cm="1">
        <f t="array" ref="K671">_xlfn.UNIQUE(_xlfn._xlws.FILTER(ARQUIVOS[DATA RECEBIMENTO],(ARQUIVOS[DOCUMENTO]=LD_01[[#This Row],[DOCUMENTO]])*(ARQUIVOS[REVISÃO]=LD_01[[#This Row],[REVISÃO]])))</f>
        <v>45838</v>
      </c>
      <c r="L6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M671" s="6" t="str">
        <f>LD_01[[#This Row],[PASTA]]&amp;"/"&amp;LD_01[[#This Row],[ARQUIVO]]</f>
        <v>MSV-163MS-535-545/12.DV/MSV-163MS-535-545-ACA-EXE-DE-O2-003-R01.pdf</v>
      </c>
    </row>
    <row r="672" spans="1:13" ht="28.8" hidden="1" x14ac:dyDescent="0.3">
      <c r="A672" s="6" t="s">
        <v>3481</v>
      </c>
      <c r="B672" s="6" t="str">
        <f>VLOOKUP(LD_01[[#This Row],[DOCUMENTO]],_xlfn.SORTBY(ARQUIVOS_RECEBIDOS!$E$2:$F$5010,ARQUIVOS_RECEBIDOS!$F$2:$F$5010,-1),2,)</f>
        <v>R01</v>
      </c>
      <c r="C672" s="15" t="s">
        <v>5987</v>
      </c>
      <c r="D672" s="6" t="s">
        <v>4317</v>
      </c>
      <c r="E672" s="8" t="s">
        <v>4125</v>
      </c>
      <c r="F672" s="8" t="s">
        <v>4144</v>
      </c>
      <c r="G672" s="6" t="str">
        <f>_xlfn.XLOOKUP(LD_01[[#This Row],[DISCIPLINA]],'CLASSES DE PROJETOS'!$F$3:$F$37,'CLASSES DE PROJETOS'!$C$3:$C$37)</f>
        <v>DV</v>
      </c>
      <c r="H672" t="str">
        <f>_xlfn.TEXTJOIN("/",TRUE,"MSV-163MS-"&amp;LD_01[[#This Row],[TRECHO]],_xlfn.XLOOKUP(LD_01[[#This Row],[SIGLA]],'CLASSES DE PROJETOS'!$C$3:$C$37,'CLASSES DE PROJETOS'!$E$3:$E$37))</f>
        <v>MSV-163MS-535-545/12.DV</v>
      </c>
      <c r="I672" s="6" t="str" cm="1">
        <f t="array" ref="I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J672" s="6" t="str" cm="1">
        <f t="array" ref="J672">_xlfn.TEXTJOIN(", ",TRUE,_xlfn.UNIQUE(_xlfn._xlws.FILTER(ARQUIVOS_RECEBIDOS!$F$2:$F$5010,ARQUIVOS_RECEBIDOS!$E$2:$E$5010=LD_01[[#This Row],[DOCUMENTO]])))</f>
        <v>R01</v>
      </c>
      <c r="K672" s="12" cm="1">
        <f t="array" ref="K672">_xlfn.UNIQUE(_xlfn._xlws.FILTER(ARQUIVOS[DATA RECEBIMENTO],(ARQUIVOS[DOCUMENTO]=LD_01[[#This Row],[DOCUMENTO]])*(ARQUIVOS[REVISÃO]=LD_01[[#This Row],[REVISÃO]])))</f>
        <v>45838</v>
      </c>
      <c r="L6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M672" s="6" t="str">
        <f>LD_01[[#This Row],[PASTA]]&amp;"/"&amp;LD_01[[#This Row],[ARQUIVO]]</f>
        <v>MSV-163MS-535-545/12.DV/MSV-163MS-535-545-ACA-EXE-DE-O2-004-R01.pdf</v>
      </c>
    </row>
    <row r="673" spans="1:13" ht="28.8" hidden="1" x14ac:dyDescent="0.3">
      <c r="A673" s="6" t="s">
        <v>3482</v>
      </c>
      <c r="B673" s="6" t="str">
        <f>VLOOKUP(LD_01[[#This Row],[DOCUMENTO]],_xlfn.SORTBY(ARQUIVOS_RECEBIDOS!$E$2:$F$5010,ARQUIVOS_RECEBIDOS!$F$2:$F$5010,-1),2,)</f>
        <v>R01</v>
      </c>
      <c r="C673" s="15" t="s">
        <v>5987</v>
      </c>
      <c r="D673" s="6" t="s">
        <v>4317</v>
      </c>
      <c r="E673" s="8" t="s">
        <v>4089</v>
      </c>
      <c r="F673" s="8" t="s">
        <v>4144</v>
      </c>
      <c r="G673" s="6" t="str">
        <f>_xlfn.XLOOKUP(LD_01[[#This Row],[DISCIPLINA]],'CLASSES DE PROJETOS'!$F$3:$F$37,'CLASSES DE PROJETOS'!$C$3:$C$37)</f>
        <v>DV</v>
      </c>
      <c r="H673" t="str">
        <f>_xlfn.TEXTJOIN("/",TRUE,"MSV-163MS-"&amp;LD_01[[#This Row],[TRECHO]],_xlfn.XLOOKUP(LD_01[[#This Row],[SIGLA]],'CLASSES DE PROJETOS'!$C$3:$C$37,'CLASSES DE PROJETOS'!$E$3:$E$37))</f>
        <v>MSV-163MS-535-545/12.DV</v>
      </c>
      <c r="I673" s="6" t="str" cm="1">
        <f t="array" ref="I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J673" s="6" t="str" cm="1">
        <f t="array" ref="J673">_xlfn.TEXTJOIN(", ",TRUE,_xlfn.UNIQUE(_xlfn._xlws.FILTER(ARQUIVOS_RECEBIDOS!$F$2:$F$5010,ARQUIVOS_RECEBIDOS!$E$2:$E$5010=LD_01[[#This Row],[DOCUMENTO]])))</f>
        <v>R01</v>
      </c>
      <c r="K673" s="12" cm="1">
        <f t="array" ref="K673">_xlfn.UNIQUE(_xlfn._xlws.FILTER(ARQUIVOS[DATA RECEBIMENTO],(ARQUIVOS[DOCUMENTO]=LD_01[[#This Row],[DOCUMENTO]])*(ARQUIVOS[REVISÃO]=LD_01[[#This Row],[REVISÃO]])))</f>
        <v>45838</v>
      </c>
      <c r="L6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M673" s="6" t="str">
        <f>LD_01[[#This Row],[PASTA]]&amp;"/"&amp;LD_01[[#This Row],[ARQUIVO]]</f>
        <v>MSV-163MS-535-545/12.DV/MSV-163MS-535-545-ACA-EXE-DE-O2-005-R01.pdf</v>
      </c>
    </row>
    <row r="674" spans="1:13" ht="28.8" hidden="1" x14ac:dyDescent="0.3">
      <c r="A674" s="6" t="s">
        <v>3483</v>
      </c>
      <c r="B674" s="6" t="str">
        <f>VLOOKUP(LD_01[[#This Row],[DOCUMENTO]],_xlfn.SORTBY(ARQUIVOS_RECEBIDOS!$E$2:$F$5010,ARQUIVOS_RECEBIDOS!$F$2:$F$5010,-1),2,)</f>
        <v>R01</v>
      </c>
      <c r="C674" s="15" t="s">
        <v>5987</v>
      </c>
      <c r="D674" s="6" t="s">
        <v>4317</v>
      </c>
      <c r="E674" s="8" t="s">
        <v>4094</v>
      </c>
      <c r="F674" s="8" t="s">
        <v>4144</v>
      </c>
      <c r="G674" s="6" t="str">
        <f>_xlfn.XLOOKUP(LD_01[[#This Row],[DISCIPLINA]],'CLASSES DE PROJETOS'!$F$3:$F$37,'CLASSES DE PROJETOS'!$C$3:$C$37)</f>
        <v>DV</v>
      </c>
      <c r="H674" t="str">
        <f>_xlfn.TEXTJOIN("/",TRUE,"MSV-163MS-"&amp;LD_01[[#This Row],[TRECHO]],_xlfn.XLOOKUP(LD_01[[#This Row],[SIGLA]],'CLASSES DE PROJETOS'!$C$3:$C$37,'CLASSES DE PROJETOS'!$E$3:$E$37))</f>
        <v>MSV-163MS-535-545/12.DV</v>
      </c>
      <c r="I674" s="6" t="str" cm="1">
        <f t="array" ref="I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J674" s="6" t="str" cm="1">
        <f t="array" ref="J674">_xlfn.TEXTJOIN(", ",TRUE,_xlfn.UNIQUE(_xlfn._xlws.FILTER(ARQUIVOS_RECEBIDOS!$F$2:$F$5010,ARQUIVOS_RECEBIDOS!$E$2:$E$5010=LD_01[[#This Row],[DOCUMENTO]])))</f>
        <v>R01</v>
      </c>
      <c r="K674" s="12" cm="1">
        <f t="array" ref="K674">_xlfn.UNIQUE(_xlfn._xlws.FILTER(ARQUIVOS[DATA RECEBIMENTO],(ARQUIVOS[DOCUMENTO]=LD_01[[#This Row],[DOCUMENTO]])*(ARQUIVOS[REVISÃO]=LD_01[[#This Row],[REVISÃO]])))</f>
        <v>45838</v>
      </c>
      <c r="L6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M674" s="6" t="str">
        <f>LD_01[[#This Row],[PASTA]]&amp;"/"&amp;LD_01[[#This Row],[ARQUIVO]]</f>
        <v>MSV-163MS-535-545/12.DV/MSV-163MS-535-545-ACA-EXE-DE-O2-006-R01.pdf</v>
      </c>
    </row>
    <row r="675" spans="1:13" ht="28.8" hidden="1" x14ac:dyDescent="0.3">
      <c r="A675" s="6" t="s">
        <v>3484</v>
      </c>
      <c r="B675" s="6" t="str">
        <f>VLOOKUP(LD_01[[#This Row],[DOCUMENTO]],_xlfn.SORTBY(ARQUIVOS_RECEBIDOS!$E$2:$F$5010,ARQUIVOS_RECEBIDOS!$F$2:$F$5010,-1),2,)</f>
        <v>R01</v>
      </c>
      <c r="C675" s="15" t="s">
        <v>5987</v>
      </c>
      <c r="D675" s="6" t="s">
        <v>4317</v>
      </c>
      <c r="E675" s="8" t="s">
        <v>4094</v>
      </c>
      <c r="F675" s="8" t="s">
        <v>4144</v>
      </c>
      <c r="G675" s="6" t="str">
        <f>_xlfn.XLOOKUP(LD_01[[#This Row],[DISCIPLINA]],'CLASSES DE PROJETOS'!$F$3:$F$37,'CLASSES DE PROJETOS'!$C$3:$C$37)</f>
        <v>DV</v>
      </c>
      <c r="H675" t="str">
        <f>_xlfn.TEXTJOIN("/",TRUE,"MSV-163MS-"&amp;LD_01[[#This Row],[TRECHO]],_xlfn.XLOOKUP(LD_01[[#This Row],[SIGLA]],'CLASSES DE PROJETOS'!$C$3:$C$37,'CLASSES DE PROJETOS'!$E$3:$E$37))</f>
        <v>MSV-163MS-535-545/12.DV</v>
      </c>
      <c r="I675" s="6" t="str" cm="1">
        <f t="array" ref="I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J675" s="6" t="str" cm="1">
        <f t="array" ref="J675">_xlfn.TEXTJOIN(", ",TRUE,_xlfn.UNIQUE(_xlfn._xlws.FILTER(ARQUIVOS_RECEBIDOS!$F$2:$F$5010,ARQUIVOS_RECEBIDOS!$E$2:$E$5010=LD_01[[#This Row],[DOCUMENTO]])))</f>
        <v>R01</v>
      </c>
      <c r="K675" s="12" cm="1">
        <f t="array" ref="K675">_xlfn.UNIQUE(_xlfn._xlws.FILTER(ARQUIVOS[DATA RECEBIMENTO],(ARQUIVOS[DOCUMENTO]=LD_01[[#This Row],[DOCUMENTO]])*(ARQUIVOS[REVISÃO]=LD_01[[#This Row],[REVISÃO]])))</f>
        <v>45838</v>
      </c>
      <c r="L6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M675" s="6" t="str">
        <f>LD_01[[#This Row],[PASTA]]&amp;"/"&amp;LD_01[[#This Row],[ARQUIVO]]</f>
        <v>MSV-163MS-535-545/12.DV/MSV-163MS-535-545-ACA-EXE-DE-O2-007-R01.pdf</v>
      </c>
    </row>
    <row r="676" spans="1:13" ht="28.8" hidden="1" x14ac:dyDescent="0.3">
      <c r="A676" s="6" t="s">
        <v>3485</v>
      </c>
      <c r="B676" s="6" t="str">
        <f>VLOOKUP(LD_01[[#This Row],[DOCUMENTO]],_xlfn.SORTBY(ARQUIVOS_RECEBIDOS!$E$2:$F$5010,ARQUIVOS_RECEBIDOS!$F$2:$F$5010,-1),2,)</f>
        <v>R01</v>
      </c>
      <c r="C676" s="15" t="s">
        <v>5987</v>
      </c>
      <c r="D676" s="6" t="s">
        <v>4317</v>
      </c>
      <c r="E676" s="8" t="s">
        <v>4094</v>
      </c>
      <c r="F676" s="8" t="s">
        <v>4144</v>
      </c>
      <c r="G676" s="6" t="str">
        <f>_xlfn.XLOOKUP(LD_01[[#This Row],[DISCIPLINA]],'CLASSES DE PROJETOS'!$F$3:$F$37,'CLASSES DE PROJETOS'!$C$3:$C$37)</f>
        <v>DV</v>
      </c>
      <c r="H676" t="str">
        <f>_xlfn.TEXTJOIN("/",TRUE,"MSV-163MS-"&amp;LD_01[[#This Row],[TRECHO]],_xlfn.XLOOKUP(LD_01[[#This Row],[SIGLA]],'CLASSES DE PROJETOS'!$C$3:$C$37,'CLASSES DE PROJETOS'!$E$3:$E$37))</f>
        <v>MSV-163MS-535-545/12.DV</v>
      </c>
      <c r="I676" s="6" t="str" cm="1">
        <f t="array" ref="I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J676" s="6" t="str" cm="1">
        <f t="array" ref="J676">_xlfn.TEXTJOIN(", ",TRUE,_xlfn.UNIQUE(_xlfn._xlws.FILTER(ARQUIVOS_RECEBIDOS!$F$2:$F$5010,ARQUIVOS_RECEBIDOS!$E$2:$E$5010=LD_01[[#This Row],[DOCUMENTO]])))</f>
        <v>R01</v>
      </c>
      <c r="K676" s="12" cm="1">
        <f t="array" ref="K676">_xlfn.UNIQUE(_xlfn._xlws.FILTER(ARQUIVOS[DATA RECEBIMENTO],(ARQUIVOS[DOCUMENTO]=LD_01[[#This Row],[DOCUMENTO]])*(ARQUIVOS[REVISÃO]=LD_01[[#This Row],[REVISÃO]])))</f>
        <v>45838</v>
      </c>
      <c r="L6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M676" s="6" t="str">
        <f>LD_01[[#This Row],[PASTA]]&amp;"/"&amp;LD_01[[#This Row],[ARQUIVO]]</f>
        <v>MSV-163MS-535-545/12.DV/MSV-163MS-535-545-ACA-EXE-DE-O2-008-R01.pdf</v>
      </c>
    </row>
    <row r="677" spans="1:13" ht="28.8" hidden="1" x14ac:dyDescent="0.3">
      <c r="A677" s="6" t="s">
        <v>3486</v>
      </c>
      <c r="B677" s="6" t="str">
        <f>VLOOKUP(LD_01[[#This Row],[DOCUMENTO]],_xlfn.SORTBY(ARQUIVOS_RECEBIDOS!$E$2:$F$5010,ARQUIVOS_RECEBIDOS!$F$2:$F$5010,-1),2,)</f>
        <v>R02</v>
      </c>
      <c r="C677" s="15" t="s">
        <v>5987</v>
      </c>
      <c r="D677" s="6" t="s">
        <v>4317</v>
      </c>
      <c r="E677" s="8" t="s">
        <v>4094</v>
      </c>
      <c r="F677" s="8" t="s">
        <v>4144</v>
      </c>
      <c r="G677" s="6" t="str">
        <f>_xlfn.XLOOKUP(LD_01[[#This Row],[DISCIPLINA]],'CLASSES DE PROJETOS'!$F$3:$F$37,'CLASSES DE PROJETOS'!$C$3:$C$37)</f>
        <v>DV</v>
      </c>
      <c r="H677" t="str">
        <f>_xlfn.TEXTJOIN("/",TRUE,"MSV-163MS-"&amp;LD_01[[#This Row],[TRECHO]],_xlfn.XLOOKUP(LD_01[[#This Row],[SIGLA]],'CLASSES DE PROJETOS'!$C$3:$C$37,'CLASSES DE PROJETOS'!$E$3:$E$37))</f>
        <v>MSV-163MS-535-545/12.DV</v>
      </c>
      <c r="I677" s="6" t="str" cm="1">
        <f t="array" ref="I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J677" s="6" t="str" cm="1">
        <f t="array" ref="J677">_xlfn.TEXTJOIN(", ",TRUE,_xlfn.UNIQUE(_xlfn._xlws.FILTER(ARQUIVOS_RECEBIDOS!$F$2:$F$5010,ARQUIVOS_RECEBIDOS!$E$2:$E$5010=LD_01[[#This Row],[DOCUMENTO]])))</f>
        <v>R02</v>
      </c>
      <c r="K677" s="12" cm="1">
        <f t="array" ref="K677">_xlfn.UNIQUE(_xlfn._xlws.FILTER(ARQUIVOS[DATA RECEBIMENTO],(ARQUIVOS[DOCUMENTO]=LD_01[[#This Row],[DOCUMENTO]])*(ARQUIVOS[REVISÃO]=LD_01[[#This Row],[REVISÃO]])))</f>
        <v>45838</v>
      </c>
      <c r="L6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M677" s="6" t="str">
        <f>LD_01[[#This Row],[PASTA]]&amp;"/"&amp;LD_01[[#This Row],[ARQUIVO]]</f>
        <v>MSV-163MS-535-545/12.DV/MSV-163MS-535-545-ACA-EXE-DE-O2-009-R02.pdf</v>
      </c>
    </row>
    <row r="678" spans="1:13" ht="28.8" hidden="1" x14ac:dyDescent="0.3">
      <c r="A678" s="6" t="s">
        <v>3487</v>
      </c>
      <c r="B678" s="6" t="str">
        <f>VLOOKUP(LD_01[[#This Row],[DOCUMENTO]],_xlfn.SORTBY(ARQUIVOS_RECEBIDOS!$E$2:$F$5010,ARQUIVOS_RECEBIDOS!$F$2:$F$5010,-1),2,)</f>
        <v>R02</v>
      </c>
      <c r="C678" s="15" t="s">
        <v>5987</v>
      </c>
      <c r="D678" s="6" t="s">
        <v>4317</v>
      </c>
      <c r="E678" s="8" t="s">
        <v>4094</v>
      </c>
      <c r="F678" s="8" t="s">
        <v>4144</v>
      </c>
      <c r="G678" s="6" t="str">
        <f>_xlfn.XLOOKUP(LD_01[[#This Row],[DISCIPLINA]],'CLASSES DE PROJETOS'!$F$3:$F$37,'CLASSES DE PROJETOS'!$C$3:$C$37)</f>
        <v>DV</v>
      </c>
      <c r="H678" t="str">
        <f>_xlfn.TEXTJOIN("/",TRUE,"MSV-163MS-"&amp;LD_01[[#This Row],[TRECHO]],_xlfn.XLOOKUP(LD_01[[#This Row],[SIGLA]],'CLASSES DE PROJETOS'!$C$3:$C$37,'CLASSES DE PROJETOS'!$E$3:$E$37))</f>
        <v>MSV-163MS-535-545/12.DV</v>
      </c>
      <c r="I678" s="6" t="str" cm="1">
        <f t="array" ref="I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J678" s="6" t="str" cm="1">
        <f t="array" ref="J678">_xlfn.TEXTJOIN(", ",TRUE,_xlfn.UNIQUE(_xlfn._xlws.FILTER(ARQUIVOS_RECEBIDOS!$F$2:$F$5010,ARQUIVOS_RECEBIDOS!$E$2:$E$5010=LD_01[[#This Row],[DOCUMENTO]])))</f>
        <v>R02</v>
      </c>
      <c r="K678" s="12" cm="1">
        <f t="array" ref="K678">_xlfn.UNIQUE(_xlfn._xlws.FILTER(ARQUIVOS[DATA RECEBIMENTO],(ARQUIVOS[DOCUMENTO]=LD_01[[#This Row],[DOCUMENTO]])*(ARQUIVOS[REVISÃO]=LD_01[[#This Row],[REVISÃO]])))</f>
        <v>45838</v>
      </c>
      <c r="L6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M678" s="6" t="str">
        <f>LD_01[[#This Row],[PASTA]]&amp;"/"&amp;LD_01[[#This Row],[ARQUIVO]]</f>
        <v>MSV-163MS-535-545/12.DV/MSV-163MS-535-545-ACA-EXE-DE-O2-010-R02.pdf</v>
      </c>
    </row>
    <row r="679" spans="1:13" ht="28.8" hidden="1" x14ac:dyDescent="0.3">
      <c r="A679" s="6" t="s">
        <v>3488</v>
      </c>
      <c r="B679" s="6" t="str">
        <f>VLOOKUP(LD_01[[#This Row],[DOCUMENTO]],_xlfn.SORTBY(ARQUIVOS_RECEBIDOS!$E$2:$F$5010,ARQUIVOS_RECEBIDOS!$F$2:$F$5010,-1),2,)</f>
        <v>R01</v>
      </c>
      <c r="C679" s="15" t="s">
        <v>5987</v>
      </c>
      <c r="D679" s="6" t="s">
        <v>4317</v>
      </c>
      <c r="E679" s="8" t="s">
        <v>4125</v>
      </c>
      <c r="F679" s="8" t="s">
        <v>4144</v>
      </c>
      <c r="G679" s="6" t="str">
        <f>_xlfn.XLOOKUP(LD_01[[#This Row],[DISCIPLINA]],'CLASSES DE PROJETOS'!$F$3:$F$37,'CLASSES DE PROJETOS'!$C$3:$C$37)</f>
        <v>DV</v>
      </c>
      <c r="H679" t="str">
        <f>_xlfn.TEXTJOIN("/",TRUE,"MSV-163MS-"&amp;LD_01[[#This Row],[TRECHO]],_xlfn.XLOOKUP(LD_01[[#This Row],[SIGLA]],'CLASSES DE PROJETOS'!$C$3:$C$37,'CLASSES DE PROJETOS'!$E$3:$E$37))</f>
        <v>MSV-163MS-535-545/12.DV</v>
      </c>
      <c r="I679" s="6" t="str" cm="1">
        <f t="array" ref="I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J679" s="6" t="str" cm="1">
        <f t="array" ref="J679">_xlfn.TEXTJOIN(", ",TRUE,_xlfn.UNIQUE(_xlfn._xlws.FILTER(ARQUIVOS_RECEBIDOS!$F$2:$F$5010,ARQUIVOS_RECEBIDOS!$E$2:$E$5010=LD_01[[#This Row],[DOCUMENTO]])))</f>
        <v>R01</v>
      </c>
      <c r="K679" s="12" cm="1">
        <f t="array" ref="K679">_xlfn.UNIQUE(_xlfn._xlws.FILTER(ARQUIVOS[DATA RECEBIMENTO],(ARQUIVOS[DOCUMENTO]=LD_01[[#This Row],[DOCUMENTO]])*(ARQUIVOS[REVISÃO]=LD_01[[#This Row],[REVISÃO]])))</f>
        <v>45838</v>
      </c>
      <c r="L6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M679" s="6" t="str">
        <f>LD_01[[#This Row],[PASTA]]&amp;"/"&amp;LD_01[[#This Row],[ARQUIVO]]</f>
        <v>MSV-163MS-535-545/12.DV/MSV-163MS-535-545-ACA-EXE-DE-O2-011-R01.pdf</v>
      </c>
    </row>
    <row r="680" spans="1:13" ht="28.8" hidden="1" x14ac:dyDescent="0.3">
      <c r="A680" s="6" t="s">
        <v>3489</v>
      </c>
      <c r="B680" s="6" t="str">
        <f>VLOOKUP(LD_01[[#This Row],[DOCUMENTO]],_xlfn.SORTBY(ARQUIVOS_RECEBIDOS!$E$2:$F$5010,ARQUIVOS_RECEBIDOS!$F$2:$F$5010,-1),2,)</f>
        <v>R01</v>
      </c>
      <c r="C680" s="15" t="s">
        <v>5987</v>
      </c>
      <c r="D680" s="6" t="s">
        <v>4317</v>
      </c>
      <c r="E680" s="8" t="s">
        <v>4125</v>
      </c>
      <c r="F680" s="8" t="s">
        <v>4144</v>
      </c>
      <c r="G680" s="6" t="str">
        <f>_xlfn.XLOOKUP(LD_01[[#This Row],[DISCIPLINA]],'CLASSES DE PROJETOS'!$F$3:$F$37,'CLASSES DE PROJETOS'!$C$3:$C$37)</f>
        <v>DV</v>
      </c>
      <c r="H680" t="str">
        <f>_xlfn.TEXTJOIN("/",TRUE,"MSV-163MS-"&amp;LD_01[[#This Row],[TRECHO]],_xlfn.XLOOKUP(LD_01[[#This Row],[SIGLA]],'CLASSES DE PROJETOS'!$C$3:$C$37,'CLASSES DE PROJETOS'!$E$3:$E$37))</f>
        <v>MSV-163MS-535-545/12.DV</v>
      </c>
      <c r="I680" s="6" t="str" cm="1">
        <f t="array" ref="I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J680" s="6" t="str" cm="1">
        <f t="array" ref="J680">_xlfn.TEXTJOIN(", ",TRUE,_xlfn.UNIQUE(_xlfn._xlws.FILTER(ARQUIVOS_RECEBIDOS!$F$2:$F$5010,ARQUIVOS_RECEBIDOS!$E$2:$E$5010=LD_01[[#This Row],[DOCUMENTO]])))</f>
        <v>R01</v>
      </c>
      <c r="K680" s="12" cm="1">
        <f t="array" ref="K680">_xlfn.UNIQUE(_xlfn._xlws.FILTER(ARQUIVOS[DATA RECEBIMENTO],(ARQUIVOS[DOCUMENTO]=LD_01[[#This Row],[DOCUMENTO]])*(ARQUIVOS[REVISÃO]=LD_01[[#This Row],[REVISÃO]])))</f>
        <v>45838</v>
      </c>
      <c r="L6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M680" s="6" t="str">
        <f>LD_01[[#This Row],[PASTA]]&amp;"/"&amp;LD_01[[#This Row],[ARQUIVO]]</f>
        <v>MSV-163MS-535-545/12.DV/MSV-163MS-535-545-ACA-EXE-DE-O2-012-R01.pdf</v>
      </c>
    </row>
    <row r="681" spans="1:13" ht="28.8" hidden="1" x14ac:dyDescent="0.3">
      <c r="A681" s="6" t="s">
        <v>3490</v>
      </c>
      <c r="B681" s="6" t="str">
        <f>VLOOKUP(LD_01[[#This Row],[DOCUMENTO]],_xlfn.SORTBY(ARQUIVOS_RECEBIDOS!$E$2:$F$5010,ARQUIVOS_RECEBIDOS!$F$2:$F$5010,-1),2,)</f>
        <v>R01</v>
      </c>
      <c r="C681" s="15" t="s">
        <v>5987</v>
      </c>
      <c r="D681" s="6" t="s">
        <v>4317</v>
      </c>
      <c r="E681" s="8" t="s">
        <v>4125</v>
      </c>
      <c r="F681" s="8" t="s">
        <v>4144</v>
      </c>
      <c r="G681" s="6" t="str">
        <f>_xlfn.XLOOKUP(LD_01[[#This Row],[DISCIPLINA]],'CLASSES DE PROJETOS'!$F$3:$F$37,'CLASSES DE PROJETOS'!$C$3:$C$37)</f>
        <v>DV</v>
      </c>
      <c r="H681" t="str">
        <f>_xlfn.TEXTJOIN("/",TRUE,"MSV-163MS-"&amp;LD_01[[#This Row],[TRECHO]],_xlfn.XLOOKUP(LD_01[[#This Row],[SIGLA]],'CLASSES DE PROJETOS'!$C$3:$C$37,'CLASSES DE PROJETOS'!$E$3:$E$37))</f>
        <v>MSV-163MS-535-545/12.DV</v>
      </c>
      <c r="I681" s="6" t="str" cm="1">
        <f t="array" ref="I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J681" s="6" t="str" cm="1">
        <f t="array" ref="J681">_xlfn.TEXTJOIN(", ",TRUE,_xlfn.UNIQUE(_xlfn._xlws.FILTER(ARQUIVOS_RECEBIDOS!$F$2:$F$5010,ARQUIVOS_RECEBIDOS!$E$2:$E$5010=LD_01[[#This Row],[DOCUMENTO]])))</f>
        <v>R01</v>
      </c>
      <c r="K681" s="12" cm="1">
        <f t="array" ref="K681">_xlfn.UNIQUE(_xlfn._xlws.FILTER(ARQUIVOS[DATA RECEBIMENTO],(ARQUIVOS[DOCUMENTO]=LD_01[[#This Row],[DOCUMENTO]])*(ARQUIVOS[REVISÃO]=LD_01[[#This Row],[REVISÃO]])))</f>
        <v>45838</v>
      </c>
      <c r="L6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M681" s="6" t="str">
        <f>LD_01[[#This Row],[PASTA]]&amp;"/"&amp;LD_01[[#This Row],[ARQUIVO]]</f>
        <v>MSV-163MS-535-545/12.DV/MSV-163MS-535-545-ACA-EXE-DE-O2-013-R01.pdf</v>
      </c>
    </row>
    <row r="682" spans="1:13" ht="28.8" hidden="1" x14ac:dyDescent="0.3">
      <c r="A682" s="6" t="s">
        <v>3491</v>
      </c>
      <c r="B682" s="6" t="str">
        <f>VLOOKUP(LD_01[[#This Row],[DOCUMENTO]],_xlfn.SORTBY(ARQUIVOS_RECEBIDOS!$E$2:$F$5010,ARQUIVOS_RECEBIDOS!$F$2:$F$5010,-1),2,)</f>
        <v>R01</v>
      </c>
      <c r="C682" s="15" t="s">
        <v>5987</v>
      </c>
      <c r="D682" s="6" t="s">
        <v>4317</v>
      </c>
      <c r="E682" s="8" t="s">
        <v>4126</v>
      </c>
      <c r="F682" s="8" t="s">
        <v>4144</v>
      </c>
      <c r="G682" s="6" t="str">
        <f>_xlfn.XLOOKUP(LD_01[[#This Row],[DISCIPLINA]],'CLASSES DE PROJETOS'!$F$3:$F$37,'CLASSES DE PROJETOS'!$C$3:$C$37)</f>
        <v>DV</v>
      </c>
      <c r="H682" t="str">
        <f>_xlfn.TEXTJOIN("/",TRUE,"MSV-163MS-"&amp;LD_01[[#This Row],[TRECHO]],_xlfn.XLOOKUP(LD_01[[#This Row],[SIGLA]],'CLASSES DE PROJETOS'!$C$3:$C$37,'CLASSES DE PROJETOS'!$E$3:$E$37))</f>
        <v>MSV-163MS-535-545/12.DV</v>
      </c>
      <c r="I682" s="6" t="str" cm="1">
        <f t="array" ref="I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J682" s="6" t="str" cm="1">
        <f t="array" ref="J682">_xlfn.TEXTJOIN(", ",TRUE,_xlfn.UNIQUE(_xlfn._xlws.FILTER(ARQUIVOS_RECEBIDOS!$F$2:$F$5010,ARQUIVOS_RECEBIDOS!$E$2:$E$5010=LD_01[[#This Row],[DOCUMENTO]])))</f>
        <v>R01</v>
      </c>
      <c r="K682" s="12" cm="1">
        <f t="array" ref="K682">_xlfn.UNIQUE(_xlfn._xlws.FILTER(ARQUIVOS[DATA RECEBIMENTO],(ARQUIVOS[DOCUMENTO]=LD_01[[#This Row],[DOCUMENTO]])*(ARQUIVOS[REVISÃO]=LD_01[[#This Row],[REVISÃO]])))</f>
        <v>45838</v>
      </c>
      <c r="L6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M682" s="6" t="str">
        <f>LD_01[[#This Row],[PASTA]]&amp;"/"&amp;LD_01[[#This Row],[ARQUIVO]]</f>
        <v>MSV-163MS-535-545/12.DV/MSV-163MS-535-545-ACA-EXE-DE-O2-014-R01.pdf</v>
      </c>
    </row>
    <row r="683" spans="1:13" ht="28.8" hidden="1" x14ac:dyDescent="0.3">
      <c r="A683" s="6" t="s">
        <v>3492</v>
      </c>
      <c r="B683" s="6" t="str">
        <f>VLOOKUP(LD_01[[#This Row],[DOCUMENTO]],_xlfn.SORTBY(ARQUIVOS_RECEBIDOS!$E$2:$F$5010,ARQUIVOS_RECEBIDOS!$F$2:$F$5010,-1),2,)</f>
        <v>R01</v>
      </c>
      <c r="C683" s="15" t="s">
        <v>5987</v>
      </c>
      <c r="D683" s="6" t="s">
        <v>4317</v>
      </c>
      <c r="E683" s="8" t="s">
        <v>4126</v>
      </c>
      <c r="F683" s="8" t="s">
        <v>4144</v>
      </c>
      <c r="G683" s="6" t="str">
        <f>_xlfn.XLOOKUP(LD_01[[#This Row],[DISCIPLINA]],'CLASSES DE PROJETOS'!$F$3:$F$37,'CLASSES DE PROJETOS'!$C$3:$C$37)</f>
        <v>DV</v>
      </c>
      <c r="H683" t="str">
        <f>_xlfn.TEXTJOIN("/",TRUE,"MSV-163MS-"&amp;LD_01[[#This Row],[TRECHO]],_xlfn.XLOOKUP(LD_01[[#This Row],[SIGLA]],'CLASSES DE PROJETOS'!$C$3:$C$37,'CLASSES DE PROJETOS'!$E$3:$E$37))</f>
        <v>MSV-163MS-535-545/12.DV</v>
      </c>
      <c r="I683" s="6" t="str" cm="1">
        <f t="array" ref="I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J683" s="6" t="str" cm="1">
        <f t="array" ref="J683">_xlfn.TEXTJOIN(", ",TRUE,_xlfn.UNIQUE(_xlfn._xlws.FILTER(ARQUIVOS_RECEBIDOS!$F$2:$F$5010,ARQUIVOS_RECEBIDOS!$E$2:$E$5010=LD_01[[#This Row],[DOCUMENTO]])))</f>
        <v>R01</v>
      </c>
      <c r="K683" s="12" cm="1">
        <f t="array" ref="K683">_xlfn.UNIQUE(_xlfn._xlws.FILTER(ARQUIVOS[DATA RECEBIMENTO],(ARQUIVOS[DOCUMENTO]=LD_01[[#This Row],[DOCUMENTO]])*(ARQUIVOS[REVISÃO]=LD_01[[#This Row],[REVISÃO]])))</f>
        <v>45838</v>
      </c>
      <c r="L6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M683" s="6" t="str">
        <f>LD_01[[#This Row],[PASTA]]&amp;"/"&amp;LD_01[[#This Row],[ARQUIVO]]</f>
        <v>MSV-163MS-535-545/12.DV/MSV-163MS-535-545-ACA-EXE-DE-O2-015-R01.pdf</v>
      </c>
    </row>
    <row r="684" spans="1:13" ht="28.8" hidden="1" x14ac:dyDescent="0.3">
      <c r="A684" s="6" t="s">
        <v>3493</v>
      </c>
      <c r="B684" s="6" t="str">
        <f>VLOOKUP(LD_01[[#This Row],[DOCUMENTO]],_xlfn.SORTBY(ARQUIVOS_RECEBIDOS!$E$2:$F$5010,ARQUIVOS_RECEBIDOS!$F$2:$F$5010,-1),2,)</f>
        <v>R01</v>
      </c>
      <c r="C684" s="15" t="s">
        <v>5987</v>
      </c>
      <c r="D684" s="6" t="s">
        <v>4317</v>
      </c>
      <c r="E684" s="8" t="s">
        <v>4126</v>
      </c>
      <c r="F684" s="8" t="s">
        <v>4144</v>
      </c>
      <c r="G684" s="6" t="str">
        <f>_xlfn.XLOOKUP(LD_01[[#This Row],[DISCIPLINA]],'CLASSES DE PROJETOS'!$F$3:$F$37,'CLASSES DE PROJETOS'!$C$3:$C$37)</f>
        <v>DV</v>
      </c>
      <c r="H684" t="str">
        <f>_xlfn.TEXTJOIN("/",TRUE,"MSV-163MS-"&amp;LD_01[[#This Row],[TRECHO]],_xlfn.XLOOKUP(LD_01[[#This Row],[SIGLA]],'CLASSES DE PROJETOS'!$C$3:$C$37,'CLASSES DE PROJETOS'!$E$3:$E$37))</f>
        <v>MSV-163MS-535-545/12.DV</v>
      </c>
      <c r="I684" s="6" t="str" cm="1">
        <f t="array" ref="I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J684" s="6" t="str" cm="1">
        <f t="array" ref="J684">_xlfn.TEXTJOIN(", ",TRUE,_xlfn.UNIQUE(_xlfn._xlws.FILTER(ARQUIVOS_RECEBIDOS!$F$2:$F$5010,ARQUIVOS_RECEBIDOS!$E$2:$E$5010=LD_01[[#This Row],[DOCUMENTO]])))</f>
        <v>R01</v>
      </c>
      <c r="K684" s="12" cm="1">
        <f t="array" ref="K684">_xlfn.UNIQUE(_xlfn._xlws.FILTER(ARQUIVOS[DATA RECEBIMENTO],(ARQUIVOS[DOCUMENTO]=LD_01[[#This Row],[DOCUMENTO]])*(ARQUIVOS[REVISÃO]=LD_01[[#This Row],[REVISÃO]])))</f>
        <v>45838</v>
      </c>
      <c r="L6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M684" s="6" t="str">
        <f>LD_01[[#This Row],[PASTA]]&amp;"/"&amp;LD_01[[#This Row],[ARQUIVO]]</f>
        <v>MSV-163MS-535-545/12.DV/MSV-163MS-535-545-ACA-EXE-DE-O2-016-R01.pdf</v>
      </c>
    </row>
    <row r="685" spans="1:13" ht="28.8" hidden="1" x14ac:dyDescent="0.3">
      <c r="A685" s="6" t="s">
        <v>3494</v>
      </c>
      <c r="B685" s="6" t="str">
        <f>VLOOKUP(LD_01[[#This Row],[DOCUMENTO]],_xlfn.SORTBY(ARQUIVOS_RECEBIDOS!$E$2:$F$5010,ARQUIVOS_RECEBIDOS!$F$2:$F$5010,-1),2,)</f>
        <v>R01</v>
      </c>
      <c r="C685" s="15" t="s">
        <v>5987</v>
      </c>
      <c r="D685" s="6" t="s">
        <v>4317</v>
      </c>
      <c r="E685" s="8" t="s">
        <v>4126</v>
      </c>
      <c r="F685" s="8" t="s">
        <v>4144</v>
      </c>
      <c r="G685" s="6" t="str">
        <f>_xlfn.XLOOKUP(LD_01[[#This Row],[DISCIPLINA]],'CLASSES DE PROJETOS'!$F$3:$F$37,'CLASSES DE PROJETOS'!$C$3:$C$37)</f>
        <v>DV</v>
      </c>
      <c r="H685" t="str">
        <f>_xlfn.TEXTJOIN("/",TRUE,"MSV-163MS-"&amp;LD_01[[#This Row],[TRECHO]],_xlfn.XLOOKUP(LD_01[[#This Row],[SIGLA]],'CLASSES DE PROJETOS'!$C$3:$C$37,'CLASSES DE PROJETOS'!$E$3:$E$37))</f>
        <v>MSV-163MS-535-545/12.DV</v>
      </c>
      <c r="I685" s="6" t="str" cm="1">
        <f t="array" ref="I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J685" s="6" t="str" cm="1">
        <f t="array" ref="J685">_xlfn.TEXTJOIN(", ",TRUE,_xlfn.UNIQUE(_xlfn._xlws.FILTER(ARQUIVOS_RECEBIDOS!$F$2:$F$5010,ARQUIVOS_RECEBIDOS!$E$2:$E$5010=LD_01[[#This Row],[DOCUMENTO]])))</f>
        <v>R01</v>
      </c>
      <c r="K685" s="12" cm="1">
        <f t="array" ref="K685">_xlfn.UNIQUE(_xlfn._xlws.FILTER(ARQUIVOS[DATA RECEBIMENTO],(ARQUIVOS[DOCUMENTO]=LD_01[[#This Row],[DOCUMENTO]])*(ARQUIVOS[REVISÃO]=LD_01[[#This Row],[REVISÃO]])))</f>
        <v>45838</v>
      </c>
      <c r="L6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M685" s="6" t="str">
        <f>LD_01[[#This Row],[PASTA]]&amp;"/"&amp;LD_01[[#This Row],[ARQUIVO]]</f>
        <v>MSV-163MS-535-545/12.DV/MSV-163MS-535-545-ACA-EXE-DE-O2-017-R01.pdf</v>
      </c>
    </row>
    <row r="686" spans="1:13" ht="28.8" hidden="1" x14ac:dyDescent="0.3">
      <c r="A686" s="6" t="s">
        <v>3495</v>
      </c>
      <c r="B686" s="6" t="str">
        <f>VLOOKUP(LD_01[[#This Row],[DOCUMENTO]],_xlfn.SORTBY(ARQUIVOS_RECEBIDOS!$E$2:$F$5010,ARQUIVOS_RECEBIDOS!$F$2:$F$5010,-1),2,)</f>
        <v>R01</v>
      </c>
      <c r="C686" s="15" t="s">
        <v>5987</v>
      </c>
      <c r="D686" s="6" t="s">
        <v>4317</v>
      </c>
      <c r="E686" s="8" t="s">
        <v>4126</v>
      </c>
      <c r="F686" s="8" t="s">
        <v>4144</v>
      </c>
      <c r="G686" s="6" t="str">
        <f>_xlfn.XLOOKUP(LD_01[[#This Row],[DISCIPLINA]],'CLASSES DE PROJETOS'!$F$3:$F$37,'CLASSES DE PROJETOS'!$C$3:$C$37)</f>
        <v>DV</v>
      </c>
      <c r="H686" t="str">
        <f>_xlfn.TEXTJOIN("/",TRUE,"MSV-163MS-"&amp;LD_01[[#This Row],[TRECHO]],_xlfn.XLOOKUP(LD_01[[#This Row],[SIGLA]],'CLASSES DE PROJETOS'!$C$3:$C$37,'CLASSES DE PROJETOS'!$E$3:$E$37))</f>
        <v>MSV-163MS-535-545/12.DV</v>
      </c>
      <c r="I686" s="6" t="str" cm="1">
        <f t="array" ref="I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J686" s="6" t="str" cm="1">
        <f t="array" ref="J686">_xlfn.TEXTJOIN(", ",TRUE,_xlfn.UNIQUE(_xlfn._xlws.FILTER(ARQUIVOS_RECEBIDOS!$F$2:$F$5010,ARQUIVOS_RECEBIDOS!$E$2:$E$5010=LD_01[[#This Row],[DOCUMENTO]])))</f>
        <v>R01</v>
      </c>
      <c r="K686" s="12" cm="1">
        <f t="array" ref="K686">_xlfn.UNIQUE(_xlfn._xlws.FILTER(ARQUIVOS[DATA RECEBIMENTO],(ARQUIVOS[DOCUMENTO]=LD_01[[#This Row],[DOCUMENTO]])*(ARQUIVOS[REVISÃO]=LD_01[[#This Row],[REVISÃO]])))</f>
        <v>45838</v>
      </c>
      <c r="L6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M686" s="6" t="str">
        <f>LD_01[[#This Row],[PASTA]]&amp;"/"&amp;LD_01[[#This Row],[ARQUIVO]]</f>
        <v>MSV-163MS-535-545/12.DV/MSV-163MS-535-545-ACA-EXE-DE-O2-018-R01.pdf</v>
      </c>
    </row>
    <row r="687" spans="1:13" ht="28.8" hidden="1" x14ac:dyDescent="0.3">
      <c r="A687" s="6" t="s">
        <v>3496</v>
      </c>
      <c r="B687" s="6" t="str">
        <f>VLOOKUP(LD_01[[#This Row],[DOCUMENTO]],_xlfn.SORTBY(ARQUIVOS_RECEBIDOS!$E$2:$F$5010,ARQUIVOS_RECEBIDOS!$F$2:$F$5010,-1),2,)</f>
        <v>R01</v>
      </c>
      <c r="C687" s="15" t="s">
        <v>5987</v>
      </c>
      <c r="D687" s="6" t="s">
        <v>4317</v>
      </c>
      <c r="E687" s="8" t="s">
        <v>4126</v>
      </c>
      <c r="F687" s="8" t="s">
        <v>4144</v>
      </c>
      <c r="G687" s="6" t="str">
        <f>_xlfn.XLOOKUP(LD_01[[#This Row],[DISCIPLINA]],'CLASSES DE PROJETOS'!$F$3:$F$37,'CLASSES DE PROJETOS'!$C$3:$C$37)</f>
        <v>DV</v>
      </c>
      <c r="H687" t="str">
        <f>_xlfn.TEXTJOIN("/",TRUE,"MSV-163MS-"&amp;LD_01[[#This Row],[TRECHO]],_xlfn.XLOOKUP(LD_01[[#This Row],[SIGLA]],'CLASSES DE PROJETOS'!$C$3:$C$37,'CLASSES DE PROJETOS'!$E$3:$E$37))</f>
        <v>MSV-163MS-535-545/12.DV</v>
      </c>
      <c r="I687" s="6" t="str" cm="1">
        <f t="array" ref="I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J687" s="6" t="str" cm="1">
        <f t="array" ref="J687">_xlfn.TEXTJOIN(", ",TRUE,_xlfn.UNIQUE(_xlfn._xlws.FILTER(ARQUIVOS_RECEBIDOS!$F$2:$F$5010,ARQUIVOS_RECEBIDOS!$E$2:$E$5010=LD_01[[#This Row],[DOCUMENTO]])))</f>
        <v>R01</v>
      </c>
      <c r="K687" s="12" cm="1">
        <f t="array" ref="K687">_xlfn.UNIQUE(_xlfn._xlws.FILTER(ARQUIVOS[DATA RECEBIMENTO],(ARQUIVOS[DOCUMENTO]=LD_01[[#This Row],[DOCUMENTO]])*(ARQUIVOS[REVISÃO]=LD_01[[#This Row],[REVISÃO]])))</f>
        <v>45838</v>
      </c>
      <c r="L6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M687" s="6" t="str">
        <f>LD_01[[#This Row],[PASTA]]&amp;"/"&amp;LD_01[[#This Row],[ARQUIVO]]</f>
        <v>MSV-163MS-535-545/12.DV/MSV-163MS-535-545-ACA-EXE-DE-O2-019-R01.pdf</v>
      </c>
    </row>
    <row r="688" spans="1:13" ht="28.8" hidden="1" x14ac:dyDescent="0.3">
      <c r="A688" s="6" t="s">
        <v>3497</v>
      </c>
      <c r="B688" s="6" t="str">
        <f>VLOOKUP(LD_01[[#This Row],[DOCUMENTO]],_xlfn.SORTBY(ARQUIVOS_RECEBIDOS!$E$2:$F$5010,ARQUIVOS_RECEBIDOS!$F$2:$F$5010,-1),2,)</f>
        <v>R00</v>
      </c>
      <c r="C688" s="15" t="s">
        <v>5987</v>
      </c>
      <c r="D688" s="6" t="s">
        <v>4317</v>
      </c>
      <c r="E688" s="8" t="s">
        <v>4126</v>
      </c>
      <c r="F688" s="8" t="s">
        <v>4144</v>
      </c>
      <c r="G688" s="6" t="str">
        <f>_xlfn.XLOOKUP(LD_01[[#This Row],[DISCIPLINA]],'CLASSES DE PROJETOS'!$F$3:$F$37,'CLASSES DE PROJETOS'!$C$3:$C$37)</f>
        <v>DV</v>
      </c>
      <c r="H688" t="str">
        <f>_xlfn.TEXTJOIN("/",TRUE,"MSV-163MS-"&amp;LD_01[[#This Row],[TRECHO]],_xlfn.XLOOKUP(LD_01[[#This Row],[SIGLA]],'CLASSES DE PROJETOS'!$C$3:$C$37,'CLASSES DE PROJETOS'!$E$3:$E$37))</f>
        <v>MSV-163MS-535-545/12.DV</v>
      </c>
      <c r="I688" s="6" t="str" cm="1">
        <f t="array" ref="I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J688" s="6" t="str" cm="1">
        <f t="array" ref="J688">_xlfn.TEXTJOIN(", ",TRUE,_xlfn.UNIQUE(_xlfn._xlws.FILTER(ARQUIVOS_RECEBIDOS!$F$2:$F$5010,ARQUIVOS_RECEBIDOS!$E$2:$E$5010=LD_01[[#This Row],[DOCUMENTO]])))</f>
        <v>R00</v>
      </c>
      <c r="K688" s="12" cm="1">
        <f t="array" ref="K688">_xlfn.UNIQUE(_xlfn._xlws.FILTER(ARQUIVOS[DATA RECEBIMENTO],(ARQUIVOS[DOCUMENTO]=LD_01[[#This Row],[DOCUMENTO]])*(ARQUIVOS[REVISÃO]=LD_01[[#This Row],[REVISÃO]])))</f>
        <v>45838</v>
      </c>
      <c r="L6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M688" s="6" t="str">
        <f>LD_01[[#This Row],[PASTA]]&amp;"/"&amp;LD_01[[#This Row],[ARQUIVO]]</f>
        <v>MSV-163MS-535-545/12.DV/MSV-163MS-535-545-ACA-EXE-DE-O2-020-R00.pdf</v>
      </c>
    </row>
    <row r="689" spans="1:13" ht="28.8" hidden="1" x14ac:dyDescent="0.3">
      <c r="A689" s="6" t="s">
        <v>3498</v>
      </c>
      <c r="B689" s="6" t="str">
        <f>VLOOKUP(LD_01[[#This Row],[DOCUMENTO]],_xlfn.SORTBY(ARQUIVOS_RECEBIDOS!$E$2:$F$5010,ARQUIVOS_RECEBIDOS!$F$2:$F$5010,-1),2,)</f>
        <v>R01</v>
      </c>
      <c r="C689" s="15" t="s">
        <v>5987</v>
      </c>
      <c r="D689" s="6" t="s">
        <v>4317</v>
      </c>
      <c r="E689" s="8" t="s">
        <v>4126</v>
      </c>
      <c r="F689" s="8" t="s">
        <v>4144</v>
      </c>
      <c r="G689" s="6" t="str">
        <f>_xlfn.XLOOKUP(LD_01[[#This Row],[DISCIPLINA]],'CLASSES DE PROJETOS'!$F$3:$F$37,'CLASSES DE PROJETOS'!$C$3:$C$37)</f>
        <v>DV</v>
      </c>
      <c r="H689" t="str">
        <f>_xlfn.TEXTJOIN("/",TRUE,"MSV-163MS-"&amp;LD_01[[#This Row],[TRECHO]],_xlfn.XLOOKUP(LD_01[[#This Row],[SIGLA]],'CLASSES DE PROJETOS'!$C$3:$C$37,'CLASSES DE PROJETOS'!$E$3:$E$37))</f>
        <v>MSV-163MS-535-545/12.DV</v>
      </c>
      <c r="I689" s="6" t="str" cm="1">
        <f t="array" ref="I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J689" s="6" t="str" cm="1">
        <f t="array" ref="J689">_xlfn.TEXTJOIN(", ",TRUE,_xlfn.UNIQUE(_xlfn._xlws.FILTER(ARQUIVOS_RECEBIDOS!$F$2:$F$5010,ARQUIVOS_RECEBIDOS!$E$2:$E$5010=LD_01[[#This Row],[DOCUMENTO]])))</f>
        <v>R01</v>
      </c>
      <c r="K689" s="12" cm="1">
        <f t="array" ref="K689">_xlfn.UNIQUE(_xlfn._xlws.FILTER(ARQUIVOS[DATA RECEBIMENTO],(ARQUIVOS[DOCUMENTO]=LD_01[[#This Row],[DOCUMENTO]])*(ARQUIVOS[REVISÃO]=LD_01[[#This Row],[REVISÃO]])))</f>
        <v>45838</v>
      </c>
      <c r="L6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M689" s="6" t="str">
        <f>LD_01[[#This Row],[PASTA]]&amp;"/"&amp;LD_01[[#This Row],[ARQUIVO]]</f>
        <v>MSV-163MS-535-545/12.DV/MSV-163MS-535-545-ACA-EXE-DE-O2-021-R01.pdf</v>
      </c>
    </row>
    <row r="690" spans="1:13" ht="28.8" hidden="1" x14ac:dyDescent="0.3">
      <c r="A690" s="6" t="s">
        <v>3499</v>
      </c>
      <c r="B690" s="6" t="str">
        <f>VLOOKUP(LD_01[[#This Row],[DOCUMENTO]],_xlfn.SORTBY(ARQUIVOS_RECEBIDOS!$E$2:$F$5010,ARQUIVOS_RECEBIDOS!$F$2:$F$5010,-1),2,)</f>
        <v>R01</v>
      </c>
      <c r="C690" s="15" t="s">
        <v>5987</v>
      </c>
      <c r="D690" s="6" t="s">
        <v>4317</v>
      </c>
      <c r="E690" s="8" t="s">
        <v>4126</v>
      </c>
      <c r="F690" s="8" t="s">
        <v>4144</v>
      </c>
      <c r="G690" s="6" t="str">
        <f>_xlfn.XLOOKUP(LD_01[[#This Row],[DISCIPLINA]],'CLASSES DE PROJETOS'!$F$3:$F$37,'CLASSES DE PROJETOS'!$C$3:$C$37)</f>
        <v>DV</v>
      </c>
      <c r="H690" t="str">
        <f>_xlfn.TEXTJOIN("/",TRUE,"MSV-163MS-"&amp;LD_01[[#This Row],[TRECHO]],_xlfn.XLOOKUP(LD_01[[#This Row],[SIGLA]],'CLASSES DE PROJETOS'!$C$3:$C$37,'CLASSES DE PROJETOS'!$E$3:$E$37))</f>
        <v>MSV-163MS-535-545/12.DV</v>
      </c>
      <c r="I690" s="6" t="str" cm="1">
        <f t="array" ref="I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J690" s="6" t="str" cm="1">
        <f t="array" ref="J690">_xlfn.TEXTJOIN(", ",TRUE,_xlfn.UNIQUE(_xlfn._xlws.FILTER(ARQUIVOS_RECEBIDOS!$F$2:$F$5010,ARQUIVOS_RECEBIDOS!$E$2:$E$5010=LD_01[[#This Row],[DOCUMENTO]])))</f>
        <v>R01</v>
      </c>
      <c r="K690" s="12" cm="1">
        <f t="array" ref="K690">_xlfn.UNIQUE(_xlfn._xlws.FILTER(ARQUIVOS[DATA RECEBIMENTO],(ARQUIVOS[DOCUMENTO]=LD_01[[#This Row],[DOCUMENTO]])*(ARQUIVOS[REVISÃO]=LD_01[[#This Row],[REVISÃO]])))</f>
        <v>45838</v>
      </c>
      <c r="L6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M690" s="6" t="str">
        <f>LD_01[[#This Row],[PASTA]]&amp;"/"&amp;LD_01[[#This Row],[ARQUIVO]]</f>
        <v>MSV-163MS-535-545/12.DV/MSV-163MS-535-545-ACA-EXE-DE-O2-022-R01.pdf</v>
      </c>
    </row>
    <row r="691" spans="1:13" ht="28.8" hidden="1" x14ac:dyDescent="0.3">
      <c r="A691" s="6" t="s">
        <v>3500</v>
      </c>
      <c r="B691" s="6" t="str">
        <f>VLOOKUP(LD_01[[#This Row],[DOCUMENTO]],_xlfn.SORTBY(ARQUIVOS_RECEBIDOS!$E$2:$F$5010,ARQUIVOS_RECEBIDOS!$F$2:$F$5010,-1),2,)</f>
        <v>R01</v>
      </c>
      <c r="C691" s="15" t="s">
        <v>5987</v>
      </c>
      <c r="D691" s="6" t="s">
        <v>4317</v>
      </c>
      <c r="E691" s="8" t="s">
        <v>4126</v>
      </c>
      <c r="F691" s="8" t="s">
        <v>4144</v>
      </c>
      <c r="G691" s="6" t="str">
        <f>_xlfn.XLOOKUP(LD_01[[#This Row],[DISCIPLINA]],'CLASSES DE PROJETOS'!$F$3:$F$37,'CLASSES DE PROJETOS'!$C$3:$C$37)</f>
        <v>DV</v>
      </c>
      <c r="H691" t="str">
        <f>_xlfn.TEXTJOIN("/",TRUE,"MSV-163MS-"&amp;LD_01[[#This Row],[TRECHO]],_xlfn.XLOOKUP(LD_01[[#This Row],[SIGLA]],'CLASSES DE PROJETOS'!$C$3:$C$37,'CLASSES DE PROJETOS'!$E$3:$E$37))</f>
        <v>MSV-163MS-535-545/12.DV</v>
      </c>
      <c r="I691" s="6" t="str" cm="1">
        <f t="array" ref="I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J691" s="6" t="str" cm="1">
        <f t="array" ref="J691">_xlfn.TEXTJOIN(", ",TRUE,_xlfn.UNIQUE(_xlfn._xlws.FILTER(ARQUIVOS_RECEBIDOS!$F$2:$F$5010,ARQUIVOS_RECEBIDOS!$E$2:$E$5010=LD_01[[#This Row],[DOCUMENTO]])))</f>
        <v>R01</v>
      </c>
      <c r="K691" s="12" cm="1">
        <f t="array" ref="K691">_xlfn.UNIQUE(_xlfn._xlws.FILTER(ARQUIVOS[DATA RECEBIMENTO],(ARQUIVOS[DOCUMENTO]=LD_01[[#This Row],[DOCUMENTO]])*(ARQUIVOS[REVISÃO]=LD_01[[#This Row],[REVISÃO]])))</f>
        <v>45838</v>
      </c>
      <c r="L6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M691" s="6" t="str">
        <f>LD_01[[#This Row],[PASTA]]&amp;"/"&amp;LD_01[[#This Row],[ARQUIVO]]</f>
        <v>MSV-163MS-535-545/12.DV/MSV-163MS-535-545-ACA-EXE-DE-O2-023-R01.pdf</v>
      </c>
    </row>
    <row r="692" spans="1:13" ht="28.8" hidden="1" x14ac:dyDescent="0.3">
      <c r="A692" s="6" t="s">
        <v>3501</v>
      </c>
      <c r="B692" s="6" t="str">
        <f>VLOOKUP(LD_01[[#This Row],[DOCUMENTO]],_xlfn.SORTBY(ARQUIVOS_RECEBIDOS!$E$2:$F$5010,ARQUIVOS_RECEBIDOS!$F$2:$F$5010,-1),2,)</f>
        <v>R02</v>
      </c>
      <c r="C692" s="15" t="s">
        <v>5987</v>
      </c>
      <c r="D692" s="6" t="s">
        <v>4317</v>
      </c>
      <c r="E692" s="8" t="s">
        <v>4089</v>
      </c>
      <c r="F692" s="8" t="s">
        <v>4144</v>
      </c>
      <c r="G692" s="6" t="str">
        <f>_xlfn.XLOOKUP(LD_01[[#This Row],[DISCIPLINA]],'CLASSES DE PROJETOS'!$F$3:$F$37,'CLASSES DE PROJETOS'!$C$3:$C$37)</f>
        <v>DV</v>
      </c>
      <c r="H692" t="str">
        <f>_xlfn.TEXTJOIN("/",TRUE,"MSV-163MS-"&amp;LD_01[[#This Row],[TRECHO]],_xlfn.XLOOKUP(LD_01[[#This Row],[SIGLA]],'CLASSES DE PROJETOS'!$C$3:$C$37,'CLASSES DE PROJETOS'!$E$3:$E$37))</f>
        <v>MSV-163MS-535-545/12.DV</v>
      </c>
      <c r="I692" s="6" t="str" cm="1">
        <f t="array" ref="I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J692" s="6" t="str" cm="1">
        <f t="array" ref="J692">_xlfn.TEXTJOIN(", ",TRUE,_xlfn.UNIQUE(_xlfn._xlws.FILTER(ARQUIVOS_RECEBIDOS!$F$2:$F$5010,ARQUIVOS_RECEBIDOS!$E$2:$E$5010=LD_01[[#This Row],[DOCUMENTO]])))</f>
        <v>R02</v>
      </c>
      <c r="K692" s="12" cm="1">
        <f t="array" ref="K692">_xlfn.UNIQUE(_xlfn._xlws.FILTER(ARQUIVOS[DATA RECEBIMENTO],(ARQUIVOS[DOCUMENTO]=LD_01[[#This Row],[DOCUMENTO]])*(ARQUIVOS[REVISÃO]=LD_01[[#This Row],[REVISÃO]])))</f>
        <v>45838</v>
      </c>
      <c r="L6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M692" s="6" t="str">
        <f>LD_01[[#This Row],[PASTA]]&amp;"/"&amp;LD_01[[#This Row],[ARQUIVO]]</f>
        <v>MSV-163MS-535-545/12.DV/MSV-163MS-535-545-ACA-EXE-DE-O2-024-R02.pdf</v>
      </c>
    </row>
    <row r="693" spans="1:13" ht="28.8" hidden="1" x14ac:dyDescent="0.3">
      <c r="A693" s="6" t="s">
        <v>3466</v>
      </c>
      <c r="B693" s="6" t="str">
        <f>VLOOKUP(LD_01[[#This Row],[DOCUMENTO]],_xlfn.SORTBY(ARQUIVOS_RECEBIDOS!$E$2:$F$5010,ARQUIVOS_RECEBIDOS!$F$2:$F$5010,-1),2,)</f>
        <v>R02</v>
      </c>
      <c r="C693" s="15" t="s">
        <v>5987</v>
      </c>
      <c r="D693" s="6" t="s">
        <v>4317</v>
      </c>
      <c r="E693" s="8" t="s">
        <v>4192</v>
      </c>
      <c r="F693" s="8" t="s">
        <v>4338</v>
      </c>
      <c r="G693" s="6" t="str">
        <f>_xlfn.XLOOKUP(LD_01[[#This Row],[DISCIPLINA]],'CLASSES DE PROJETOS'!$F$3:$F$37,'CLASSES DE PROJETOS'!$C$3:$C$37)</f>
        <v>DS</v>
      </c>
      <c r="H693" t="str">
        <f>_xlfn.TEXTJOIN("/",TRUE,"MSV-163MS-"&amp;LD_01[[#This Row],[TRECHO]],_xlfn.XLOOKUP(LD_01[[#This Row],[SIGLA]],'CLASSES DE PROJETOS'!$C$3:$C$37,'CLASSES DE PROJETOS'!$E$3:$E$37))</f>
        <v>MSV-163MS-535-545/11.DS</v>
      </c>
      <c r="I693" s="6" t="str" cm="1">
        <f t="array" ref="I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J693" s="6" t="str" cm="1">
        <f t="array" ref="J693">_xlfn.TEXTJOIN(", ",TRUE,_xlfn.UNIQUE(_xlfn._xlws.FILTER(ARQUIVOS_RECEBIDOS!$F$2:$F$5010,ARQUIVOS_RECEBIDOS!$E$2:$E$5010=LD_01[[#This Row],[DOCUMENTO]])))</f>
        <v>R02</v>
      </c>
      <c r="K693" s="12" cm="1">
        <f t="array" ref="K693">_xlfn.UNIQUE(_xlfn._xlws.FILTER(ARQUIVOS[DATA RECEBIMENTO],(ARQUIVOS[DOCUMENTO]=LD_01[[#This Row],[DOCUMENTO]])*(ARQUIVOS[REVISÃO]=LD_01[[#This Row],[REVISÃO]])))</f>
        <v>45838</v>
      </c>
      <c r="L6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M693" s="6" t="str">
        <f>LD_01[[#This Row],[PASTA]]&amp;"/"&amp;LD_01[[#This Row],[ARQUIVO]]</f>
        <v>MSV-163MS-535-545/11.DS/MSV-163MS-535-545-ACA-EXE-DE-Q1-001-R02.pdf</v>
      </c>
    </row>
    <row r="694" spans="1:13" ht="28.8" hidden="1" x14ac:dyDescent="0.3">
      <c r="A694" s="6" t="s">
        <v>3467</v>
      </c>
      <c r="B694" s="6" t="str">
        <f>VLOOKUP(LD_01[[#This Row],[DOCUMENTO]],_xlfn.SORTBY(ARQUIVOS_RECEBIDOS!$E$2:$F$5010,ARQUIVOS_RECEBIDOS!$F$2:$F$5010,-1),2,)</f>
        <v>R02</v>
      </c>
      <c r="C694" s="15" t="s">
        <v>5987</v>
      </c>
      <c r="D694" s="6" t="s">
        <v>4317</v>
      </c>
      <c r="E694" s="8" t="s">
        <v>4192</v>
      </c>
      <c r="F694" s="8" t="s">
        <v>4338</v>
      </c>
      <c r="G694" s="6" t="str">
        <f>_xlfn.XLOOKUP(LD_01[[#This Row],[DISCIPLINA]],'CLASSES DE PROJETOS'!$F$3:$F$37,'CLASSES DE PROJETOS'!$C$3:$C$37)</f>
        <v>DS</v>
      </c>
      <c r="H694" t="str">
        <f>_xlfn.TEXTJOIN("/",TRUE,"MSV-163MS-"&amp;LD_01[[#This Row],[TRECHO]],_xlfn.XLOOKUP(LD_01[[#This Row],[SIGLA]],'CLASSES DE PROJETOS'!$C$3:$C$37,'CLASSES DE PROJETOS'!$E$3:$E$37))</f>
        <v>MSV-163MS-535-545/11.DS</v>
      </c>
      <c r="I694" s="6" t="str" cm="1">
        <f t="array" ref="I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J694" s="6" t="str" cm="1">
        <f t="array" ref="J694">_xlfn.TEXTJOIN(", ",TRUE,_xlfn.UNIQUE(_xlfn._xlws.FILTER(ARQUIVOS_RECEBIDOS!$F$2:$F$5010,ARQUIVOS_RECEBIDOS!$E$2:$E$5010=LD_01[[#This Row],[DOCUMENTO]])))</f>
        <v>R02</v>
      </c>
      <c r="K694" s="12" cm="1">
        <f t="array" ref="K694">_xlfn.UNIQUE(_xlfn._xlws.FILTER(ARQUIVOS[DATA RECEBIMENTO],(ARQUIVOS[DOCUMENTO]=LD_01[[#This Row],[DOCUMENTO]])*(ARQUIVOS[REVISÃO]=LD_01[[#This Row],[REVISÃO]])))</f>
        <v>45838</v>
      </c>
      <c r="L6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M694" s="6" t="str">
        <f>LD_01[[#This Row],[PASTA]]&amp;"/"&amp;LD_01[[#This Row],[ARQUIVO]]</f>
        <v>MSV-163MS-535-545/11.DS/MSV-163MS-535-545-ACA-EXE-DE-Q1-002-R02.pdf</v>
      </c>
    </row>
    <row r="695" spans="1:13" ht="28.8" hidden="1" x14ac:dyDescent="0.3">
      <c r="A695" s="6" t="s">
        <v>3468</v>
      </c>
      <c r="B695" s="6" t="str">
        <f>VLOOKUP(LD_01[[#This Row],[DOCUMENTO]],_xlfn.SORTBY(ARQUIVOS_RECEBIDOS!$E$2:$F$5010,ARQUIVOS_RECEBIDOS!$F$2:$F$5010,-1),2,)</f>
        <v>R02</v>
      </c>
      <c r="C695" s="15" t="s">
        <v>5987</v>
      </c>
      <c r="D695" s="6" t="s">
        <v>4317</v>
      </c>
      <c r="E695" s="8" t="s">
        <v>4192</v>
      </c>
      <c r="F695" s="8" t="s">
        <v>4338</v>
      </c>
      <c r="G695" s="6" t="str">
        <f>_xlfn.XLOOKUP(LD_01[[#This Row],[DISCIPLINA]],'CLASSES DE PROJETOS'!$F$3:$F$37,'CLASSES DE PROJETOS'!$C$3:$C$37)</f>
        <v>DS</v>
      </c>
      <c r="H695" t="str">
        <f>_xlfn.TEXTJOIN("/",TRUE,"MSV-163MS-"&amp;LD_01[[#This Row],[TRECHO]],_xlfn.XLOOKUP(LD_01[[#This Row],[SIGLA]],'CLASSES DE PROJETOS'!$C$3:$C$37,'CLASSES DE PROJETOS'!$E$3:$E$37))</f>
        <v>MSV-163MS-535-545/11.DS</v>
      </c>
      <c r="I695" s="6" t="str" cm="1">
        <f t="array" ref="I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J695" s="6" t="str" cm="1">
        <f t="array" ref="J695">_xlfn.TEXTJOIN(", ",TRUE,_xlfn.UNIQUE(_xlfn._xlws.FILTER(ARQUIVOS_RECEBIDOS!$F$2:$F$5010,ARQUIVOS_RECEBIDOS!$E$2:$E$5010=LD_01[[#This Row],[DOCUMENTO]])))</f>
        <v>R02</v>
      </c>
      <c r="K695" s="12" cm="1">
        <f t="array" ref="K695">_xlfn.UNIQUE(_xlfn._xlws.FILTER(ARQUIVOS[DATA RECEBIMENTO],(ARQUIVOS[DOCUMENTO]=LD_01[[#This Row],[DOCUMENTO]])*(ARQUIVOS[REVISÃO]=LD_01[[#This Row],[REVISÃO]])))</f>
        <v>45838</v>
      </c>
      <c r="L6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M695" s="6" t="str">
        <f>LD_01[[#This Row],[PASTA]]&amp;"/"&amp;LD_01[[#This Row],[ARQUIVO]]</f>
        <v>MSV-163MS-535-545/11.DS/MSV-163MS-535-545-ACA-EXE-DE-Q1-003-R02.pdf</v>
      </c>
    </row>
    <row r="696" spans="1:13" ht="28.8" hidden="1" x14ac:dyDescent="0.3">
      <c r="A696" s="6" t="s">
        <v>3469</v>
      </c>
      <c r="B696" s="6" t="str">
        <f>VLOOKUP(LD_01[[#This Row],[DOCUMENTO]],_xlfn.SORTBY(ARQUIVOS_RECEBIDOS!$E$2:$F$5010,ARQUIVOS_RECEBIDOS!$F$2:$F$5010,-1),2,)</f>
        <v>R02</v>
      </c>
      <c r="C696" s="15" t="s">
        <v>5987</v>
      </c>
      <c r="D696" s="6" t="s">
        <v>4317</v>
      </c>
      <c r="E696" s="8" t="s">
        <v>4192</v>
      </c>
      <c r="F696" s="8" t="s">
        <v>4338</v>
      </c>
      <c r="G696" s="6" t="str">
        <f>_xlfn.XLOOKUP(LD_01[[#This Row],[DISCIPLINA]],'CLASSES DE PROJETOS'!$F$3:$F$37,'CLASSES DE PROJETOS'!$C$3:$C$37)</f>
        <v>DS</v>
      </c>
      <c r="H696" t="str">
        <f>_xlfn.TEXTJOIN("/",TRUE,"MSV-163MS-"&amp;LD_01[[#This Row],[TRECHO]],_xlfn.XLOOKUP(LD_01[[#This Row],[SIGLA]],'CLASSES DE PROJETOS'!$C$3:$C$37,'CLASSES DE PROJETOS'!$E$3:$E$37))</f>
        <v>MSV-163MS-535-545/11.DS</v>
      </c>
      <c r="I696" s="6" t="str" cm="1">
        <f t="array" ref="I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J696" s="6" t="str" cm="1">
        <f t="array" ref="J696">_xlfn.TEXTJOIN(", ",TRUE,_xlfn.UNIQUE(_xlfn._xlws.FILTER(ARQUIVOS_RECEBIDOS!$F$2:$F$5010,ARQUIVOS_RECEBIDOS!$E$2:$E$5010=LD_01[[#This Row],[DOCUMENTO]])))</f>
        <v>R02</v>
      </c>
      <c r="K696" s="12" cm="1">
        <f t="array" ref="K696">_xlfn.UNIQUE(_xlfn._xlws.FILTER(ARQUIVOS[DATA RECEBIMENTO],(ARQUIVOS[DOCUMENTO]=LD_01[[#This Row],[DOCUMENTO]])*(ARQUIVOS[REVISÃO]=LD_01[[#This Row],[REVISÃO]])))</f>
        <v>45838</v>
      </c>
      <c r="L6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M696" s="6" t="str">
        <f>LD_01[[#This Row],[PASTA]]&amp;"/"&amp;LD_01[[#This Row],[ARQUIVO]]</f>
        <v>MSV-163MS-535-545/11.DS/MSV-163MS-535-545-ACA-EXE-DE-Q1-004-R02.pdf</v>
      </c>
    </row>
    <row r="697" spans="1:13" ht="28.8" hidden="1" x14ac:dyDescent="0.3">
      <c r="A697" s="6" t="s">
        <v>3470</v>
      </c>
      <c r="B697" s="6" t="str">
        <f>VLOOKUP(LD_01[[#This Row],[DOCUMENTO]],_xlfn.SORTBY(ARQUIVOS_RECEBIDOS!$E$2:$F$5010,ARQUIVOS_RECEBIDOS!$F$2:$F$5010,-1),2,)</f>
        <v>R02</v>
      </c>
      <c r="C697" s="15" t="s">
        <v>5987</v>
      </c>
      <c r="D697" s="6" t="s">
        <v>4317</v>
      </c>
      <c r="E697" s="8" t="s">
        <v>4192</v>
      </c>
      <c r="F697" s="8" t="s">
        <v>4338</v>
      </c>
      <c r="G697" s="6" t="str">
        <f>_xlfn.XLOOKUP(LD_01[[#This Row],[DISCIPLINA]],'CLASSES DE PROJETOS'!$F$3:$F$37,'CLASSES DE PROJETOS'!$C$3:$C$37)</f>
        <v>DS</v>
      </c>
      <c r="H697" t="str">
        <f>_xlfn.TEXTJOIN("/",TRUE,"MSV-163MS-"&amp;LD_01[[#This Row],[TRECHO]],_xlfn.XLOOKUP(LD_01[[#This Row],[SIGLA]],'CLASSES DE PROJETOS'!$C$3:$C$37,'CLASSES DE PROJETOS'!$E$3:$E$37))</f>
        <v>MSV-163MS-535-545/11.DS</v>
      </c>
      <c r="I697" s="6" t="str" cm="1">
        <f t="array" ref="I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J697" s="6" t="str" cm="1">
        <f t="array" ref="J697">_xlfn.TEXTJOIN(", ",TRUE,_xlfn.UNIQUE(_xlfn._xlws.FILTER(ARQUIVOS_RECEBIDOS!$F$2:$F$5010,ARQUIVOS_RECEBIDOS!$E$2:$E$5010=LD_01[[#This Row],[DOCUMENTO]])))</f>
        <v>R02</v>
      </c>
      <c r="K697" s="12" cm="1">
        <f t="array" ref="K697">_xlfn.UNIQUE(_xlfn._xlws.FILTER(ARQUIVOS[DATA RECEBIMENTO],(ARQUIVOS[DOCUMENTO]=LD_01[[#This Row],[DOCUMENTO]])*(ARQUIVOS[REVISÃO]=LD_01[[#This Row],[REVISÃO]])))</f>
        <v>45838</v>
      </c>
      <c r="L6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M697" s="6" t="str">
        <f>LD_01[[#This Row],[PASTA]]&amp;"/"&amp;LD_01[[#This Row],[ARQUIVO]]</f>
        <v>MSV-163MS-535-545/11.DS/MSV-163MS-535-545-ACA-EXE-DE-Q1-005-R02.pdf</v>
      </c>
    </row>
    <row r="698" spans="1:13" ht="28.8" hidden="1" x14ac:dyDescent="0.3">
      <c r="A698" s="6" t="s">
        <v>3471</v>
      </c>
      <c r="B698" s="6" t="str">
        <f>VLOOKUP(LD_01[[#This Row],[DOCUMENTO]],_xlfn.SORTBY(ARQUIVOS_RECEBIDOS!$E$2:$F$5010,ARQUIVOS_RECEBIDOS!$F$2:$F$5010,-1),2,)</f>
        <v>R02</v>
      </c>
      <c r="C698" s="15" t="s">
        <v>5987</v>
      </c>
      <c r="D698" s="6" t="s">
        <v>4317</v>
      </c>
      <c r="E698" s="8" t="s">
        <v>4192</v>
      </c>
      <c r="F698" s="8" t="s">
        <v>4338</v>
      </c>
      <c r="G698" s="6" t="str">
        <f>_xlfn.XLOOKUP(LD_01[[#This Row],[DISCIPLINA]],'CLASSES DE PROJETOS'!$F$3:$F$37,'CLASSES DE PROJETOS'!$C$3:$C$37)</f>
        <v>DS</v>
      </c>
      <c r="H698" t="str">
        <f>_xlfn.TEXTJOIN("/",TRUE,"MSV-163MS-"&amp;LD_01[[#This Row],[TRECHO]],_xlfn.XLOOKUP(LD_01[[#This Row],[SIGLA]],'CLASSES DE PROJETOS'!$C$3:$C$37,'CLASSES DE PROJETOS'!$E$3:$E$37))</f>
        <v>MSV-163MS-535-545/11.DS</v>
      </c>
      <c r="I698" s="6" t="str" cm="1">
        <f t="array" ref="I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J698" s="6" t="str" cm="1">
        <f t="array" ref="J698">_xlfn.TEXTJOIN(", ",TRUE,_xlfn.UNIQUE(_xlfn._xlws.FILTER(ARQUIVOS_RECEBIDOS!$F$2:$F$5010,ARQUIVOS_RECEBIDOS!$E$2:$E$5010=LD_01[[#This Row],[DOCUMENTO]])))</f>
        <v>R02</v>
      </c>
      <c r="K698" s="12" cm="1">
        <f t="array" ref="K698">_xlfn.UNIQUE(_xlfn._xlws.FILTER(ARQUIVOS[DATA RECEBIMENTO],(ARQUIVOS[DOCUMENTO]=LD_01[[#This Row],[DOCUMENTO]])*(ARQUIVOS[REVISÃO]=LD_01[[#This Row],[REVISÃO]])))</f>
        <v>45838</v>
      </c>
      <c r="L6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M698" s="6" t="str">
        <f>LD_01[[#This Row],[PASTA]]&amp;"/"&amp;LD_01[[#This Row],[ARQUIVO]]</f>
        <v>MSV-163MS-535-545/11.DS/MSV-163MS-535-545-ACA-EXE-DE-Q1-006-R02.pdf</v>
      </c>
    </row>
    <row r="699" spans="1:13" ht="28.8" hidden="1" x14ac:dyDescent="0.3">
      <c r="A699" s="6" t="s">
        <v>3472</v>
      </c>
      <c r="B699" s="6" t="str">
        <f>VLOOKUP(LD_01[[#This Row],[DOCUMENTO]],_xlfn.SORTBY(ARQUIVOS_RECEBIDOS!$E$2:$F$5010,ARQUIVOS_RECEBIDOS!$F$2:$F$5010,-1),2,)</f>
        <v>R02</v>
      </c>
      <c r="C699" s="15" t="s">
        <v>5987</v>
      </c>
      <c r="D699" s="6" t="s">
        <v>4317</v>
      </c>
      <c r="E699" s="8" t="s">
        <v>4192</v>
      </c>
      <c r="F699" s="8" t="s">
        <v>4338</v>
      </c>
      <c r="G699" s="6" t="str">
        <f>_xlfn.XLOOKUP(LD_01[[#This Row],[DISCIPLINA]],'CLASSES DE PROJETOS'!$F$3:$F$37,'CLASSES DE PROJETOS'!$C$3:$C$37)</f>
        <v>DS</v>
      </c>
      <c r="H699" t="str">
        <f>_xlfn.TEXTJOIN("/",TRUE,"MSV-163MS-"&amp;LD_01[[#This Row],[TRECHO]],_xlfn.XLOOKUP(LD_01[[#This Row],[SIGLA]],'CLASSES DE PROJETOS'!$C$3:$C$37,'CLASSES DE PROJETOS'!$E$3:$E$37))</f>
        <v>MSV-163MS-535-545/11.DS</v>
      </c>
      <c r="I699" s="6" t="str" cm="1">
        <f t="array" ref="I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J699" s="6" t="str" cm="1">
        <f t="array" ref="J699">_xlfn.TEXTJOIN(", ",TRUE,_xlfn.UNIQUE(_xlfn._xlws.FILTER(ARQUIVOS_RECEBIDOS!$F$2:$F$5010,ARQUIVOS_RECEBIDOS!$E$2:$E$5010=LD_01[[#This Row],[DOCUMENTO]])))</f>
        <v>R02</v>
      </c>
      <c r="K699" s="12" cm="1">
        <f t="array" ref="K699">_xlfn.UNIQUE(_xlfn._xlws.FILTER(ARQUIVOS[DATA RECEBIMENTO],(ARQUIVOS[DOCUMENTO]=LD_01[[#This Row],[DOCUMENTO]])*(ARQUIVOS[REVISÃO]=LD_01[[#This Row],[REVISÃO]])))</f>
        <v>45838</v>
      </c>
      <c r="L6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M699" s="6" t="str">
        <f>LD_01[[#This Row],[PASTA]]&amp;"/"&amp;LD_01[[#This Row],[ARQUIVO]]</f>
        <v>MSV-163MS-535-545/11.DS/MSV-163MS-535-545-ACA-EXE-DE-Q1-007-R02.pdf</v>
      </c>
    </row>
    <row r="700" spans="1:13" ht="28.8" hidden="1" x14ac:dyDescent="0.3">
      <c r="A700" s="6" t="s">
        <v>3473</v>
      </c>
      <c r="B700" s="6" t="str">
        <f>VLOOKUP(LD_01[[#This Row],[DOCUMENTO]],_xlfn.SORTBY(ARQUIVOS_RECEBIDOS!$E$2:$F$5010,ARQUIVOS_RECEBIDOS!$F$2:$F$5010,-1),2,)</f>
        <v>R02</v>
      </c>
      <c r="C700" s="15" t="s">
        <v>5987</v>
      </c>
      <c r="D700" s="6" t="s">
        <v>4317</v>
      </c>
      <c r="E700" s="8" t="s">
        <v>4192</v>
      </c>
      <c r="F700" s="8" t="s">
        <v>4338</v>
      </c>
      <c r="G700" s="6" t="str">
        <f>_xlfn.XLOOKUP(LD_01[[#This Row],[DISCIPLINA]],'CLASSES DE PROJETOS'!$F$3:$F$37,'CLASSES DE PROJETOS'!$C$3:$C$37)</f>
        <v>DS</v>
      </c>
      <c r="H700" t="str">
        <f>_xlfn.TEXTJOIN("/",TRUE,"MSV-163MS-"&amp;LD_01[[#This Row],[TRECHO]],_xlfn.XLOOKUP(LD_01[[#This Row],[SIGLA]],'CLASSES DE PROJETOS'!$C$3:$C$37,'CLASSES DE PROJETOS'!$E$3:$E$37))</f>
        <v>MSV-163MS-535-545/11.DS</v>
      </c>
      <c r="I700" s="6" t="str" cm="1">
        <f t="array" ref="I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J700" s="6" t="str" cm="1">
        <f t="array" ref="J700">_xlfn.TEXTJOIN(", ",TRUE,_xlfn.UNIQUE(_xlfn._xlws.FILTER(ARQUIVOS_RECEBIDOS!$F$2:$F$5010,ARQUIVOS_RECEBIDOS!$E$2:$E$5010=LD_01[[#This Row],[DOCUMENTO]])))</f>
        <v>R02</v>
      </c>
      <c r="K700" s="12" cm="1">
        <f t="array" ref="K700">_xlfn.UNIQUE(_xlfn._xlws.FILTER(ARQUIVOS[DATA RECEBIMENTO],(ARQUIVOS[DOCUMENTO]=LD_01[[#This Row],[DOCUMENTO]])*(ARQUIVOS[REVISÃO]=LD_01[[#This Row],[REVISÃO]])))</f>
        <v>45838</v>
      </c>
      <c r="L7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M700" s="6" t="str">
        <f>LD_01[[#This Row],[PASTA]]&amp;"/"&amp;LD_01[[#This Row],[ARQUIVO]]</f>
        <v>MSV-163MS-535-545/11.DS/MSV-163MS-535-545-ACA-EXE-DE-Q1-008-R02.pdf</v>
      </c>
    </row>
    <row r="701" spans="1:13" ht="28.8" hidden="1" x14ac:dyDescent="0.3">
      <c r="A701" s="6" t="s">
        <v>3474</v>
      </c>
      <c r="B701" s="6" t="str">
        <f>VLOOKUP(LD_01[[#This Row],[DOCUMENTO]],_xlfn.SORTBY(ARQUIVOS_RECEBIDOS!$E$2:$F$5010,ARQUIVOS_RECEBIDOS!$F$2:$F$5010,-1),2,)</f>
        <v>R03</v>
      </c>
      <c r="C701" s="15" t="s">
        <v>5987</v>
      </c>
      <c r="D701" s="6" t="s">
        <v>4317</v>
      </c>
      <c r="E701" s="8" t="s">
        <v>4192</v>
      </c>
      <c r="F701" s="8" t="s">
        <v>4338</v>
      </c>
      <c r="G701" s="6" t="str">
        <f>_xlfn.XLOOKUP(LD_01[[#This Row],[DISCIPLINA]],'CLASSES DE PROJETOS'!$F$3:$F$37,'CLASSES DE PROJETOS'!$C$3:$C$37)</f>
        <v>DS</v>
      </c>
      <c r="H701" t="str">
        <f>_xlfn.TEXTJOIN("/",TRUE,"MSV-163MS-"&amp;LD_01[[#This Row],[TRECHO]],_xlfn.XLOOKUP(LD_01[[#This Row],[SIGLA]],'CLASSES DE PROJETOS'!$C$3:$C$37,'CLASSES DE PROJETOS'!$E$3:$E$37))</f>
        <v>MSV-163MS-535-545/11.DS</v>
      </c>
      <c r="I701" s="6" t="str" cm="1">
        <f t="array" ref="I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J701" s="6" t="str" cm="1">
        <f t="array" ref="J701">_xlfn.TEXTJOIN(", ",TRUE,_xlfn.UNIQUE(_xlfn._xlws.FILTER(ARQUIVOS_RECEBIDOS!$F$2:$F$5010,ARQUIVOS_RECEBIDOS!$E$2:$E$5010=LD_01[[#This Row],[DOCUMENTO]])))</f>
        <v>R03</v>
      </c>
      <c r="K701" s="12" cm="1">
        <f t="array" ref="K701">_xlfn.UNIQUE(_xlfn._xlws.FILTER(ARQUIVOS[DATA RECEBIMENTO],(ARQUIVOS[DOCUMENTO]=LD_01[[#This Row],[DOCUMENTO]])*(ARQUIVOS[REVISÃO]=LD_01[[#This Row],[REVISÃO]])))</f>
        <v>45838</v>
      </c>
      <c r="L7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M701" s="6" t="str">
        <f>LD_01[[#This Row],[PASTA]]&amp;"/"&amp;LD_01[[#This Row],[ARQUIVO]]</f>
        <v>MSV-163MS-535-545/11.DS/MSV-163MS-535-545-ACA-EXE-DE-Q1-009-R03.pdf</v>
      </c>
    </row>
    <row r="702" spans="1:13" ht="28.8" hidden="1" x14ac:dyDescent="0.3">
      <c r="A702" s="6" t="s">
        <v>3475</v>
      </c>
      <c r="B702" s="6" t="str">
        <f>VLOOKUP(LD_01[[#This Row],[DOCUMENTO]],_xlfn.SORTBY(ARQUIVOS_RECEBIDOS!$E$2:$F$5010,ARQUIVOS_RECEBIDOS!$F$2:$F$5010,-1),2,)</f>
        <v>R02</v>
      </c>
      <c r="C702" s="15" t="s">
        <v>5987</v>
      </c>
      <c r="D702" s="6" t="s">
        <v>4317</v>
      </c>
      <c r="E702" s="8" t="s">
        <v>4192</v>
      </c>
      <c r="F702" s="8" t="s">
        <v>4338</v>
      </c>
      <c r="G702" s="6" t="str">
        <f>_xlfn.XLOOKUP(LD_01[[#This Row],[DISCIPLINA]],'CLASSES DE PROJETOS'!$F$3:$F$37,'CLASSES DE PROJETOS'!$C$3:$C$37)</f>
        <v>DS</v>
      </c>
      <c r="H702" t="str">
        <f>_xlfn.TEXTJOIN("/",TRUE,"MSV-163MS-"&amp;LD_01[[#This Row],[TRECHO]],_xlfn.XLOOKUP(LD_01[[#This Row],[SIGLA]],'CLASSES DE PROJETOS'!$C$3:$C$37,'CLASSES DE PROJETOS'!$E$3:$E$37))</f>
        <v>MSV-163MS-535-545/11.DS</v>
      </c>
      <c r="I702" s="6" t="str" cm="1">
        <f t="array" ref="I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J702" s="6" t="str" cm="1">
        <f t="array" ref="J702">_xlfn.TEXTJOIN(", ",TRUE,_xlfn.UNIQUE(_xlfn._xlws.FILTER(ARQUIVOS_RECEBIDOS!$F$2:$F$5010,ARQUIVOS_RECEBIDOS!$E$2:$E$5010=LD_01[[#This Row],[DOCUMENTO]])))</f>
        <v>R02</v>
      </c>
      <c r="K702" s="12" cm="1">
        <f t="array" ref="K702">_xlfn.UNIQUE(_xlfn._xlws.FILTER(ARQUIVOS[DATA RECEBIMENTO],(ARQUIVOS[DOCUMENTO]=LD_01[[#This Row],[DOCUMENTO]])*(ARQUIVOS[REVISÃO]=LD_01[[#This Row],[REVISÃO]])))</f>
        <v>45838</v>
      </c>
      <c r="L7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M702" s="6" t="str">
        <f>LD_01[[#This Row],[PASTA]]&amp;"/"&amp;LD_01[[#This Row],[ARQUIVO]]</f>
        <v>MSV-163MS-535-545/11.DS/MSV-163MS-535-545-ACA-EXE-DE-Q1-010-R02.pdf</v>
      </c>
    </row>
    <row r="703" spans="1:13" ht="28.8" hidden="1" x14ac:dyDescent="0.3">
      <c r="A703" s="6" t="s">
        <v>3314</v>
      </c>
      <c r="B703" s="6" t="str">
        <f>VLOOKUP(LD_01[[#This Row],[DOCUMENTO]],_xlfn.SORTBY(ARQUIVOS_RECEBIDOS!$E$2:$F$5010,ARQUIVOS_RECEBIDOS!$F$2:$F$5010,-1),2,)</f>
        <v>R10</v>
      </c>
      <c r="C703" s="15" t="s">
        <v>5987</v>
      </c>
      <c r="D703" s="6" t="s">
        <v>4317</v>
      </c>
      <c r="E703" s="8" t="s">
        <v>4323</v>
      </c>
      <c r="F703" s="8" t="s">
        <v>4330</v>
      </c>
      <c r="G703" s="6" t="str">
        <f>_xlfn.XLOOKUP(LD_01[[#This Row],[DISCIPLINA]],'CLASSES DE PROJETOS'!$F$3:$F$37,'CLASSES DE PROJETOS'!$C$3:$C$37)</f>
        <v>TE</v>
      </c>
      <c r="H703" t="str">
        <f>_xlfn.TEXTJOIN("/",TRUE,"MSV-163MS-"&amp;LD_01[[#This Row],[TRECHO]],_xlfn.XLOOKUP(LD_01[[#This Row],[SIGLA]],'CLASSES DE PROJETOS'!$C$3:$C$37,'CLASSES DE PROJETOS'!$E$3:$E$37))</f>
        <v>MSV-163MS-535-545/32.TE</v>
      </c>
      <c r="I703" s="6" t="str" cm="1">
        <f t="array" ref="I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J703" s="6" t="str" cm="1">
        <f t="array" ref="J703">_xlfn.TEXTJOIN(", ",TRUE,_xlfn.UNIQUE(_xlfn._xlws.FILTER(ARQUIVOS_RECEBIDOS!$F$2:$F$5010,ARQUIVOS_RECEBIDOS!$E$2:$E$5010=LD_01[[#This Row],[DOCUMENTO]])))</f>
        <v>R10</v>
      </c>
      <c r="K703" s="12" cm="1">
        <f t="array" ref="K703">_xlfn.UNIQUE(_xlfn._xlws.FILTER(ARQUIVOS[DATA RECEBIMENTO],(ARQUIVOS[DOCUMENTO]=LD_01[[#This Row],[DOCUMENTO]])*(ARQUIVOS[REVISÃO]=LD_01[[#This Row],[REVISÃO]])))</f>
        <v>45838</v>
      </c>
      <c r="L7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M703" s="6" t="str">
        <f>LD_01[[#This Row],[PASTA]]&amp;"/"&amp;LD_01[[#This Row],[ARQUIVO]]</f>
        <v>MSV-163MS-535-545/32.TE/MSV-163MS-535-545-ACA-EXE-MC-G1-001-R10.pdf</v>
      </c>
    </row>
    <row r="704" spans="1:13" ht="28.8" hidden="1" x14ac:dyDescent="0.3">
      <c r="A704" s="6" t="s">
        <v>3362</v>
      </c>
      <c r="B704" s="6" t="str">
        <f>VLOOKUP(LD_01[[#This Row],[DOCUMENTO]],_xlfn.SORTBY(ARQUIVOS_RECEBIDOS!$E$2:$F$5010,ARQUIVOS_RECEBIDOS!$F$2:$F$5010,-1),2,)</f>
        <v>R09</v>
      </c>
      <c r="C704" s="15" t="s">
        <v>5987</v>
      </c>
      <c r="D704" s="6" t="s">
        <v>4317</v>
      </c>
      <c r="E704" s="8" t="s">
        <v>4081</v>
      </c>
      <c r="F704" s="8" t="s">
        <v>4142</v>
      </c>
      <c r="G704" s="6" t="str">
        <f>_xlfn.XLOOKUP(LD_01[[#This Row],[DISCIPLINA]],'CLASSES DE PROJETOS'!$F$3:$F$37,'CLASSES DE PROJETOS'!$C$3:$C$37)</f>
        <v>DR</v>
      </c>
      <c r="H704" t="str">
        <f>_xlfn.TEXTJOIN("/",TRUE,"MSV-163MS-"&amp;LD_01[[#This Row],[TRECHO]],_xlfn.XLOOKUP(LD_01[[#This Row],[SIGLA]],'CLASSES DE PROJETOS'!$C$3:$C$37,'CLASSES DE PROJETOS'!$E$3:$E$37))</f>
        <v>MSV-163MS-535-545/10.DR</v>
      </c>
      <c r="I704" s="6" t="str" cm="1">
        <f t="array" ref="I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J704" s="6" t="str" cm="1">
        <f t="array" ref="J704">_xlfn.TEXTJOIN(", ",TRUE,_xlfn.UNIQUE(_xlfn._xlws.FILTER(ARQUIVOS_RECEBIDOS!$F$2:$F$5010,ARQUIVOS_RECEBIDOS!$E$2:$E$5010=LD_01[[#This Row],[DOCUMENTO]])))</f>
        <v>R08, R09</v>
      </c>
      <c r="K704" s="12" cm="1">
        <f t="array" ref="K704">_xlfn.UNIQUE(_xlfn._xlws.FILTER(ARQUIVOS[DATA RECEBIMENTO],(ARQUIVOS[DOCUMENTO]=LD_01[[#This Row],[DOCUMENTO]])*(ARQUIVOS[REVISÃO]=LD_01[[#This Row],[REVISÃO]])))</f>
        <v>46001</v>
      </c>
      <c r="L7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M704" s="6" t="str">
        <f>LD_01[[#This Row],[PASTA]]&amp;"/"&amp;LD_01[[#This Row],[ARQUIVO]]</f>
        <v>MSV-163MS-535-545/10.DR/MSV-163MS-535-545-ACA-EXE-MC-H2-001-R09.pdf</v>
      </c>
    </row>
    <row r="705" spans="1:13" ht="43.2" hidden="1" x14ac:dyDescent="0.3">
      <c r="A705" s="6" t="s">
        <v>3416</v>
      </c>
      <c r="B705" s="6" t="str">
        <f>VLOOKUP(LD_01[[#This Row],[DOCUMENTO]],_xlfn.SORTBY(ARQUIVOS_RECEBIDOS!$E$2:$F$5010,ARQUIVOS_RECEBIDOS!$F$2:$F$5010,-1),2,)</f>
        <v>R05</v>
      </c>
      <c r="C705" s="15" t="s">
        <v>5987</v>
      </c>
      <c r="D705" s="6" t="s">
        <v>4317</v>
      </c>
      <c r="E705" s="8" t="s">
        <v>4188</v>
      </c>
      <c r="F705" s="8" t="s">
        <v>4337</v>
      </c>
      <c r="G705" s="6" t="str">
        <f>_xlfn.XLOOKUP(LD_01[[#This Row],[DISCIPLINA]],'CLASSES DE PROJETOS'!$F$3:$F$37,'CLASSES DE PROJETOS'!$C$3:$C$37)</f>
        <v>EL</v>
      </c>
      <c r="H705" t="str">
        <f>_xlfn.TEXTJOIN("/",TRUE,"MSV-163MS-"&amp;LD_01[[#This Row],[TRECHO]],_xlfn.XLOOKUP(LD_01[[#This Row],[SIGLA]],'CLASSES DE PROJETOS'!$C$3:$C$37,'CLASSES DE PROJETOS'!$E$3:$E$37))</f>
        <v>MSV-163MS-535-545/14.EL</v>
      </c>
      <c r="I705" s="6" t="str" cm="1">
        <f t="array" ref="I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J705" s="6" t="str" cm="1">
        <f t="array" ref="J705">_xlfn.TEXTJOIN(", ",TRUE,_xlfn.UNIQUE(_xlfn._xlws.FILTER(ARQUIVOS_RECEBIDOS!$F$2:$F$5010,ARQUIVOS_RECEBIDOS!$E$2:$E$5010=LD_01[[#This Row],[DOCUMENTO]])))</f>
        <v>R04, R05</v>
      </c>
      <c r="K705" s="12" cm="1">
        <f t="array" ref="K705">_xlfn.UNIQUE(_xlfn._xlws.FILTER(ARQUIVOS[DATA RECEBIMENTO],(ARQUIVOS[DOCUMENTO]=LD_01[[#This Row],[DOCUMENTO]])*(ARQUIVOS[REVISÃO]=LD_01[[#This Row],[REVISÃO]])))</f>
        <v>45946</v>
      </c>
      <c r="L7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M705" s="6" t="str">
        <f>LD_01[[#This Row],[PASTA]]&amp;"/"&amp;LD_01[[#This Row],[ARQUIVO]]</f>
        <v>MSV-163MS-535-545/14.EL/MSV-163MS-535-545-ACA-EXE-MC-K2-001-R05.pdf</v>
      </c>
    </row>
    <row r="706" spans="1:13" ht="43.2" hidden="1" x14ac:dyDescent="0.3">
      <c r="A706" s="6" t="s">
        <v>3417</v>
      </c>
      <c r="B706" s="6" t="str">
        <f>VLOOKUP(LD_01[[#This Row],[DOCUMENTO]],_xlfn.SORTBY(ARQUIVOS_RECEBIDOS!$E$2:$F$5010,ARQUIVOS_RECEBIDOS!$F$2:$F$5010,-1),2,)</f>
        <v>R03</v>
      </c>
      <c r="C706" s="15" t="s">
        <v>5987</v>
      </c>
      <c r="D706" s="6" t="s">
        <v>4317</v>
      </c>
      <c r="E706" s="8" t="s">
        <v>4189</v>
      </c>
      <c r="F706" s="8" t="s">
        <v>4337</v>
      </c>
      <c r="G706" s="6" t="str">
        <f>_xlfn.XLOOKUP(LD_01[[#This Row],[DISCIPLINA]],'CLASSES DE PROJETOS'!$F$3:$F$37,'CLASSES DE PROJETOS'!$C$3:$C$37)</f>
        <v>EL</v>
      </c>
      <c r="H706" t="str">
        <f>_xlfn.TEXTJOIN("/",TRUE,"MSV-163MS-"&amp;LD_01[[#This Row],[TRECHO]],_xlfn.XLOOKUP(LD_01[[#This Row],[SIGLA]],'CLASSES DE PROJETOS'!$C$3:$C$37,'CLASSES DE PROJETOS'!$E$3:$E$37))</f>
        <v>MSV-163MS-535-545/14.EL</v>
      </c>
      <c r="I706" s="6" t="str" cm="1">
        <f t="array" ref="I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J706" s="6" t="str" cm="1">
        <f t="array" ref="J706">_xlfn.TEXTJOIN(", ",TRUE,_xlfn.UNIQUE(_xlfn._xlws.FILTER(ARQUIVOS_RECEBIDOS!$F$2:$F$5010,ARQUIVOS_RECEBIDOS!$E$2:$E$5010=LD_01[[#This Row],[DOCUMENTO]])))</f>
        <v>R03</v>
      </c>
      <c r="K706" s="12" cm="1">
        <f t="array" ref="K706">_xlfn.UNIQUE(_xlfn._xlws.FILTER(ARQUIVOS[DATA RECEBIMENTO],(ARQUIVOS[DOCUMENTO]=LD_01[[#This Row],[DOCUMENTO]])*(ARQUIVOS[REVISÃO]=LD_01[[#This Row],[REVISÃO]])))</f>
        <v>45838</v>
      </c>
      <c r="L7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M706" s="6" t="str">
        <f>LD_01[[#This Row],[PASTA]]&amp;"/"&amp;LD_01[[#This Row],[ARQUIVO]]</f>
        <v>MSV-163MS-535-545/14.EL/MSV-163MS-535-545-ACA-EXE-MC-K2-002-R03.pdf</v>
      </c>
    </row>
    <row r="707" spans="1:13" ht="28.8" hidden="1" x14ac:dyDescent="0.3">
      <c r="A707" s="6" t="s">
        <v>3363</v>
      </c>
      <c r="B707" s="6" t="str">
        <f>VLOOKUP(LD_01[[#This Row],[DOCUMENTO]],_xlfn.SORTBY(ARQUIVOS_RECEBIDOS!$E$2:$F$5010,ARQUIVOS_RECEBIDOS!$F$2:$F$5010,-1),2,)</f>
        <v>R02</v>
      </c>
      <c r="C707" s="15" t="s">
        <v>5987</v>
      </c>
      <c r="D707" s="6" t="s">
        <v>4317</v>
      </c>
      <c r="E707" s="8" t="s">
        <v>4082</v>
      </c>
      <c r="F707" s="8" t="s">
        <v>4142</v>
      </c>
      <c r="G707" s="6" t="str">
        <f>_xlfn.XLOOKUP(LD_01[[#This Row],[DISCIPLINA]],'CLASSES DE PROJETOS'!$F$3:$F$37,'CLASSES DE PROJETOS'!$C$3:$C$37)</f>
        <v>DR</v>
      </c>
      <c r="H707" t="str">
        <f>_xlfn.TEXTJOIN("/",TRUE,"MSV-163MS-"&amp;LD_01[[#This Row],[TRECHO]],_xlfn.XLOOKUP(LD_01[[#This Row],[SIGLA]],'CLASSES DE PROJETOS'!$C$3:$C$37,'CLASSES DE PROJETOS'!$E$3:$E$37))</f>
        <v>MSV-163MS-535-545/10.DR</v>
      </c>
      <c r="I707" s="6" t="str" cm="1">
        <f t="array" ref="I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J707" s="6" t="str" cm="1">
        <f t="array" ref="J707">_xlfn.TEXTJOIN(", ",TRUE,_xlfn.UNIQUE(_xlfn._xlws.FILTER(ARQUIVOS_RECEBIDOS!$F$2:$F$5010,ARQUIVOS_RECEBIDOS!$E$2:$E$5010=LD_01[[#This Row],[DOCUMENTO]])))</f>
        <v>R02</v>
      </c>
      <c r="K707" s="12" cm="1">
        <f t="array" ref="K707">_xlfn.UNIQUE(_xlfn._xlws.FILTER(ARQUIVOS[DATA RECEBIMENTO],(ARQUIVOS[DOCUMENTO]=LD_01[[#This Row],[DOCUMENTO]])*(ARQUIVOS[REVISÃO]=LD_01[[#This Row],[REVISÃO]])))</f>
        <v>45838</v>
      </c>
      <c r="L7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M707" s="6" t="str">
        <f>LD_01[[#This Row],[PASTA]]&amp;"/"&amp;LD_01[[#This Row],[ARQUIVO]]</f>
        <v>MSV-163MS-535-545/10.DR/MSV-163MS-535-545-ACA-EXE-MD-H1-001-R02.pdf</v>
      </c>
    </row>
    <row r="708" spans="1:13" hidden="1" x14ac:dyDescent="0.3">
      <c r="A708" s="6" t="s">
        <v>3403</v>
      </c>
      <c r="B708" s="6" t="str">
        <f>VLOOKUP(LD_01[[#This Row],[DOCUMENTO]],_xlfn.SORTBY(ARQUIVOS_RECEBIDOS!$E$2:$F$5010,ARQUIVOS_RECEBIDOS!$F$2:$F$5010,-1),2,)</f>
        <v>R04</v>
      </c>
      <c r="C708" s="15" t="s">
        <v>5987</v>
      </c>
      <c r="D708" s="6" t="s">
        <v>4317</v>
      </c>
      <c r="E708" s="8" t="s">
        <v>4090</v>
      </c>
      <c r="F708" s="8" t="s">
        <v>4143</v>
      </c>
      <c r="G708" s="6" t="str">
        <f>_xlfn.XLOOKUP(LD_01[[#This Row],[DISCIPLINA]],'CLASSES DE PROJETOS'!$F$3:$F$37,'CLASSES DE PROJETOS'!$C$3:$C$37)</f>
        <v>PV</v>
      </c>
      <c r="H708" t="str">
        <f>_xlfn.TEXTJOIN("/",TRUE,"MSV-163MS-"&amp;LD_01[[#This Row],[TRECHO]],_xlfn.XLOOKUP(LD_01[[#This Row],[SIGLA]],'CLASSES DE PROJETOS'!$C$3:$C$37,'CLASSES DE PROJETOS'!$E$3:$E$37))</f>
        <v>MSV-163MS-535-545/28.PV</v>
      </c>
      <c r="I708" s="6" t="str" cm="1">
        <f t="array" ref="I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J708" s="6" t="str" cm="1">
        <f t="array" ref="J708">_xlfn.TEXTJOIN(", ",TRUE,_xlfn.UNIQUE(_xlfn._xlws.FILTER(ARQUIVOS_RECEBIDOS!$F$2:$F$5010,ARQUIVOS_RECEBIDOS!$E$2:$E$5010=LD_01[[#This Row],[DOCUMENTO]])))</f>
        <v>R04</v>
      </c>
      <c r="K708" s="12" cm="1">
        <f t="array" ref="K708">_xlfn.UNIQUE(_xlfn._xlws.FILTER(ARQUIVOS[DATA RECEBIMENTO],(ARQUIVOS[DOCUMENTO]=LD_01[[#This Row],[DOCUMENTO]])*(ARQUIVOS[REVISÃO]=LD_01[[#This Row],[REVISÃO]])))</f>
        <v>45838</v>
      </c>
      <c r="L7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M708" s="6" t="str">
        <f>LD_01[[#This Row],[PASTA]]&amp;"/"&amp;LD_01[[#This Row],[ARQUIVO]]</f>
        <v>MSV-163MS-535-545/28.PV/MSV-163MS-535-545-ACA-EXE-MD-I2-001-R04.pdf</v>
      </c>
    </row>
    <row r="709" spans="1:13" ht="43.2" hidden="1" x14ac:dyDescent="0.3">
      <c r="A709" s="6" t="s">
        <v>3404</v>
      </c>
      <c r="B709" s="6" t="str">
        <f>VLOOKUP(LD_01[[#This Row],[DOCUMENTO]],_xlfn.SORTBY(ARQUIVOS_RECEBIDOS!$E$2:$F$5010,ARQUIVOS_RECEBIDOS!$F$2:$F$5010,-1),2,)</f>
        <v>R00</v>
      </c>
      <c r="C709" s="15" t="s">
        <v>5987</v>
      </c>
      <c r="D709" s="6" t="s">
        <v>4317</v>
      </c>
      <c r="E709" s="8" t="s">
        <v>4256</v>
      </c>
      <c r="F709" s="8" t="s">
        <v>4143</v>
      </c>
      <c r="G709" s="6" t="str">
        <f>_xlfn.XLOOKUP(LD_01[[#This Row],[DISCIPLINA]],'CLASSES DE PROJETOS'!$F$3:$F$37,'CLASSES DE PROJETOS'!$C$3:$C$37)</f>
        <v>PV</v>
      </c>
      <c r="H709" t="str">
        <f>_xlfn.TEXTJOIN("/",TRUE,"MSV-163MS-"&amp;LD_01[[#This Row],[TRECHO]],_xlfn.XLOOKUP(LD_01[[#This Row],[SIGLA]],'CLASSES DE PROJETOS'!$C$3:$C$37,'CLASSES DE PROJETOS'!$E$3:$E$37))</f>
        <v>MSV-163MS-535-545/28.PV</v>
      </c>
      <c r="I709" s="6" t="str" cm="1">
        <f t="array" ref="I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J709" s="6" t="str" cm="1">
        <f t="array" ref="J709">_xlfn.TEXTJOIN(", ",TRUE,_xlfn.UNIQUE(_xlfn._xlws.FILTER(ARQUIVOS_RECEBIDOS!$F$2:$F$5010,ARQUIVOS_RECEBIDOS!$E$2:$E$5010=LD_01[[#This Row],[DOCUMENTO]])))</f>
        <v>R00</v>
      </c>
      <c r="K709" s="12" cm="1">
        <f t="array" ref="K709">_xlfn.UNIQUE(_xlfn._xlws.FILTER(ARQUIVOS[DATA RECEBIMENTO],(ARQUIVOS[DOCUMENTO]=LD_01[[#This Row],[DOCUMENTO]])*(ARQUIVOS[REVISÃO]=LD_01[[#This Row],[REVISÃO]])))</f>
        <v>45838</v>
      </c>
      <c r="L7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M709" s="6" t="str">
        <f>LD_01[[#This Row],[PASTA]]&amp;"/"&amp;LD_01[[#This Row],[ARQUIVO]]</f>
        <v>MSV-163MS-535-545/28.PV/MSV-163MS-535-545-ACA-EXE-MD-I2-101-R00.pdf</v>
      </c>
    </row>
    <row r="710" spans="1:13" hidden="1" x14ac:dyDescent="0.3">
      <c r="A710" s="6" t="s">
        <v>4069</v>
      </c>
      <c r="B710" s="6" t="str">
        <f>VLOOKUP(LD_01[[#This Row],[DOCUMENTO]],_xlfn.SORTBY(ARQUIVOS_RECEBIDOS!$E$2:$F$5010,ARQUIVOS_RECEBIDOS!$F$2:$F$5010,-1),2,)</f>
        <v>R00</v>
      </c>
      <c r="C710" s="15" t="s">
        <v>5987</v>
      </c>
      <c r="D710" s="6" t="s">
        <v>4317</v>
      </c>
      <c r="E710" s="8" t="s">
        <v>4083</v>
      </c>
      <c r="F710" s="8" t="s">
        <v>4331</v>
      </c>
      <c r="G710" s="6" t="str">
        <f>_xlfn.XLOOKUP(LD_01[[#This Row],[DISCIPLINA]],'CLASSES DE PROJETOS'!$F$3:$F$37,'CLASSES DE PROJETOS'!$C$3:$C$37)</f>
        <v>SI</v>
      </c>
      <c r="H710" t="str">
        <f>_xlfn.TEXTJOIN("/",TRUE,"MSV-163MS-"&amp;LD_01[[#This Row],[TRECHO]],_xlfn.XLOOKUP(LD_01[[#This Row],[SIGLA]],'CLASSES DE PROJETOS'!$C$3:$C$37,'CLASSES DE PROJETOS'!$E$3:$E$37))</f>
        <v>MSV-163MS-535-545/31.SI</v>
      </c>
      <c r="I710" s="6" t="str" cm="1">
        <f t="array" ref="I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J710" s="6" t="str" cm="1">
        <f t="array" ref="J710">_xlfn.TEXTJOIN(", ",TRUE,_xlfn.UNIQUE(_xlfn._xlws.FILTER(ARQUIVOS_RECEBIDOS!$F$2:$F$5010,ARQUIVOS_RECEBIDOS!$E$2:$E$5010=LD_01[[#This Row],[DOCUMENTO]])))</f>
        <v>R00</v>
      </c>
      <c r="K710" s="12" cm="1">
        <f t="array" ref="K710">_xlfn.UNIQUE(_xlfn._xlws.FILTER(ARQUIVOS[DATA RECEBIMENTO],(ARQUIVOS[DOCUMENTO]=LD_01[[#This Row],[DOCUMENTO]])*(ARQUIVOS[REVISÃO]=LD_01[[#This Row],[REVISÃO]])))</f>
        <v>45895</v>
      </c>
      <c r="L7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M710" s="6" t="str">
        <f>LD_01[[#This Row],[PASTA]]&amp;"/"&amp;LD_01[[#This Row],[ARQUIVO]]</f>
        <v>MSV-163MS-535-545/31.SI/MSV-163MS-535-545-ACA-EXE-MD-J1-001-R00.pdf</v>
      </c>
    </row>
    <row r="711" spans="1:13" ht="43.2" hidden="1" x14ac:dyDescent="0.3">
      <c r="A711" s="6" t="s">
        <v>4070</v>
      </c>
      <c r="B711" s="6" t="str">
        <f>VLOOKUP(LD_01[[#This Row],[DOCUMENTO]],_xlfn.SORTBY(ARQUIVOS_RECEBIDOS!$E$2:$F$5010,ARQUIVOS_RECEBIDOS!$F$2:$F$5010,-1),2,)</f>
        <v>R01</v>
      </c>
      <c r="C711" s="15" t="s">
        <v>5987</v>
      </c>
      <c r="D711" s="6" t="s">
        <v>4317</v>
      </c>
      <c r="E711" s="8" t="s">
        <v>4245</v>
      </c>
      <c r="F711" s="8" t="s">
        <v>4336</v>
      </c>
      <c r="G711" s="6" t="str">
        <f>_xlfn.XLOOKUP(LD_01[[#This Row],[DISCIPLINA]],'CLASSES DE PROJETOS'!$F$3:$F$37,'CLASSES DE PROJETOS'!$C$3:$C$37)</f>
        <v>OC</v>
      </c>
      <c r="H711" t="str">
        <f>_xlfn.TEXTJOIN("/",TRUE,"MSV-163MS-"&amp;LD_01[[#This Row],[TRECHO]],_xlfn.XLOOKUP(LD_01[[#This Row],[SIGLA]],'CLASSES DE PROJETOS'!$C$3:$C$37,'CLASSES DE PROJETOS'!$E$3:$E$37))</f>
        <v>MSV-163MS-535-545/35.OC</v>
      </c>
      <c r="I711" s="6" t="str" cm="1">
        <f t="array" ref="I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J711" s="6" t="str" cm="1">
        <f t="array" ref="J711">_xlfn.TEXTJOIN(", ",TRUE,_xlfn.UNIQUE(_xlfn._xlws.FILTER(ARQUIVOS_RECEBIDOS!$F$2:$F$5010,ARQUIVOS_RECEBIDOS!$E$2:$E$5010=LD_01[[#This Row],[DOCUMENTO]])))</f>
        <v>R01</v>
      </c>
      <c r="K711" s="12" cm="1">
        <f t="array" ref="K711">_xlfn.UNIQUE(_xlfn._xlws.FILTER(ARQUIVOS[DATA RECEBIMENTO],(ARQUIVOS[DOCUMENTO]=LD_01[[#This Row],[DOCUMENTO]])*(ARQUIVOS[REVISÃO]=LD_01[[#This Row],[REVISÃO]])))</f>
        <v>45895</v>
      </c>
      <c r="L7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M711" s="6" t="str">
        <f>LD_01[[#This Row],[PASTA]]&amp;"/"&amp;LD_01[[#This Row],[ARQUIVO]]</f>
        <v>MSV-163MS-535-545/35.OC/MSV-163MS-535-545-ACA-EXE-MD-J2-001-R01.pdf</v>
      </c>
    </row>
    <row r="712" spans="1:13" ht="43.2" hidden="1" x14ac:dyDescent="0.3">
      <c r="A712" s="6" t="s">
        <v>3418</v>
      </c>
      <c r="B712" s="6" t="str">
        <f>VLOOKUP(LD_01[[#This Row],[DOCUMENTO]],_xlfn.SORTBY(ARQUIVOS_RECEBIDOS!$E$2:$F$5010,ARQUIVOS_RECEBIDOS!$F$2:$F$5010,-1),2,)</f>
        <v>R04</v>
      </c>
      <c r="C712" s="15" t="s">
        <v>5987</v>
      </c>
      <c r="D712" s="6" t="s">
        <v>4317</v>
      </c>
      <c r="E712" s="8" t="s">
        <v>4190</v>
      </c>
      <c r="F712" s="8" t="s">
        <v>4337</v>
      </c>
      <c r="G712" s="6" t="str">
        <f>_xlfn.XLOOKUP(LD_01[[#This Row],[DISCIPLINA]],'CLASSES DE PROJETOS'!$F$3:$F$37,'CLASSES DE PROJETOS'!$C$3:$C$37)</f>
        <v>EL</v>
      </c>
      <c r="H712" t="str">
        <f>_xlfn.TEXTJOIN("/",TRUE,"MSV-163MS-"&amp;LD_01[[#This Row],[TRECHO]],_xlfn.XLOOKUP(LD_01[[#This Row],[SIGLA]],'CLASSES DE PROJETOS'!$C$3:$C$37,'CLASSES DE PROJETOS'!$E$3:$E$37))</f>
        <v>MSV-163MS-535-545/14.EL</v>
      </c>
      <c r="I712" s="6" t="str" cm="1">
        <f t="array" ref="I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J712" s="6" t="str" cm="1">
        <f t="array" ref="J712">_xlfn.TEXTJOIN(", ",TRUE,_xlfn.UNIQUE(_xlfn._xlws.FILTER(ARQUIVOS_RECEBIDOS!$F$2:$F$5010,ARQUIVOS_RECEBIDOS!$E$2:$E$5010=LD_01[[#This Row],[DOCUMENTO]])))</f>
        <v>R02, R04</v>
      </c>
      <c r="K712" s="12" cm="1">
        <f t="array" ref="K712">_xlfn.UNIQUE(_xlfn._xlws.FILTER(ARQUIVOS[DATA RECEBIMENTO],(ARQUIVOS[DOCUMENTO]=LD_01[[#This Row],[DOCUMENTO]])*(ARQUIVOS[REVISÃO]=LD_01[[#This Row],[REVISÃO]])))</f>
        <v>45946</v>
      </c>
      <c r="L7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M712" s="6" t="str">
        <f>LD_01[[#This Row],[PASTA]]&amp;"/"&amp;LD_01[[#This Row],[ARQUIVO]]</f>
        <v>MSV-163MS-535-545/14.EL/MSV-163MS-535-545-ACA-EXE-MD-K2-001-R04.pdf</v>
      </c>
    </row>
    <row r="713" spans="1:13" ht="28.8" hidden="1" x14ac:dyDescent="0.3">
      <c r="A713" s="6" t="s">
        <v>3515</v>
      </c>
      <c r="B713" s="6" t="str">
        <f>VLOOKUP(LD_01[[#This Row],[DOCUMENTO]],_xlfn.SORTBY(ARQUIVOS_RECEBIDOS!$E$2:$F$5010,ARQUIVOS_RECEBIDOS!$F$2:$F$5010,-1),2,)</f>
        <v>R00</v>
      </c>
      <c r="C713" s="15" t="s">
        <v>5987</v>
      </c>
      <c r="D713" s="6" t="s">
        <v>4317</v>
      </c>
      <c r="E713" s="8" t="s">
        <v>4169</v>
      </c>
      <c r="F713" s="8" t="s">
        <v>4334</v>
      </c>
      <c r="G713" s="6" t="str">
        <f>_xlfn.XLOOKUP(LD_01[[#This Row],[DISCIPLINA]],'CLASSES DE PROJETOS'!$F$3:$F$37,'CLASSES DE PROJETOS'!$C$3:$C$37)</f>
        <v>PA</v>
      </c>
      <c r="H713" t="str">
        <f>_xlfn.TEXTJOIN("/",TRUE,"MSV-163MS-"&amp;LD_01[[#This Row],[TRECHO]],_xlfn.XLOOKUP(LD_01[[#This Row],[SIGLA]],'CLASSES DE PROJETOS'!$C$3:$C$37,'CLASSES DE PROJETOS'!$E$3:$E$37))</f>
        <v>MSV-163MS-535-545/27.PA</v>
      </c>
      <c r="I713" s="6" t="str" cm="1">
        <f t="array" ref="I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J713" s="6" t="str" cm="1">
        <f t="array" ref="J713">_xlfn.TEXTJOIN(", ",TRUE,_xlfn.UNIQUE(_xlfn._xlws.FILTER(ARQUIVOS_RECEBIDOS!$F$2:$F$5010,ARQUIVOS_RECEBIDOS!$E$2:$E$5010=LD_01[[#This Row],[DOCUMENTO]])))</f>
        <v>R00</v>
      </c>
      <c r="K713" s="12" cm="1">
        <f t="array" ref="K713">_xlfn.UNIQUE(_xlfn._xlws.FILTER(ARQUIVOS[DATA RECEBIMENTO],(ARQUIVOS[DOCUMENTO]=LD_01[[#This Row],[DOCUMENTO]])*(ARQUIVOS[REVISÃO]=LD_01[[#This Row],[REVISÃO]])))</f>
        <v>45838</v>
      </c>
      <c r="L7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M713" s="6" t="str">
        <f>LD_01[[#This Row],[PASTA]]&amp;"/"&amp;LD_01[[#This Row],[ARQUIVO]]</f>
        <v>MSV-163MS-535-545/27.PA/MSV-163MS-535-545-ACA-EXE-MD-N2-001-R00.pdf</v>
      </c>
    </row>
    <row r="714" spans="1:13" ht="28.8" hidden="1" x14ac:dyDescent="0.3">
      <c r="A714" s="6" t="s">
        <v>3502</v>
      </c>
      <c r="B714" s="6" t="str">
        <f>VLOOKUP(LD_01[[#This Row],[DOCUMENTO]],_xlfn.SORTBY(ARQUIVOS_RECEBIDOS!$E$2:$F$5010,ARQUIVOS_RECEBIDOS!$F$2:$F$5010,-1),2,)</f>
        <v>R00</v>
      </c>
      <c r="C714" s="15" t="s">
        <v>5987</v>
      </c>
      <c r="D714" s="6" t="s">
        <v>4317</v>
      </c>
      <c r="E714" s="8" t="s">
        <v>4167</v>
      </c>
      <c r="F714" s="8" t="s">
        <v>4144</v>
      </c>
      <c r="G714" s="6" t="str">
        <f>_xlfn.XLOOKUP(LD_01[[#This Row],[DISCIPLINA]],'CLASSES DE PROJETOS'!$F$3:$F$37,'CLASSES DE PROJETOS'!$C$3:$C$37)</f>
        <v>DV</v>
      </c>
      <c r="H714" t="str">
        <f>_xlfn.TEXTJOIN("/",TRUE,"MSV-163MS-"&amp;LD_01[[#This Row],[TRECHO]],_xlfn.XLOOKUP(LD_01[[#This Row],[SIGLA]],'CLASSES DE PROJETOS'!$C$3:$C$37,'CLASSES DE PROJETOS'!$E$3:$E$37))</f>
        <v>MSV-163MS-535-545/12.DV</v>
      </c>
      <c r="I714" s="6" t="str" cm="1">
        <f t="array" ref="I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J714" s="6" t="str" cm="1">
        <f t="array" ref="J714">_xlfn.TEXTJOIN(", ",TRUE,_xlfn.UNIQUE(_xlfn._xlws.FILTER(ARQUIVOS_RECEBIDOS!$F$2:$F$5010,ARQUIVOS_RECEBIDOS!$E$2:$E$5010=LD_01[[#This Row],[DOCUMENTO]])))</f>
        <v>R00</v>
      </c>
      <c r="K714" s="12" cm="1">
        <f t="array" ref="K714">_xlfn.UNIQUE(_xlfn._xlws.FILTER(ARQUIVOS[DATA RECEBIMENTO],(ARQUIVOS[DOCUMENTO]=LD_01[[#This Row],[DOCUMENTO]])*(ARQUIVOS[REVISÃO]=LD_01[[#This Row],[REVISÃO]])))</f>
        <v>45838</v>
      </c>
      <c r="L7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M714" s="6" t="str">
        <f>LD_01[[#This Row],[PASTA]]&amp;"/"&amp;LD_01[[#This Row],[ARQUIVO]]</f>
        <v>MSV-163MS-535-545/12.DV/MSV-163MS-535-545-ACA-EXE-MD-O2-001-R00.pdf</v>
      </c>
    </row>
    <row r="715" spans="1:13" ht="28.8" hidden="1" x14ac:dyDescent="0.3">
      <c r="A715" s="6" t="s">
        <v>3476</v>
      </c>
      <c r="B715" s="6" t="str">
        <f>VLOOKUP(LD_01[[#This Row],[DOCUMENTO]],_xlfn.SORTBY(ARQUIVOS_RECEBIDOS!$E$2:$F$5010,ARQUIVOS_RECEBIDOS!$F$2:$F$5010,-1),2,)</f>
        <v>R01</v>
      </c>
      <c r="C715" s="15" t="s">
        <v>5987</v>
      </c>
      <c r="D715" s="6" t="s">
        <v>4317</v>
      </c>
      <c r="E715" s="8" t="s">
        <v>4193</v>
      </c>
      <c r="F715" s="8" t="s">
        <v>4338</v>
      </c>
      <c r="G715" s="6" t="str">
        <f>_xlfn.XLOOKUP(LD_01[[#This Row],[DISCIPLINA]],'CLASSES DE PROJETOS'!$F$3:$F$37,'CLASSES DE PROJETOS'!$C$3:$C$37)</f>
        <v>DS</v>
      </c>
      <c r="H715" t="str">
        <f>_xlfn.TEXTJOIN("/",TRUE,"MSV-163MS-"&amp;LD_01[[#This Row],[TRECHO]],_xlfn.XLOOKUP(LD_01[[#This Row],[SIGLA]],'CLASSES DE PROJETOS'!$C$3:$C$37,'CLASSES DE PROJETOS'!$E$3:$E$37))</f>
        <v>MSV-163MS-535-545/11.DS</v>
      </c>
      <c r="I715" s="6" t="str" cm="1">
        <f t="array" ref="I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J715" s="6" t="str" cm="1">
        <f t="array" ref="J715">_xlfn.TEXTJOIN(", ",TRUE,_xlfn.UNIQUE(_xlfn._xlws.FILTER(ARQUIVOS_RECEBIDOS!$F$2:$F$5010,ARQUIVOS_RECEBIDOS!$E$2:$E$5010=LD_01[[#This Row],[DOCUMENTO]])))</f>
        <v>R00, R01</v>
      </c>
      <c r="K715" s="12" cm="1">
        <f t="array" ref="K715">_xlfn.UNIQUE(_xlfn._xlws.FILTER(ARQUIVOS[DATA RECEBIMENTO],(ARQUIVOS[DOCUMENTO]=LD_01[[#This Row],[DOCUMENTO]])*(ARQUIVOS[REVISÃO]=LD_01[[#This Row],[REVISÃO]])))</f>
        <v>45946</v>
      </c>
      <c r="L7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M715" s="6" t="str">
        <f>LD_01[[#This Row],[PASTA]]&amp;"/"&amp;LD_01[[#This Row],[ARQUIVO]]</f>
        <v>MSV-163MS-535-545/11.DS/MSV-163MS-535-545-ACA-EXE-MD-Q1-001-R01.pdf</v>
      </c>
    </row>
    <row r="716" spans="1:13" hidden="1" x14ac:dyDescent="0.3">
      <c r="A716" s="6" t="s">
        <v>3405</v>
      </c>
      <c r="B716" s="6" t="str">
        <f>VLOOKUP(LD_01[[#This Row],[DOCUMENTO]],_xlfn.SORTBY(ARQUIVOS_RECEBIDOS!$E$2:$F$5010,ARQUIVOS_RECEBIDOS!$F$2:$F$5010,-1),2,)</f>
        <v>R03</v>
      </c>
      <c r="C716" s="15" t="s">
        <v>5987</v>
      </c>
      <c r="D716" s="6" t="s">
        <v>4317</v>
      </c>
      <c r="E716" s="8" t="s">
        <v>4091</v>
      </c>
      <c r="F716" s="8" t="s">
        <v>4143</v>
      </c>
      <c r="G716" s="6" t="str">
        <f>_xlfn.XLOOKUP(LD_01[[#This Row],[DISCIPLINA]],'CLASSES DE PROJETOS'!$F$3:$F$37,'CLASSES DE PROJETOS'!$C$3:$C$37)</f>
        <v>PV</v>
      </c>
      <c r="H716" t="str">
        <f>_xlfn.TEXTJOIN("/",TRUE,"MSV-163MS-"&amp;LD_01[[#This Row],[TRECHO]],_xlfn.XLOOKUP(LD_01[[#This Row],[SIGLA]],'CLASSES DE PROJETOS'!$C$3:$C$37,'CLASSES DE PROJETOS'!$E$3:$E$37))</f>
        <v>MSV-163MS-535-545/28.PV</v>
      </c>
      <c r="I716" s="6" t="str" cm="1">
        <f t="array" ref="I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J716" s="6" t="str" cm="1">
        <f t="array" ref="J716">_xlfn.TEXTJOIN(", ",TRUE,_xlfn.UNIQUE(_xlfn._xlws.FILTER(ARQUIVOS_RECEBIDOS!$F$2:$F$5010,ARQUIVOS_RECEBIDOS!$E$2:$E$5010=LD_01[[#This Row],[DOCUMENTO]])))</f>
        <v>R01, R02, R03</v>
      </c>
      <c r="K716" s="12" cm="1">
        <f t="array" ref="K716">_xlfn.UNIQUE(_xlfn._xlws.FILTER(ARQUIVOS[DATA RECEBIMENTO],(ARQUIVOS[DOCUMENTO]=LD_01[[#This Row],[DOCUMENTO]])*(ARQUIVOS[REVISÃO]=LD_01[[#This Row],[REVISÃO]])))</f>
        <v>46091</v>
      </c>
      <c r="L7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M716" s="6" t="str">
        <f>LD_01[[#This Row],[PASTA]]&amp;"/"&amp;LD_01[[#This Row],[ARQUIVO]]</f>
        <v>MSV-163MS-535-545/28.PV/MSV-163MS-535-545-ACA-EXE-NS-C3-001-R03.pdf</v>
      </c>
    </row>
    <row r="717" spans="1:13" hidden="1" x14ac:dyDescent="0.3">
      <c r="A717" s="6" t="s">
        <v>3406</v>
      </c>
      <c r="B717" s="6" t="str">
        <f>VLOOKUP(LD_01[[#This Row],[DOCUMENTO]],_xlfn.SORTBY(ARQUIVOS_RECEBIDOS!$E$2:$F$5010,ARQUIVOS_RECEBIDOS!$F$2:$F$5010,-1),2,)</f>
        <v>R03</v>
      </c>
      <c r="C717" s="15" t="s">
        <v>5987</v>
      </c>
      <c r="D717" s="6" t="s">
        <v>4317</v>
      </c>
      <c r="E717" s="8" t="s">
        <v>4091</v>
      </c>
      <c r="F717" s="8" t="s">
        <v>4143</v>
      </c>
      <c r="G717" s="6" t="str">
        <f>_xlfn.XLOOKUP(LD_01[[#This Row],[DISCIPLINA]],'CLASSES DE PROJETOS'!$F$3:$F$37,'CLASSES DE PROJETOS'!$C$3:$C$37)</f>
        <v>PV</v>
      </c>
      <c r="H717" t="str">
        <f>_xlfn.TEXTJOIN("/",TRUE,"MSV-163MS-"&amp;LD_01[[#This Row],[TRECHO]],_xlfn.XLOOKUP(LD_01[[#This Row],[SIGLA]],'CLASSES DE PROJETOS'!$C$3:$C$37,'CLASSES DE PROJETOS'!$E$3:$E$37))</f>
        <v>MSV-163MS-535-545/28.PV</v>
      </c>
      <c r="I717" s="6" t="str" cm="1">
        <f t="array" ref="I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J717" s="6" t="str" cm="1">
        <f t="array" ref="J717">_xlfn.TEXTJOIN(", ",TRUE,_xlfn.UNIQUE(_xlfn._xlws.FILTER(ARQUIVOS_RECEBIDOS!$F$2:$F$5010,ARQUIVOS_RECEBIDOS!$E$2:$E$5010=LD_01[[#This Row],[DOCUMENTO]])))</f>
        <v>R03</v>
      </c>
      <c r="K717" s="12" cm="1">
        <f t="array" ref="K717">_xlfn.UNIQUE(_xlfn._xlws.FILTER(ARQUIVOS[DATA RECEBIMENTO],(ARQUIVOS[DOCUMENTO]=LD_01[[#This Row],[DOCUMENTO]])*(ARQUIVOS[REVISÃO]=LD_01[[#This Row],[REVISÃO]])))</f>
        <v>45838</v>
      </c>
      <c r="L7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M717" s="6" t="str">
        <f>LD_01[[#This Row],[PASTA]]&amp;"/"&amp;LD_01[[#This Row],[ARQUIVO]]</f>
        <v>MSV-163MS-535-545/28.PV/MSV-163MS-535-545-ACA-EXE-NS-C3-002-R03.pdf</v>
      </c>
    </row>
    <row r="718" spans="1:13" hidden="1" x14ac:dyDescent="0.3">
      <c r="A718" s="6" t="s">
        <v>3407</v>
      </c>
      <c r="B718" s="6" t="str">
        <f>VLOOKUP(LD_01[[#This Row],[DOCUMENTO]],_xlfn.SORTBY(ARQUIVOS_RECEBIDOS!$E$2:$F$5010,ARQUIVOS_RECEBIDOS!$F$2:$F$5010,-1),2,)</f>
        <v>R01</v>
      </c>
      <c r="C718" s="15" t="s">
        <v>5987</v>
      </c>
      <c r="D718" s="6" t="s">
        <v>4317</v>
      </c>
      <c r="E718" s="8" t="s">
        <v>4091</v>
      </c>
      <c r="F718" s="8" t="s">
        <v>4143</v>
      </c>
      <c r="G718" s="6" t="str">
        <f>_xlfn.XLOOKUP(LD_01[[#This Row],[DISCIPLINA]],'CLASSES DE PROJETOS'!$F$3:$F$37,'CLASSES DE PROJETOS'!$C$3:$C$37)</f>
        <v>PV</v>
      </c>
      <c r="H718" t="str">
        <f>_xlfn.TEXTJOIN("/",TRUE,"MSV-163MS-"&amp;LD_01[[#This Row],[TRECHO]],_xlfn.XLOOKUP(LD_01[[#This Row],[SIGLA]],'CLASSES DE PROJETOS'!$C$3:$C$37,'CLASSES DE PROJETOS'!$E$3:$E$37))</f>
        <v>MSV-163MS-535-545/28.PV</v>
      </c>
      <c r="I718" s="6" t="str" cm="1">
        <f t="array" ref="I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J718" s="6" t="str" cm="1">
        <f t="array" ref="J718">_xlfn.TEXTJOIN(", ",TRUE,_xlfn.UNIQUE(_xlfn._xlws.FILTER(ARQUIVOS_RECEBIDOS!$F$2:$F$5010,ARQUIVOS_RECEBIDOS!$E$2:$E$5010=LD_01[[#This Row],[DOCUMENTO]])))</f>
        <v>R01</v>
      </c>
      <c r="K718" s="12" cm="1">
        <f t="array" ref="K718">_xlfn.UNIQUE(_xlfn._xlws.FILTER(ARQUIVOS[DATA RECEBIMENTO],(ARQUIVOS[DOCUMENTO]=LD_01[[#This Row],[DOCUMENTO]])*(ARQUIVOS[REVISÃO]=LD_01[[#This Row],[REVISÃO]])))</f>
        <v>45838</v>
      </c>
      <c r="L7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M718" s="6" t="str">
        <f>LD_01[[#This Row],[PASTA]]&amp;"/"&amp;LD_01[[#This Row],[ARQUIVO]]</f>
        <v>MSV-163MS-535-545/28.PV/MSV-163MS-535-545-ACA-EXE-NS-C3-003-R01.pdf</v>
      </c>
    </row>
    <row r="719" spans="1:13" hidden="1" x14ac:dyDescent="0.3">
      <c r="A719" s="6" t="s">
        <v>3254</v>
      </c>
      <c r="B719" s="6" t="str">
        <f>VLOOKUP(LD_01[[#This Row],[DOCUMENTO]],_xlfn.SORTBY(ARQUIVOS_RECEBIDOS!$E$2:$F$5010,ARQUIVOS_RECEBIDOS!$F$2:$F$5010,-1),2,)</f>
        <v>R01</v>
      </c>
      <c r="C719" s="15" t="s">
        <v>5987</v>
      </c>
      <c r="D719" s="6" t="s">
        <v>4317</v>
      </c>
      <c r="E719" s="8" t="s">
        <v>4165</v>
      </c>
      <c r="F719" s="8" t="s">
        <v>4163</v>
      </c>
      <c r="G719" s="6" t="str">
        <f>_xlfn.XLOOKUP(LD_01[[#This Row],[DISCIPLINA]],'CLASSES DE PROJETOS'!$F$3:$F$37,'CLASSES DE PROJETOS'!$C$3:$C$37)</f>
        <v>TO</v>
      </c>
      <c r="H719" t="str">
        <f>_xlfn.TEXTJOIN("/",TRUE,"MSV-163MS-"&amp;LD_01[[#This Row],[TRECHO]],_xlfn.XLOOKUP(LD_01[[#This Row],[SIGLA]],'CLASSES DE PROJETOS'!$C$3:$C$37,'CLASSES DE PROJETOS'!$E$3:$E$37))</f>
        <v>MSV-163MS-535-545/33.TO</v>
      </c>
      <c r="I719" s="6" t="str" cm="1">
        <f t="array" ref="I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J719" s="6" t="str" cm="1">
        <f t="array" ref="J719">_xlfn.TEXTJOIN(", ",TRUE,_xlfn.UNIQUE(_xlfn._xlws.FILTER(ARQUIVOS_RECEBIDOS!$F$2:$F$5010,ARQUIVOS_RECEBIDOS!$E$2:$E$5010=LD_01[[#This Row],[DOCUMENTO]])))</f>
        <v>R01</v>
      </c>
      <c r="K719" s="12" cm="1">
        <f t="array" ref="K719">_xlfn.UNIQUE(_xlfn._xlws.FILTER(ARQUIVOS[DATA RECEBIMENTO],(ARQUIVOS[DOCUMENTO]=LD_01[[#This Row],[DOCUMENTO]])*(ARQUIVOS[REVISÃO]=LD_01[[#This Row],[REVISÃO]])))</f>
        <v>45838</v>
      </c>
      <c r="L7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M719" s="6" t="str">
        <f>LD_01[[#This Row],[PASTA]]&amp;"/"&amp;LD_01[[#This Row],[ARQUIVO]]</f>
        <v>MSV-163MS-535-545/33.TO/MSV-163MS-535-545-ACA-EXE-RT-C1-001-R01.pdf</v>
      </c>
    </row>
    <row r="720" spans="1:13" ht="28.8" hidden="1" x14ac:dyDescent="0.3">
      <c r="A720" s="6" t="s">
        <v>3446</v>
      </c>
      <c r="B720" s="6" t="str">
        <f>VLOOKUP(LD_01[[#This Row],[DOCUMENTO]],_xlfn.SORTBY(ARQUIVOS_RECEBIDOS!$E$2:$F$5010,ARQUIVOS_RECEBIDOS!$F$2:$F$5010,-1),2,)</f>
        <v>R02</v>
      </c>
      <c r="C720" s="15" t="s">
        <v>5987</v>
      </c>
      <c r="D720" s="6" t="s">
        <v>4317</v>
      </c>
      <c r="E720" s="8" t="s">
        <v>4092</v>
      </c>
      <c r="F720" s="8" t="s">
        <v>4332</v>
      </c>
      <c r="G720" s="6" t="str">
        <f>_xlfn.XLOOKUP(LD_01[[#This Row],[DISCIPLINA]],'CLASSES DE PROJETOS'!$F$3:$F$37,'CLASSES DE PROJETOS'!$C$3:$C$37)</f>
        <v>GG</v>
      </c>
      <c r="H720" t="str">
        <f>_xlfn.TEXTJOIN("/",TRUE,"MSV-163MS-"&amp;LD_01[[#This Row],[TRECHO]],_xlfn.XLOOKUP(LD_01[[#This Row],[SIGLA]],'CLASSES DE PROJETOS'!$C$3:$C$37,'CLASSES DE PROJETOS'!$E$3:$E$37))</f>
        <v>MSV-163MS-535-545/19.GG</v>
      </c>
      <c r="I720" s="6" t="str" cm="1">
        <f t="array" ref="I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J720" s="6" t="str" cm="1">
        <f t="array" ref="J720">_xlfn.TEXTJOIN(", ",TRUE,_xlfn.UNIQUE(_xlfn._xlws.FILTER(ARQUIVOS_RECEBIDOS!$F$2:$F$5010,ARQUIVOS_RECEBIDOS!$E$2:$E$5010=LD_01[[#This Row],[DOCUMENTO]])))</f>
        <v>R02</v>
      </c>
      <c r="K720" s="12" cm="1">
        <f t="array" ref="K720">_xlfn.UNIQUE(_xlfn._xlws.FILTER(ARQUIVOS[DATA RECEBIMENTO],(ARQUIVOS[DOCUMENTO]=LD_01[[#This Row],[DOCUMENTO]])*(ARQUIVOS[REVISÃO]=LD_01[[#This Row],[REVISÃO]])))</f>
        <v>45838</v>
      </c>
      <c r="L7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M720" s="6" t="str">
        <f>LD_01[[#This Row],[PASTA]]&amp;"/"&amp;LD_01[[#This Row],[ARQUIVO]]</f>
        <v>MSV-163MS-535-545/19.GG/MSV-163MS-535-545-ACA-EXE-RT-D3-001-R02.pdf</v>
      </c>
    </row>
    <row r="721" spans="1:13" ht="28.8" hidden="1" x14ac:dyDescent="0.3">
      <c r="A721" s="6" t="s">
        <v>3447</v>
      </c>
      <c r="B721" s="6" t="str">
        <f>VLOOKUP(LD_01[[#This Row],[DOCUMENTO]],_xlfn.SORTBY(ARQUIVOS_RECEBIDOS!$E$2:$F$5010,ARQUIVOS_RECEBIDOS!$F$2:$F$5010,-1),2,)</f>
        <v>R01</v>
      </c>
      <c r="C721" s="15" t="s">
        <v>5987</v>
      </c>
      <c r="D721" s="6" t="s">
        <v>4317</v>
      </c>
      <c r="E721" s="8" t="s">
        <v>4092</v>
      </c>
      <c r="F721" s="8" t="s">
        <v>4332</v>
      </c>
      <c r="G721" s="6" t="str">
        <f>_xlfn.XLOOKUP(LD_01[[#This Row],[DISCIPLINA]],'CLASSES DE PROJETOS'!$F$3:$F$37,'CLASSES DE PROJETOS'!$C$3:$C$37)</f>
        <v>GG</v>
      </c>
      <c r="H721" t="str">
        <f>_xlfn.TEXTJOIN("/",TRUE,"MSV-163MS-"&amp;LD_01[[#This Row],[TRECHO]],_xlfn.XLOOKUP(LD_01[[#This Row],[SIGLA]],'CLASSES DE PROJETOS'!$C$3:$C$37,'CLASSES DE PROJETOS'!$E$3:$E$37))</f>
        <v>MSV-163MS-535-545/19.GG</v>
      </c>
      <c r="I721" s="6" t="str" cm="1">
        <f t="array" ref="I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J721" s="6" t="str" cm="1">
        <f t="array" ref="J721">_xlfn.TEXTJOIN(", ",TRUE,_xlfn.UNIQUE(_xlfn._xlws.FILTER(ARQUIVOS_RECEBIDOS!$F$2:$F$5010,ARQUIVOS_RECEBIDOS!$E$2:$E$5010=LD_01[[#This Row],[DOCUMENTO]])))</f>
        <v>R01</v>
      </c>
      <c r="K721" s="12" cm="1">
        <f t="array" ref="K721">_xlfn.UNIQUE(_xlfn._xlws.FILTER(ARQUIVOS[DATA RECEBIMENTO],(ARQUIVOS[DOCUMENTO]=LD_01[[#This Row],[DOCUMENTO]])*(ARQUIVOS[REVISÃO]=LD_01[[#This Row],[REVISÃO]])))</f>
        <v>45838</v>
      </c>
      <c r="L7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M721" s="6" t="str">
        <f>LD_01[[#This Row],[PASTA]]&amp;"/"&amp;LD_01[[#This Row],[ARQUIVO]]</f>
        <v>MSV-163MS-535-545/19.GG/MSV-163MS-535-545-ACA-EXE-RT-D3-002-R01.pdf</v>
      </c>
    </row>
    <row r="722" spans="1:13" ht="28.8" hidden="1" x14ac:dyDescent="0.3">
      <c r="A722" s="6" t="s">
        <v>3448</v>
      </c>
      <c r="B722" s="6" t="str">
        <f>VLOOKUP(LD_01[[#This Row],[DOCUMENTO]],_xlfn.SORTBY(ARQUIVOS_RECEBIDOS!$E$2:$F$5010,ARQUIVOS_RECEBIDOS!$F$2:$F$5010,-1),2,)</f>
        <v>R01</v>
      </c>
      <c r="C722" s="15" t="s">
        <v>5987</v>
      </c>
      <c r="D722" s="6" t="s">
        <v>4317</v>
      </c>
      <c r="E722" s="8" t="s">
        <v>4092</v>
      </c>
      <c r="F722" s="8" t="s">
        <v>4332</v>
      </c>
      <c r="G722" s="6" t="str">
        <f>_xlfn.XLOOKUP(LD_01[[#This Row],[DISCIPLINA]],'CLASSES DE PROJETOS'!$F$3:$F$37,'CLASSES DE PROJETOS'!$C$3:$C$37)</f>
        <v>GG</v>
      </c>
      <c r="H722" t="str">
        <f>_xlfn.TEXTJOIN("/",TRUE,"MSV-163MS-"&amp;LD_01[[#This Row],[TRECHO]],_xlfn.XLOOKUP(LD_01[[#This Row],[SIGLA]],'CLASSES DE PROJETOS'!$C$3:$C$37,'CLASSES DE PROJETOS'!$E$3:$E$37))</f>
        <v>MSV-163MS-535-545/19.GG</v>
      </c>
      <c r="I722" s="6" t="str" cm="1">
        <f t="array" ref="I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J722" s="6" t="str" cm="1">
        <f t="array" ref="J722">_xlfn.TEXTJOIN(", ",TRUE,_xlfn.UNIQUE(_xlfn._xlws.FILTER(ARQUIVOS_RECEBIDOS!$F$2:$F$5010,ARQUIVOS_RECEBIDOS!$E$2:$E$5010=LD_01[[#This Row],[DOCUMENTO]])))</f>
        <v>R01</v>
      </c>
      <c r="K722" s="12" cm="1">
        <f t="array" ref="K722">_xlfn.UNIQUE(_xlfn._xlws.FILTER(ARQUIVOS[DATA RECEBIMENTO],(ARQUIVOS[DOCUMENTO]=LD_01[[#This Row],[DOCUMENTO]])*(ARQUIVOS[REVISÃO]=LD_01[[#This Row],[REVISÃO]])))</f>
        <v>45838</v>
      </c>
      <c r="L7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M722" s="6" t="str">
        <f>LD_01[[#This Row],[PASTA]]&amp;"/"&amp;LD_01[[#This Row],[ARQUIVO]]</f>
        <v>MSV-163MS-535-545/19.GG/MSV-163MS-535-545-ACA-EXE-RT-D3-003-R01.pdf</v>
      </c>
    </row>
    <row r="723" spans="1:13" ht="28.8" hidden="1" x14ac:dyDescent="0.3">
      <c r="A723" s="6" t="s">
        <v>3449</v>
      </c>
      <c r="B723" s="6" t="str">
        <f>VLOOKUP(LD_01[[#This Row],[DOCUMENTO]],_xlfn.SORTBY(ARQUIVOS_RECEBIDOS!$E$2:$F$5010,ARQUIVOS_RECEBIDOS!$F$2:$F$5010,-1),2,)</f>
        <v>R01</v>
      </c>
      <c r="C723" s="15" t="s">
        <v>5987</v>
      </c>
      <c r="D723" s="6" t="s">
        <v>4317</v>
      </c>
      <c r="E723" s="8" t="s">
        <v>4092</v>
      </c>
      <c r="F723" s="8" t="s">
        <v>4332</v>
      </c>
      <c r="G723" s="6" t="str">
        <f>_xlfn.XLOOKUP(LD_01[[#This Row],[DISCIPLINA]],'CLASSES DE PROJETOS'!$F$3:$F$37,'CLASSES DE PROJETOS'!$C$3:$C$37)</f>
        <v>GG</v>
      </c>
      <c r="H723" t="str">
        <f>_xlfn.TEXTJOIN("/",TRUE,"MSV-163MS-"&amp;LD_01[[#This Row],[TRECHO]],_xlfn.XLOOKUP(LD_01[[#This Row],[SIGLA]],'CLASSES DE PROJETOS'!$C$3:$C$37,'CLASSES DE PROJETOS'!$E$3:$E$37))</f>
        <v>MSV-163MS-535-545/19.GG</v>
      </c>
      <c r="I723" s="6" t="str" cm="1">
        <f t="array" ref="I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J723" s="6" t="str" cm="1">
        <f t="array" ref="J723">_xlfn.TEXTJOIN(", ",TRUE,_xlfn.UNIQUE(_xlfn._xlws.FILTER(ARQUIVOS_RECEBIDOS!$F$2:$F$5010,ARQUIVOS_RECEBIDOS!$E$2:$E$5010=LD_01[[#This Row],[DOCUMENTO]])))</f>
        <v>R01</v>
      </c>
      <c r="K723" s="12" cm="1">
        <f t="array" ref="K723">_xlfn.UNIQUE(_xlfn._xlws.FILTER(ARQUIVOS[DATA RECEBIMENTO],(ARQUIVOS[DOCUMENTO]=LD_01[[#This Row],[DOCUMENTO]])*(ARQUIVOS[REVISÃO]=LD_01[[#This Row],[REVISÃO]])))</f>
        <v>45838</v>
      </c>
      <c r="L7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M723" s="6" t="str">
        <f>LD_01[[#This Row],[PASTA]]&amp;"/"&amp;LD_01[[#This Row],[ARQUIVO]]</f>
        <v>MSV-163MS-535-545/19.GG/MSV-163MS-535-545-ACA-EXE-RT-D3-004-R01.pdf</v>
      </c>
    </row>
    <row r="724" spans="1:13" ht="28.8" hidden="1" x14ac:dyDescent="0.3">
      <c r="A724" s="6" t="s">
        <v>3450</v>
      </c>
      <c r="B724" s="6" t="str">
        <f>VLOOKUP(LD_01[[#This Row],[DOCUMENTO]],_xlfn.SORTBY(ARQUIVOS_RECEBIDOS!$E$2:$F$5010,ARQUIVOS_RECEBIDOS!$F$2:$F$5010,-1),2,)</f>
        <v>R00</v>
      </c>
      <c r="C724" s="15" t="s">
        <v>5987</v>
      </c>
      <c r="D724" s="6" t="s">
        <v>4317</v>
      </c>
      <c r="E724" s="8" t="s">
        <v>4092</v>
      </c>
      <c r="F724" s="8" t="s">
        <v>4332</v>
      </c>
      <c r="G724" s="6" t="str">
        <f>_xlfn.XLOOKUP(LD_01[[#This Row],[DISCIPLINA]],'CLASSES DE PROJETOS'!$F$3:$F$37,'CLASSES DE PROJETOS'!$C$3:$C$37)</f>
        <v>GG</v>
      </c>
      <c r="H724" t="str">
        <f>_xlfn.TEXTJOIN("/",TRUE,"MSV-163MS-"&amp;LD_01[[#This Row],[TRECHO]],_xlfn.XLOOKUP(LD_01[[#This Row],[SIGLA]],'CLASSES DE PROJETOS'!$C$3:$C$37,'CLASSES DE PROJETOS'!$E$3:$E$37))</f>
        <v>MSV-163MS-535-545/19.GG</v>
      </c>
      <c r="I724" s="6" t="str" cm="1">
        <f t="array" ref="I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J724" s="6" t="str" cm="1">
        <f t="array" ref="J724">_xlfn.TEXTJOIN(", ",TRUE,_xlfn.UNIQUE(_xlfn._xlws.FILTER(ARQUIVOS_RECEBIDOS!$F$2:$F$5010,ARQUIVOS_RECEBIDOS!$E$2:$E$5010=LD_01[[#This Row],[DOCUMENTO]])))</f>
        <v>R00</v>
      </c>
      <c r="K724" s="12" cm="1">
        <f t="array" ref="K724">_xlfn.UNIQUE(_xlfn._xlws.FILTER(ARQUIVOS[DATA RECEBIMENTO],(ARQUIVOS[DOCUMENTO]=LD_01[[#This Row],[DOCUMENTO]])*(ARQUIVOS[REVISÃO]=LD_01[[#This Row],[REVISÃO]])))</f>
        <v>45838</v>
      </c>
      <c r="L7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M724" s="6" t="str">
        <f>LD_01[[#This Row],[PASTA]]&amp;"/"&amp;LD_01[[#This Row],[ARQUIVO]]</f>
        <v>MSV-163MS-535-545/19.GG/MSV-163MS-535-545-ACA-EXE-RT-D3-005-R00.pdf</v>
      </c>
    </row>
    <row r="725" spans="1:13" ht="28.8" hidden="1" x14ac:dyDescent="0.3">
      <c r="A725" s="6" t="s">
        <v>3451</v>
      </c>
      <c r="B725" s="6" t="str">
        <f>VLOOKUP(LD_01[[#This Row],[DOCUMENTO]],_xlfn.SORTBY(ARQUIVOS_RECEBIDOS!$E$2:$F$5010,ARQUIVOS_RECEBIDOS!$F$2:$F$5010,-1),2,)</f>
        <v>R01</v>
      </c>
      <c r="C725" s="15" t="s">
        <v>5987</v>
      </c>
      <c r="D725" s="6" t="s">
        <v>4317</v>
      </c>
      <c r="E725" s="8" t="s">
        <v>4092</v>
      </c>
      <c r="F725" s="8" t="s">
        <v>4332</v>
      </c>
      <c r="G725" s="6" t="str">
        <f>_xlfn.XLOOKUP(LD_01[[#This Row],[DISCIPLINA]],'CLASSES DE PROJETOS'!$F$3:$F$37,'CLASSES DE PROJETOS'!$C$3:$C$37)</f>
        <v>GG</v>
      </c>
      <c r="H725" t="str">
        <f>_xlfn.TEXTJOIN("/",TRUE,"MSV-163MS-"&amp;LD_01[[#This Row],[TRECHO]],_xlfn.XLOOKUP(LD_01[[#This Row],[SIGLA]],'CLASSES DE PROJETOS'!$C$3:$C$37,'CLASSES DE PROJETOS'!$E$3:$E$37))</f>
        <v>MSV-163MS-535-545/19.GG</v>
      </c>
      <c r="I725" s="6" t="str" cm="1">
        <f t="array" ref="I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J725" s="6" t="str" cm="1">
        <f t="array" ref="J725">_xlfn.TEXTJOIN(", ",TRUE,_xlfn.UNIQUE(_xlfn._xlws.FILTER(ARQUIVOS_RECEBIDOS!$F$2:$F$5010,ARQUIVOS_RECEBIDOS!$E$2:$E$5010=LD_01[[#This Row],[DOCUMENTO]])))</f>
        <v>R01</v>
      </c>
      <c r="K725" s="12" cm="1">
        <f t="array" ref="K725">_xlfn.UNIQUE(_xlfn._xlws.FILTER(ARQUIVOS[DATA RECEBIMENTO],(ARQUIVOS[DOCUMENTO]=LD_01[[#This Row],[DOCUMENTO]])*(ARQUIVOS[REVISÃO]=LD_01[[#This Row],[REVISÃO]])))</f>
        <v>45838</v>
      </c>
      <c r="L7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M725" s="6" t="str">
        <f>LD_01[[#This Row],[PASTA]]&amp;"/"&amp;LD_01[[#This Row],[ARQUIVO]]</f>
        <v>MSV-163MS-535-545/19.GG/MSV-163MS-535-545-ACA-EXE-RT-D3-006-R01.pdf</v>
      </c>
    </row>
    <row r="726" spans="1:13" ht="28.8" hidden="1" x14ac:dyDescent="0.3">
      <c r="A726" s="6" t="s">
        <v>3452</v>
      </c>
      <c r="B726" s="6" t="str">
        <f>VLOOKUP(LD_01[[#This Row],[DOCUMENTO]],_xlfn.SORTBY(ARQUIVOS_RECEBIDOS!$E$2:$F$5010,ARQUIVOS_RECEBIDOS!$F$2:$F$5010,-1),2,)</f>
        <v>R00</v>
      </c>
      <c r="C726" s="15" t="s">
        <v>5987</v>
      </c>
      <c r="D726" s="6" t="s">
        <v>4317</v>
      </c>
      <c r="E726" s="8" t="s">
        <v>4124</v>
      </c>
      <c r="F726" s="8" t="s">
        <v>4332</v>
      </c>
      <c r="G726" s="6" t="str">
        <f>_xlfn.XLOOKUP(LD_01[[#This Row],[DISCIPLINA]],'CLASSES DE PROJETOS'!$F$3:$F$37,'CLASSES DE PROJETOS'!$C$3:$C$37)</f>
        <v>GG</v>
      </c>
      <c r="H726" t="str">
        <f>_xlfn.TEXTJOIN("/",TRUE,"MSV-163MS-"&amp;LD_01[[#This Row],[TRECHO]],_xlfn.XLOOKUP(LD_01[[#This Row],[SIGLA]],'CLASSES DE PROJETOS'!$C$3:$C$37,'CLASSES DE PROJETOS'!$E$3:$E$37))</f>
        <v>MSV-163MS-535-545/19.GG</v>
      </c>
      <c r="I726" s="6" t="str" cm="1">
        <f t="array" ref="I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J726" s="6" t="str" cm="1">
        <f t="array" ref="J726">_xlfn.TEXTJOIN(", ",TRUE,_xlfn.UNIQUE(_xlfn._xlws.FILTER(ARQUIVOS_RECEBIDOS!$F$2:$F$5010,ARQUIVOS_RECEBIDOS!$E$2:$E$5010=LD_01[[#This Row],[DOCUMENTO]])))</f>
        <v>R00</v>
      </c>
      <c r="K726" s="12" cm="1">
        <f t="array" ref="K726">_xlfn.UNIQUE(_xlfn._xlws.FILTER(ARQUIVOS[DATA RECEBIMENTO],(ARQUIVOS[DOCUMENTO]=LD_01[[#This Row],[DOCUMENTO]])*(ARQUIVOS[REVISÃO]=LD_01[[#This Row],[REVISÃO]])))</f>
        <v>45838</v>
      </c>
      <c r="L7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M726" s="6" t="str">
        <f>LD_01[[#This Row],[PASTA]]&amp;"/"&amp;LD_01[[#This Row],[ARQUIVO]]</f>
        <v>MSV-163MS-535-545/19.GG/MSV-163MS-535-545-ACA-EXE-RT-D3-007-R00.pdf</v>
      </c>
    </row>
    <row r="727" spans="1:13" ht="28.8" hidden="1" x14ac:dyDescent="0.3">
      <c r="A727" s="6" t="s">
        <v>3453</v>
      </c>
      <c r="B727" s="6" t="str">
        <f>VLOOKUP(LD_01[[#This Row],[DOCUMENTO]],_xlfn.SORTBY(ARQUIVOS_RECEBIDOS!$E$2:$F$5010,ARQUIVOS_RECEBIDOS!$F$2:$F$5010,-1),2,)</f>
        <v>R04</v>
      </c>
      <c r="C727" s="15" t="s">
        <v>5987</v>
      </c>
      <c r="D727" s="6" t="s">
        <v>4317</v>
      </c>
      <c r="E727" s="8" t="s">
        <v>4103</v>
      </c>
      <c r="F727" s="8" t="s">
        <v>4332</v>
      </c>
      <c r="G727" s="6" t="str">
        <f>_xlfn.XLOOKUP(LD_01[[#This Row],[DISCIPLINA]],'CLASSES DE PROJETOS'!$F$3:$F$37,'CLASSES DE PROJETOS'!$C$3:$C$37)</f>
        <v>GG</v>
      </c>
      <c r="H727" t="str">
        <f>_xlfn.TEXTJOIN("/",TRUE,"MSV-163MS-"&amp;LD_01[[#This Row],[TRECHO]],_xlfn.XLOOKUP(LD_01[[#This Row],[SIGLA]],'CLASSES DE PROJETOS'!$C$3:$C$37,'CLASSES DE PROJETOS'!$E$3:$E$37))</f>
        <v>MSV-163MS-535-545/19.GG</v>
      </c>
      <c r="I727" s="6" t="str" cm="1">
        <f t="array" ref="I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J727" s="6" t="str" cm="1">
        <f t="array" ref="J727">_xlfn.TEXTJOIN(", ",TRUE,_xlfn.UNIQUE(_xlfn._xlws.FILTER(ARQUIVOS_RECEBIDOS!$F$2:$F$5010,ARQUIVOS_RECEBIDOS!$E$2:$E$5010=LD_01[[#This Row],[DOCUMENTO]])))</f>
        <v>R04</v>
      </c>
      <c r="K727" s="12" cm="1">
        <f t="array" ref="K727">_xlfn.UNIQUE(_xlfn._xlws.FILTER(ARQUIVOS[DATA RECEBIMENTO],(ARQUIVOS[DOCUMENTO]=LD_01[[#This Row],[DOCUMENTO]])*(ARQUIVOS[REVISÃO]=LD_01[[#This Row],[REVISÃO]])))</f>
        <v>45838</v>
      </c>
      <c r="L7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M727" s="6" t="str">
        <f>LD_01[[#This Row],[PASTA]]&amp;"/"&amp;LD_01[[#This Row],[ARQUIVO]]</f>
        <v>MSV-163MS-535-545/19.GG/MSV-163MS-535-545-ACA-EXE-RT-D3-101-R04.pdf</v>
      </c>
    </row>
    <row r="728" spans="1:13" ht="28.8" hidden="1" x14ac:dyDescent="0.3">
      <c r="A728" s="6" t="s">
        <v>3454</v>
      </c>
      <c r="B728" s="6" t="str">
        <f>VLOOKUP(LD_01[[#This Row],[DOCUMENTO]],_xlfn.SORTBY(ARQUIVOS_RECEBIDOS!$E$2:$F$5010,ARQUIVOS_RECEBIDOS!$F$2:$F$5010,-1),2,)</f>
        <v>R00</v>
      </c>
      <c r="C728" s="15" t="s">
        <v>5987</v>
      </c>
      <c r="D728" s="6" t="s">
        <v>4317</v>
      </c>
      <c r="E728" s="8" t="s">
        <v>4191</v>
      </c>
      <c r="F728" s="8" t="s">
        <v>4332</v>
      </c>
      <c r="G728" s="6" t="str">
        <f>_xlfn.XLOOKUP(LD_01[[#This Row],[DISCIPLINA]],'CLASSES DE PROJETOS'!$F$3:$F$37,'CLASSES DE PROJETOS'!$C$3:$C$37)</f>
        <v>GG</v>
      </c>
      <c r="H728" t="str">
        <f>_xlfn.TEXTJOIN("/",TRUE,"MSV-163MS-"&amp;LD_01[[#This Row],[TRECHO]],_xlfn.XLOOKUP(LD_01[[#This Row],[SIGLA]],'CLASSES DE PROJETOS'!$C$3:$C$37,'CLASSES DE PROJETOS'!$E$3:$E$37))</f>
        <v>MSV-163MS-535-545/19.GG</v>
      </c>
      <c r="I728" s="6" t="str" cm="1">
        <f t="array" ref="I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J728" s="6" t="str" cm="1">
        <f t="array" ref="J728">_xlfn.TEXTJOIN(", ",TRUE,_xlfn.UNIQUE(_xlfn._xlws.FILTER(ARQUIVOS_RECEBIDOS!$F$2:$F$5010,ARQUIVOS_RECEBIDOS!$E$2:$E$5010=LD_01[[#This Row],[DOCUMENTO]])))</f>
        <v>R00</v>
      </c>
      <c r="K728" s="12" cm="1">
        <f t="array" ref="K728">_xlfn.UNIQUE(_xlfn._xlws.FILTER(ARQUIVOS[DATA RECEBIMENTO],(ARQUIVOS[DOCUMENTO]=LD_01[[#This Row],[DOCUMENTO]])*(ARQUIVOS[REVISÃO]=LD_01[[#This Row],[REVISÃO]])))</f>
        <v>45838</v>
      </c>
      <c r="L7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M728" s="6" t="str">
        <f>LD_01[[#This Row],[PASTA]]&amp;"/"&amp;LD_01[[#This Row],[ARQUIVO]]</f>
        <v>MSV-163MS-535-545/19.GG/MSV-163MS-535-545-ACA-EXE-RT-D3-201-R00.pdf</v>
      </c>
    </row>
    <row r="729" spans="1:13" ht="28.8" hidden="1" x14ac:dyDescent="0.3">
      <c r="A729" s="6" t="s">
        <v>3516</v>
      </c>
      <c r="B729" s="6" t="str">
        <f>VLOOKUP(LD_01[[#This Row],[DOCUMENTO]],_xlfn.SORTBY(ARQUIVOS_RECEBIDOS!$E$2:$F$5010,ARQUIVOS_RECEBIDOS!$F$2:$F$5010,-1),2,)</f>
        <v>R00</v>
      </c>
      <c r="C729" s="15" t="s">
        <v>5987</v>
      </c>
      <c r="D729" s="6" t="s">
        <v>4317</v>
      </c>
      <c r="E729" s="8" t="s">
        <v>4173</v>
      </c>
      <c r="F729" s="8" t="s">
        <v>4335</v>
      </c>
      <c r="G729" s="6" t="str">
        <f>_xlfn.XLOOKUP(LD_01[[#This Row],[DISCIPLINA]],'CLASSES DE PROJETOS'!$F$3:$F$37,'CLASSES DE PROJETOS'!$C$3:$C$37)</f>
        <v>TR</v>
      </c>
      <c r="H729" t="str">
        <f>_xlfn.TEXTJOIN("/",TRUE,"MSV-163MS-"&amp;LD_01[[#This Row],[TRECHO]],_xlfn.XLOOKUP(LD_01[[#This Row],[SIGLA]],'CLASSES DE PROJETOS'!$C$3:$C$37,'CLASSES DE PROJETOS'!$E$3:$E$37))</f>
        <v>MSV-163MS-535-545/34.TR</v>
      </c>
      <c r="I729" s="6" t="str" cm="1">
        <f t="array" ref="I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J729" s="6" t="str" cm="1">
        <f t="array" ref="J729">_xlfn.TEXTJOIN(", ",TRUE,_xlfn.UNIQUE(_xlfn._xlws.FILTER(ARQUIVOS_RECEBIDOS!$F$2:$F$5010,ARQUIVOS_RECEBIDOS!$E$2:$E$5010=LD_01[[#This Row],[DOCUMENTO]])))</f>
        <v>R00</v>
      </c>
      <c r="K729" s="12" cm="1">
        <f t="array" ref="K729">_xlfn.UNIQUE(_xlfn._xlws.FILTER(ARQUIVOS[DATA RECEBIMENTO],(ARQUIVOS[DOCUMENTO]=LD_01[[#This Row],[DOCUMENTO]])*(ARQUIVOS[REVISÃO]=LD_01[[#This Row],[REVISÃO]])))</f>
        <v>45838</v>
      </c>
      <c r="L7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M729" s="6" t="str">
        <f>LD_01[[#This Row],[PASTA]]&amp;"/"&amp;LD_01[[#This Row],[ARQUIVO]]</f>
        <v>MSV-163MS-535-545/34.TR/MSV-163MS-535-545-ACA-EXE-RT-E1-001-R00.pdf</v>
      </c>
    </row>
    <row r="730" spans="1:13" ht="28.8" hidden="1" x14ac:dyDescent="0.3">
      <c r="A730" s="6" t="s">
        <v>3279</v>
      </c>
      <c r="B730" s="6" t="str">
        <f>VLOOKUP(LD_01[[#This Row],[DOCUMENTO]],_xlfn.SORTBY(ARQUIVOS_RECEBIDOS!$E$2:$F$5010,ARQUIVOS_RECEBIDOS!$F$2:$F$5010,-1),2,)</f>
        <v>R04</v>
      </c>
      <c r="C730" s="15" t="s">
        <v>5987</v>
      </c>
      <c r="D730" s="6" t="s">
        <v>4317</v>
      </c>
      <c r="E730" s="8" t="s">
        <v>4259</v>
      </c>
      <c r="F730" s="8" t="s">
        <v>4141</v>
      </c>
      <c r="G730" s="6" t="str">
        <f>_xlfn.XLOOKUP(LD_01[[#This Row],[DISCIPLINA]],'CLASSES DE PROJETOS'!$F$3:$F$37,'CLASSES DE PROJETOS'!$C$3:$C$37)</f>
        <v>GE</v>
      </c>
      <c r="H730" t="str">
        <f>_xlfn.TEXTJOIN("/",TRUE,"MSV-163MS-"&amp;LD_01[[#This Row],[TRECHO]],_xlfn.XLOOKUP(LD_01[[#This Row],[SIGLA]],'CLASSES DE PROJETOS'!$C$3:$C$37,'CLASSES DE PROJETOS'!$E$3:$E$37))</f>
        <v>MSV-163MS-535-545/18.GE</v>
      </c>
      <c r="I730" s="6" t="str" cm="1">
        <f t="array" ref="I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J730" s="6" t="str" cm="1">
        <f t="array" ref="J730">_xlfn.TEXTJOIN(", ",TRUE,_xlfn.UNIQUE(_xlfn._xlws.FILTER(ARQUIVOS_RECEBIDOS!$F$2:$F$5010,ARQUIVOS_RECEBIDOS!$E$2:$E$5010=LD_01[[#This Row],[DOCUMENTO]])))</f>
        <v>R04</v>
      </c>
      <c r="K730" s="12" cm="1">
        <f t="array" ref="K730">_xlfn.UNIQUE(_xlfn._xlws.FILTER(ARQUIVOS[DATA RECEBIMENTO],(ARQUIVOS[DOCUMENTO]=LD_01[[#This Row],[DOCUMENTO]])*(ARQUIVOS[REVISÃO]=LD_01[[#This Row],[REVISÃO]])))</f>
        <v>45838</v>
      </c>
      <c r="L7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M730" s="6" t="str">
        <f>LD_01[[#This Row],[PASTA]]&amp;"/"&amp;LD_01[[#This Row],[ARQUIVO]]</f>
        <v>MSV-163MS-535-545/18.GE/MSV-163MS-535-545-ACA-EXE-RT-F1-001-R04.pdf</v>
      </c>
    </row>
    <row r="731" spans="1:13" ht="43.2" hidden="1" x14ac:dyDescent="0.3">
      <c r="A731" s="6" t="s">
        <v>3465</v>
      </c>
      <c r="B731" s="6" t="str">
        <f>VLOOKUP(LD_01[[#This Row],[DOCUMENTO]],_xlfn.SORTBY(ARQUIVOS_RECEBIDOS!$E$2:$F$5010,ARQUIVOS_RECEBIDOS!$F$2:$F$5010,-1),2,)</f>
        <v>R00</v>
      </c>
      <c r="C731" s="15" t="s">
        <v>5987</v>
      </c>
      <c r="D731" s="6" t="s">
        <v>4317</v>
      </c>
      <c r="E731" s="8" t="s">
        <v>4166</v>
      </c>
      <c r="F731" s="8" t="s">
        <v>4333</v>
      </c>
      <c r="G731" s="6" t="str">
        <f>_xlfn.XLOOKUP(LD_01[[#This Row],[DISCIPLINA]],'CLASSES DE PROJETOS'!$F$3:$F$37,'CLASSES DE PROJETOS'!$C$3:$C$37)</f>
        <v>IN</v>
      </c>
      <c r="H731" t="str">
        <f>_xlfn.TEXTJOIN("/",TRUE,"MSV-163MS-"&amp;LD_01[[#This Row],[TRECHO]],_xlfn.XLOOKUP(LD_01[[#This Row],[SIGLA]],'CLASSES DE PROJETOS'!$C$3:$C$37,'CLASSES DE PROJETOS'!$E$3:$E$37))</f>
        <v>MSV-163MS-535-545/23.IN</v>
      </c>
      <c r="I731" s="6" t="str" cm="1">
        <f t="array" ref="I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J731" s="6" t="str" cm="1">
        <f t="array" ref="J731">_xlfn.TEXTJOIN(", ",TRUE,_xlfn.UNIQUE(_xlfn._xlws.FILTER(ARQUIVOS_RECEBIDOS!$F$2:$F$5010,ARQUIVOS_RECEBIDOS!$E$2:$E$5010=LD_01[[#This Row],[DOCUMENTO]])))</f>
        <v>R00</v>
      </c>
      <c r="K731" s="12" cm="1">
        <f t="array" ref="K731">_xlfn.UNIQUE(_xlfn._xlws.FILTER(ARQUIVOS[DATA RECEBIMENTO],(ARQUIVOS[DOCUMENTO]=LD_01[[#This Row],[DOCUMENTO]])*(ARQUIVOS[REVISÃO]=LD_01[[#This Row],[REVISÃO]])))</f>
        <v>45838</v>
      </c>
      <c r="L7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M731" s="6" t="str">
        <f>LD_01[[#This Row],[PASTA]]&amp;"/"&amp;LD_01[[#This Row],[ARQUIVO]]</f>
        <v>MSV-163MS-535-545/23.IN/MSV-163MS-535-545-ACA-EXE-RT-M1-001-R00.pdf</v>
      </c>
    </row>
    <row r="732" spans="1:13" hidden="1" x14ac:dyDescent="0.3">
      <c r="A732" s="6" t="s">
        <v>3517</v>
      </c>
      <c r="B732" s="6" t="str">
        <f>VLOOKUP(LD_01[[#This Row],[DOCUMENTO]],_xlfn.SORTBY(ARQUIVOS_RECEBIDOS!$E$2:$F$5010,ARQUIVOS_RECEBIDOS!$F$2:$F$5010,-1),2,)</f>
        <v>R00</v>
      </c>
      <c r="C732" s="15" t="s">
        <v>5987</v>
      </c>
      <c r="D732" s="6" t="s">
        <v>4318</v>
      </c>
      <c r="E732" s="8" t="s">
        <v>4164</v>
      </c>
      <c r="F732" s="8" t="s">
        <v>4163</v>
      </c>
      <c r="G732" s="6" t="str">
        <f>_xlfn.XLOOKUP(LD_01[[#This Row],[DISCIPLINA]],'CLASSES DE PROJETOS'!$F$3:$F$37,'CLASSES DE PROJETOS'!$C$3:$C$37)</f>
        <v>TO</v>
      </c>
      <c r="H732" t="str">
        <f>_xlfn.TEXTJOIN("/",TRUE,"MSV-163MS-"&amp;LD_01[[#This Row],[TRECHO]],_xlfn.XLOOKUP(LD_01[[#This Row],[SIGLA]],'CLASSES DE PROJETOS'!$C$3:$C$37,'CLASSES DE PROJETOS'!$E$3:$E$37))</f>
        <v>MSV-163MS-626-628/33.TO</v>
      </c>
      <c r="I732" s="6" t="str" cm="1">
        <f t="array" ref="I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J732" s="6" t="str" cm="1">
        <f t="array" ref="J732">_xlfn.TEXTJOIN(", ",TRUE,_xlfn.UNIQUE(_xlfn._xlws.FILTER(ARQUIVOS_RECEBIDOS!$F$2:$F$5010,ARQUIVOS_RECEBIDOS!$E$2:$E$5010=LD_01[[#This Row],[DOCUMENTO]])))</f>
        <v>R00</v>
      </c>
      <c r="K732" s="12" cm="1">
        <f t="array" ref="K732">_xlfn.UNIQUE(_xlfn._xlws.FILTER(ARQUIVOS[DATA RECEBIMENTO],(ARQUIVOS[DOCUMENTO]=LD_01[[#This Row],[DOCUMENTO]])*(ARQUIVOS[REVISÃO]=LD_01[[#This Row],[REVISÃO]])))</f>
        <v>45838</v>
      </c>
      <c r="L7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M732" s="6" t="str">
        <f>LD_01[[#This Row],[PASTA]]&amp;"/"&amp;LD_01[[#This Row],[ARQUIVO]]</f>
        <v>MSV-163MS-626-628/33.TO/MSV-163MS-626-628-ACA-EXE-DE-C1-001-R00.pdf</v>
      </c>
    </row>
    <row r="733" spans="1:13" hidden="1" x14ac:dyDescent="0.3">
      <c r="A733" s="6" t="s">
        <v>3518</v>
      </c>
      <c r="B733" s="6" t="str">
        <f>VLOOKUP(LD_01[[#This Row],[DOCUMENTO]],_xlfn.SORTBY(ARQUIVOS_RECEBIDOS!$E$2:$F$5010,ARQUIVOS_RECEBIDOS!$F$2:$F$5010,-1),2,)</f>
        <v>R00</v>
      </c>
      <c r="C733" s="15" t="s">
        <v>5987</v>
      </c>
      <c r="D733" s="6" t="s">
        <v>4318</v>
      </c>
      <c r="E733" s="8" t="s">
        <v>4164</v>
      </c>
      <c r="F733" s="8" t="s">
        <v>4163</v>
      </c>
      <c r="G733" s="6" t="str">
        <f>_xlfn.XLOOKUP(LD_01[[#This Row],[DISCIPLINA]],'CLASSES DE PROJETOS'!$F$3:$F$37,'CLASSES DE PROJETOS'!$C$3:$C$37)</f>
        <v>TO</v>
      </c>
      <c r="H733" t="str">
        <f>_xlfn.TEXTJOIN("/",TRUE,"MSV-163MS-"&amp;LD_01[[#This Row],[TRECHO]],_xlfn.XLOOKUP(LD_01[[#This Row],[SIGLA]],'CLASSES DE PROJETOS'!$C$3:$C$37,'CLASSES DE PROJETOS'!$E$3:$E$37))</f>
        <v>MSV-163MS-626-628/33.TO</v>
      </c>
      <c r="I733" s="6" t="str" cm="1">
        <f t="array" ref="I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J733" s="6" t="str" cm="1">
        <f t="array" ref="J733">_xlfn.TEXTJOIN(", ",TRUE,_xlfn.UNIQUE(_xlfn._xlws.FILTER(ARQUIVOS_RECEBIDOS!$F$2:$F$5010,ARQUIVOS_RECEBIDOS!$E$2:$E$5010=LD_01[[#This Row],[DOCUMENTO]])))</f>
        <v>R00</v>
      </c>
      <c r="K733" s="12" cm="1">
        <f t="array" ref="K733">_xlfn.UNIQUE(_xlfn._xlws.FILTER(ARQUIVOS[DATA RECEBIMENTO],(ARQUIVOS[DOCUMENTO]=LD_01[[#This Row],[DOCUMENTO]])*(ARQUIVOS[REVISÃO]=LD_01[[#This Row],[REVISÃO]])))</f>
        <v>45838</v>
      </c>
      <c r="L7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M733" s="6" t="str">
        <f>LD_01[[#This Row],[PASTA]]&amp;"/"&amp;LD_01[[#This Row],[ARQUIVO]]</f>
        <v>MSV-163MS-626-628/33.TO/MSV-163MS-626-628-ACA-EXE-DE-C1-002-R00.pdf</v>
      </c>
    </row>
    <row r="734" spans="1:13" hidden="1" x14ac:dyDescent="0.3">
      <c r="A734" s="6" t="s">
        <v>3519</v>
      </c>
      <c r="B734" s="6" t="str">
        <f>VLOOKUP(LD_01[[#This Row],[DOCUMENTO]],_xlfn.SORTBY(ARQUIVOS_RECEBIDOS!$E$2:$F$5010,ARQUIVOS_RECEBIDOS!$F$2:$F$5010,-1),2,)</f>
        <v>R00</v>
      </c>
      <c r="C734" s="15" t="s">
        <v>5987</v>
      </c>
      <c r="D734" s="6" t="s">
        <v>4318</v>
      </c>
      <c r="E734" s="8" t="s">
        <v>4164</v>
      </c>
      <c r="F734" s="8" t="s">
        <v>4163</v>
      </c>
      <c r="G734" s="6" t="str">
        <f>_xlfn.XLOOKUP(LD_01[[#This Row],[DISCIPLINA]],'CLASSES DE PROJETOS'!$F$3:$F$37,'CLASSES DE PROJETOS'!$C$3:$C$37)</f>
        <v>TO</v>
      </c>
      <c r="H734" t="str">
        <f>_xlfn.TEXTJOIN("/",TRUE,"MSV-163MS-"&amp;LD_01[[#This Row],[TRECHO]],_xlfn.XLOOKUP(LD_01[[#This Row],[SIGLA]],'CLASSES DE PROJETOS'!$C$3:$C$37,'CLASSES DE PROJETOS'!$E$3:$E$37))</f>
        <v>MSV-163MS-626-628/33.TO</v>
      </c>
      <c r="I734" s="6" t="str" cm="1">
        <f t="array" ref="I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J734" s="6" t="str" cm="1">
        <f t="array" ref="J734">_xlfn.TEXTJOIN(", ",TRUE,_xlfn.UNIQUE(_xlfn._xlws.FILTER(ARQUIVOS_RECEBIDOS!$F$2:$F$5010,ARQUIVOS_RECEBIDOS!$E$2:$E$5010=LD_01[[#This Row],[DOCUMENTO]])))</f>
        <v>R00</v>
      </c>
      <c r="K734" s="12" cm="1">
        <f t="array" ref="K734">_xlfn.UNIQUE(_xlfn._xlws.FILTER(ARQUIVOS[DATA RECEBIMENTO],(ARQUIVOS[DOCUMENTO]=LD_01[[#This Row],[DOCUMENTO]])*(ARQUIVOS[REVISÃO]=LD_01[[#This Row],[REVISÃO]])))</f>
        <v>45838</v>
      </c>
      <c r="L7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M734" s="6" t="str">
        <f>LD_01[[#This Row],[PASTA]]&amp;"/"&amp;LD_01[[#This Row],[ARQUIVO]]</f>
        <v>MSV-163MS-626-628/33.TO/MSV-163MS-626-628-ACA-EXE-DE-C1-003-R00.pdf</v>
      </c>
    </row>
    <row r="735" spans="1:13" ht="28.8" hidden="1" x14ac:dyDescent="0.3">
      <c r="A735" s="6" t="s">
        <v>3575</v>
      </c>
      <c r="B735" s="6" t="str">
        <f>VLOOKUP(LD_01[[#This Row],[DOCUMENTO]],_xlfn.SORTBY(ARQUIVOS_RECEBIDOS!$E$2:$F$5010,ARQUIVOS_RECEBIDOS!$F$2:$F$5010,-1),2,)</f>
        <v>R03</v>
      </c>
      <c r="C735" s="15" t="s">
        <v>5987</v>
      </c>
      <c r="D735" s="6" t="s">
        <v>4318</v>
      </c>
      <c r="E735" s="8" t="s">
        <v>4076</v>
      </c>
      <c r="F735" s="8" t="s">
        <v>4332</v>
      </c>
      <c r="G735" s="6" t="str">
        <f>_xlfn.XLOOKUP(LD_01[[#This Row],[DISCIPLINA]],'CLASSES DE PROJETOS'!$F$3:$F$37,'CLASSES DE PROJETOS'!$C$3:$C$37)</f>
        <v>GG</v>
      </c>
      <c r="H735" t="str">
        <f>_xlfn.TEXTJOIN("/",TRUE,"MSV-163MS-"&amp;LD_01[[#This Row],[TRECHO]],_xlfn.XLOOKUP(LD_01[[#This Row],[SIGLA]],'CLASSES DE PROJETOS'!$C$3:$C$37,'CLASSES DE PROJETOS'!$E$3:$E$37))</f>
        <v>MSV-163MS-626-628/19.GG</v>
      </c>
      <c r="I735" s="6" t="str" cm="1">
        <f t="array" ref="I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J735" s="6" t="str" cm="1">
        <f t="array" ref="J735">_xlfn.TEXTJOIN(", ",TRUE,_xlfn.UNIQUE(_xlfn._xlws.FILTER(ARQUIVOS_RECEBIDOS!$F$2:$F$5010,ARQUIVOS_RECEBIDOS!$E$2:$E$5010=LD_01[[#This Row],[DOCUMENTO]])))</f>
        <v>R03</v>
      </c>
      <c r="K735" s="12" cm="1">
        <f t="array" ref="K735">_xlfn.UNIQUE(_xlfn._xlws.FILTER(ARQUIVOS[DATA RECEBIMENTO],(ARQUIVOS[DOCUMENTO]=LD_01[[#This Row],[DOCUMENTO]])*(ARQUIVOS[REVISÃO]=LD_01[[#This Row],[REVISÃO]])))</f>
        <v>45838</v>
      </c>
      <c r="L7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M735" s="6" t="str">
        <f>LD_01[[#This Row],[PASTA]]&amp;"/"&amp;LD_01[[#This Row],[ARQUIVO]]</f>
        <v>MSV-163MS-626-628/19.GG/MSV-163MS-626-628-ACA-EXE-DE-D3-001-R03.pdf</v>
      </c>
    </row>
    <row r="736" spans="1:13" ht="28.8" hidden="1" x14ac:dyDescent="0.3">
      <c r="A736" s="6" t="s">
        <v>3576</v>
      </c>
      <c r="B736" s="6" t="str">
        <f>VLOOKUP(LD_01[[#This Row],[DOCUMENTO]],_xlfn.SORTBY(ARQUIVOS_RECEBIDOS!$E$2:$F$5010,ARQUIVOS_RECEBIDOS!$F$2:$F$5010,-1),2,)</f>
        <v>R03</v>
      </c>
      <c r="C736" s="15" t="s">
        <v>5987</v>
      </c>
      <c r="D736" s="6" t="s">
        <v>4318</v>
      </c>
      <c r="E736" s="8" t="s">
        <v>4076</v>
      </c>
      <c r="F736" s="8" t="s">
        <v>4332</v>
      </c>
      <c r="G736" s="6" t="str">
        <f>_xlfn.XLOOKUP(LD_01[[#This Row],[DISCIPLINA]],'CLASSES DE PROJETOS'!$F$3:$F$37,'CLASSES DE PROJETOS'!$C$3:$C$37)</f>
        <v>GG</v>
      </c>
      <c r="H736" t="str">
        <f>_xlfn.TEXTJOIN("/",TRUE,"MSV-163MS-"&amp;LD_01[[#This Row],[TRECHO]],_xlfn.XLOOKUP(LD_01[[#This Row],[SIGLA]],'CLASSES DE PROJETOS'!$C$3:$C$37,'CLASSES DE PROJETOS'!$E$3:$E$37))</f>
        <v>MSV-163MS-626-628/19.GG</v>
      </c>
      <c r="I736" s="6" t="str" cm="1">
        <f t="array" ref="I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J736" s="6" t="str" cm="1">
        <f t="array" ref="J736">_xlfn.TEXTJOIN(", ",TRUE,_xlfn.UNIQUE(_xlfn._xlws.FILTER(ARQUIVOS_RECEBIDOS!$F$2:$F$5010,ARQUIVOS_RECEBIDOS!$E$2:$E$5010=LD_01[[#This Row],[DOCUMENTO]])))</f>
        <v>R03</v>
      </c>
      <c r="K736" s="12" cm="1">
        <f t="array" ref="K736">_xlfn.UNIQUE(_xlfn._xlws.FILTER(ARQUIVOS[DATA RECEBIMENTO],(ARQUIVOS[DOCUMENTO]=LD_01[[#This Row],[DOCUMENTO]])*(ARQUIVOS[REVISÃO]=LD_01[[#This Row],[REVISÃO]])))</f>
        <v>45838</v>
      </c>
      <c r="L7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M736" s="6" t="str">
        <f>LD_01[[#This Row],[PASTA]]&amp;"/"&amp;LD_01[[#This Row],[ARQUIVO]]</f>
        <v>MSV-163MS-626-628/19.GG/MSV-163MS-626-628-ACA-EXE-DE-D3-002-R03.pdf</v>
      </c>
    </row>
    <row r="737" spans="1:13" ht="28.8" hidden="1" x14ac:dyDescent="0.3">
      <c r="A737" s="6" t="s">
        <v>3577</v>
      </c>
      <c r="B737" s="6" t="str">
        <f>VLOOKUP(LD_01[[#This Row],[DOCUMENTO]],_xlfn.SORTBY(ARQUIVOS_RECEBIDOS!$E$2:$F$5010,ARQUIVOS_RECEBIDOS!$F$2:$F$5010,-1),2,)</f>
        <v>R03</v>
      </c>
      <c r="C737" s="15" t="s">
        <v>5987</v>
      </c>
      <c r="D737" s="6" t="s">
        <v>4318</v>
      </c>
      <c r="E737" s="8" t="s">
        <v>4076</v>
      </c>
      <c r="F737" s="8" t="s">
        <v>4332</v>
      </c>
      <c r="G737" s="6" t="str">
        <f>_xlfn.XLOOKUP(LD_01[[#This Row],[DISCIPLINA]],'CLASSES DE PROJETOS'!$F$3:$F$37,'CLASSES DE PROJETOS'!$C$3:$C$37)</f>
        <v>GG</v>
      </c>
      <c r="H737" t="str">
        <f>_xlfn.TEXTJOIN("/",TRUE,"MSV-163MS-"&amp;LD_01[[#This Row],[TRECHO]],_xlfn.XLOOKUP(LD_01[[#This Row],[SIGLA]],'CLASSES DE PROJETOS'!$C$3:$C$37,'CLASSES DE PROJETOS'!$E$3:$E$37))</f>
        <v>MSV-163MS-626-628/19.GG</v>
      </c>
      <c r="I737" s="6" t="str" cm="1">
        <f t="array" ref="I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J737" s="6" t="str" cm="1">
        <f t="array" ref="J737">_xlfn.TEXTJOIN(", ",TRUE,_xlfn.UNIQUE(_xlfn._xlws.FILTER(ARQUIVOS_RECEBIDOS!$F$2:$F$5010,ARQUIVOS_RECEBIDOS!$E$2:$E$5010=LD_01[[#This Row],[DOCUMENTO]])))</f>
        <v>R03</v>
      </c>
      <c r="K737" s="12" cm="1">
        <f t="array" ref="K737">_xlfn.UNIQUE(_xlfn._xlws.FILTER(ARQUIVOS[DATA RECEBIMENTO],(ARQUIVOS[DOCUMENTO]=LD_01[[#This Row],[DOCUMENTO]])*(ARQUIVOS[REVISÃO]=LD_01[[#This Row],[REVISÃO]])))</f>
        <v>45838</v>
      </c>
      <c r="L7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M737" s="6" t="str">
        <f>LD_01[[#This Row],[PASTA]]&amp;"/"&amp;LD_01[[#This Row],[ARQUIVO]]</f>
        <v>MSV-163MS-626-628/19.GG/MSV-163MS-626-628-ACA-EXE-DE-D3-003-R03.pdf</v>
      </c>
    </row>
    <row r="738" spans="1:13" ht="28.8" hidden="1" x14ac:dyDescent="0.3">
      <c r="A738" s="6" t="s">
        <v>3578</v>
      </c>
      <c r="B738" s="6" t="str">
        <f>VLOOKUP(LD_01[[#This Row],[DOCUMENTO]],_xlfn.SORTBY(ARQUIVOS_RECEBIDOS!$E$2:$F$5010,ARQUIVOS_RECEBIDOS!$F$2:$F$5010,-1),2,)</f>
        <v>R03</v>
      </c>
      <c r="C738" s="15" t="s">
        <v>5987</v>
      </c>
      <c r="D738" s="6" t="s">
        <v>4318</v>
      </c>
      <c r="E738" s="8" t="s">
        <v>4076</v>
      </c>
      <c r="F738" s="8" t="s">
        <v>4332</v>
      </c>
      <c r="G738" s="6" t="str">
        <f>_xlfn.XLOOKUP(LD_01[[#This Row],[DISCIPLINA]],'CLASSES DE PROJETOS'!$F$3:$F$37,'CLASSES DE PROJETOS'!$C$3:$C$37)</f>
        <v>GG</v>
      </c>
      <c r="H738" t="str">
        <f>_xlfn.TEXTJOIN("/",TRUE,"MSV-163MS-"&amp;LD_01[[#This Row],[TRECHO]],_xlfn.XLOOKUP(LD_01[[#This Row],[SIGLA]],'CLASSES DE PROJETOS'!$C$3:$C$37,'CLASSES DE PROJETOS'!$E$3:$E$37))</f>
        <v>MSV-163MS-626-628/19.GG</v>
      </c>
      <c r="I738" s="6" t="str" cm="1">
        <f t="array" ref="I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J738" s="6" t="str" cm="1">
        <f t="array" ref="J738">_xlfn.TEXTJOIN(", ",TRUE,_xlfn.UNIQUE(_xlfn._xlws.FILTER(ARQUIVOS_RECEBIDOS!$F$2:$F$5010,ARQUIVOS_RECEBIDOS!$E$2:$E$5010=LD_01[[#This Row],[DOCUMENTO]])))</f>
        <v>R03</v>
      </c>
      <c r="K738" s="12" cm="1">
        <f t="array" ref="K738">_xlfn.UNIQUE(_xlfn._xlws.FILTER(ARQUIVOS[DATA RECEBIMENTO],(ARQUIVOS[DOCUMENTO]=LD_01[[#This Row],[DOCUMENTO]])*(ARQUIVOS[REVISÃO]=LD_01[[#This Row],[REVISÃO]])))</f>
        <v>45838</v>
      </c>
      <c r="L7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M738" s="6" t="str">
        <f>LD_01[[#This Row],[PASTA]]&amp;"/"&amp;LD_01[[#This Row],[ARQUIVO]]</f>
        <v>MSV-163MS-626-628/19.GG/MSV-163MS-626-628-ACA-EXE-DE-D3-004-R03.pdf</v>
      </c>
    </row>
    <row r="739" spans="1:13" ht="28.8" hidden="1" x14ac:dyDescent="0.3">
      <c r="A739" s="6" t="s">
        <v>3579</v>
      </c>
      <c r="B739" s="6" t="str">
        <f>VLOOKUP(LD_01[[#This Row],[DOCUMENTO]],_xlfn.SORTBY(ARQUIVOS_RECEBIDOS!$E$2:$F$5010,ARQUIVOS_RECEBIDOS!$F$2:$F$5010,-1),2,)</f>
        <v>R02</v>
      </c>
      <c r="C739" s="15" t="s">
        <v>5987</v>
      </c>
      <c r="D739" s="6" t="s">
        <v>4318</v>
      </c>
      <c r="E739" s="8" t="s">
        <v>4095</v>
      </c>
      <c r="F739" s="8" t="s">
        <v>4332</v>
      </c>
      <c r="G739" s="6" t="str">
        <f>_xlfn.XLOOKUP(LD_01[[#This Row],[DISCIPLINA]],'CLASSES DE PROJETOS'!$F$3:$F$37,'CLASSES DE PROJETOS'!$C$3:$C$37)</f>
        <v>GG</v>
      </c>
      <c r="H739" t="str">
        <f>_xlfn.TEXTJOIN("/",TRUE,"MSV-163MS-"&amp;LD_01[[#This Row],[TRECHO]],_xlfn.XLOOKUP(LD_01[[#This Row],[SIGLA]],'CLASSES DE PROJETOS'!$C$3:$C$37,'CLASSES DE PROJETOS'!$E$3:$E$37))</f>
        <v>MSV-163MS-626-628/19.GG</v>
      </c>
      <c r="I739" s="6" t="str" cm="1">
        <f t="array" ref="I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J739" s="6" t="str" cm="1">
        <f t="array" ref="J739">_xlfn.TEXTJOIN(", ",TRUE,_xlfn.UNIQUE(_xlfn._xlws.FILTER(ARQUIVOS_RECEBIDOS!$F$2:$F$5010,ARQUIVOS_RECEBIDOS!$E$2:$E$5010=LD_01[[#This Row],[DOCUMENTO]])))</f>
        <v>R02</v>
      </c>
      <c r="K739" s="12" cm="1">
        <f t="array" ref="K739">_xlfn.UNIQUE(_xlfn._xlws.FILTER(ARQUIVOS[DATA RECEBIMENTO],(ARQUIVOS[DOCUMENTO]=LD_01[[#This Row],[DOCUMENTO]])*(ARQUIVOS[REVISÃO]=LD_01[[#This Row],[REVISÃO]])))</f>
        <v>45838</v>
      </c>
      <c r="L7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M739" s="6" t="str">
        <f>LD_01[[#This Row],[PASTA]]&amp;"/"&amp;LD_01[[#This Row],[ARQUIVO]]</f>
        <v>MSV-163MS-626-628/19.GG/MSV-163MS-626-628-ACA-EXE-DE-D3-005-R02.pdf</v>
      </c>
    </row>
    <row r="740" spans="1:13" ht="28.8" hidden="1" x14ac:dyDescent="0.3">
      <c r="A740" s="6" t="s">
        <v>3580</v>
      </c>
      <c r="B740" s="6" t="str">
        <f>VLOOKUP(LD_01[[#This Row],[DOCUMENTO]],_xlfn.SORTBY(ARQUIVOS_RECEBIDOS!$E$2:$F$5010,ARQUIVOS_RECEBIDOS!$F$2:$F$5010,-1),2,)</f>
        <v>R01</v>
      </c>
      <c r="C740" s="15" t="s">
        <v>5987</v>
      </c>
      <c r="D740" s="6" t="s">
        <v>4318</v>
      </c>
      <c r="E740" s="8" t="s">
        <v>4095</v>
      </c>
      <c r="F740" s="8" t="s">
        <v>4332</v>
      </c>
      <c r="G740" s="6" t="str">
        <f>_xlfn.XLOOKUP(LD_01[[#This Row],[DISCIPLINA]],'CLASSES DE PROJETOS'!$F$3:$F$37,'CLASSES DE PROJETOS'!$C$3:$C$37)</f>
        <v>GG</v>
      </c>
      <c r="H740" t="str">
        <f>_xlfn.TEXTJOIN("/",TRUE,"MSV-163MS-"&amp;LD_01[[#This Row],[TRECHO]],_xlfn.XLOOKUP(LD_01[[#This Row],[SIGLA]],'CLASSES DE PROJETOS'!$C$3:$C$37,'CLASSES DE PROJETOS'!$E$3:$E$37))</f>
        <v>MSV-163MS-626-628/19.GG</v>
      </c>
      <c r="I740" s="6" t="str" cm="1">
        <f t="array" ref="I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J740" s="6" t="str" cm="1">
        <f t="array" ref="J740">_xlfn.TEXTJOIN(", ",TRUE,_xlfn.UNIQUE(_xlfn._xlws.FILTER(ARQUIVOS_RECEBIDOS!$F$2:$F$5010,ARQUIVOS_RECEBIDOS!$E$2:$E$5010=LD_01[[#This Row],[DOCUMENTO]])))</f>
        <v>R01</v>
      </c>
      <c r="K740" s="12" cm="1">
        <f t="array" ref="K740">_xlfn.UNIQUE(_xlfn._xlws.FILTER(ARQUIVOS[DATA RECEBIMENTO],(ARQUIVOS[DOCUMENTO]=LD_01[[#This Row],[DOCUMENTO]])*(ARQUIVOS[REVISÃO]=LD_01[[#This Row],[REVISÃO]])))</f>
        <v>45838</v>
      </c>
      <c r="L7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M740" s="6" t="str">
        <f>LD_01[[#This Row],[PASTA]]&amp;"/"&amp;LD_01[[#This Row],[ARQUIVO]]</f>
        <v>MSV-163MS-626-628/19.GG/MSV-163MS-626-628-ACA-EXE-DE-D3-006-R01.pdf</v>
      </c>
    </row>
    <row r="741" spans="1:13" ht="28.8" hidden="1" x14ac:dyDescent="0.3">
      <c r="A741" s="6" t="s">
        <v>3521</v>
      </c>
      <c r="B741" s="6" t="str">
        <f>VLOOKUP(LD_01[[#This Row],[DOCUMENTO]],_xlfn.SORTBY(ARQUIVOS_RECEBIDOS!$E$2:$F$5010,ARQUIVOS_RECEBIDOS!$F$2:$F$5010,-1),2,)</f>
        <v>R06</v>
      </c>
      <c r="C741" s="15" t="s">
        <v>5987</v>
      </c>
      <c r="D741" s="6" t="s">
        <v>4318</v>
      </c>
      <c r="E741" s="8" t="s">
        <v>4305</v>
      </c>
      <c r="F741" s="8" t="s">
        <v>4141</v>
      </c>
      <c r="G741" s="6" t="str">
        <f>_xlfn.XLOOKUP(LD_01[[#This Row],[DISCIPLINA]],'CLASSES DE PROJETOS'!$F$3:$F$37,'CLASSES DE PROJETOS'!$C$3:$C$37)</f>
        <v>GE</v>
      </c>
      <c r="H741" t="str">
        <f>_xlfn.TEXTJOIN("/",TRUE,"MSV-163MS-"&amp;LD_01[[#This Row],[TRECHO]],_xlfn.XLOOKUP(LD_01[[#This Row],[SIGLA]],'CLASSES DE PROJETOS'!$C$3:$C$37,'CLASSES DE PROJETOS'!$E$3:$E$37))</f>
        <v>MSV-163MS-626-628/18.GE</v>
      </c>
      <c r="I741" s="6" t="str" cm="1">
        <f t="array" ref="I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J741" s="6" t="str" cm="1">
        <f t="array" ref="J741">_xlfn.TEXTJOIN(", ",TRUE,_xlfn.UNIQUE(_xlfn._xlws.FILTER(ARQUIVOS_RECEBIDOS!$F$2:$F$5010,ARQUIVOS_RECEBIDOS!$E$2:$E$5010=LD_01[[#This Row],[DOCUMENTO]])))</f>
        <v>R05, R06</v>
      </c>
      <c r="K741" s="12" cm="1">
        <f t="array" ref="K741">_xlfn.UNIQUE(_xlfn._xlws.FILTER(ARQUIVOS[DATA RECEBIMENTO],(ARQUIVOS[DOCUMENTO]=LD_01[[#This Row],[DOCUMENTO]])*(ARQUIVOS[REVISÃO]=LD_01[[#This Row],[REVISÃO]])))</f>
        <v>45946</v>
      </c>
      <c r="L7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M741" s="6" t="str">
        <f>LD_01[[#This Row],[PASTA]]&amp;"/"&amp;LD_01[[#This Row],[ARQUIVO]]</f>
        <v>MSV-163MS-626-628/18.GE/MSV-163MS-626-628-ACA-EXE-DE-F1-001-R06.pdf</v>
      </c>
    </row>
    <row r="742" spans="1:13" ht="28.8" hidden="1" x14ac:dyDescent="0.3">
      <c r="A742" s="6" t="s">
        <v>3522</v>
      </c>
      <c r="B742" s="6" t="str">
        <f>VLOOKUP(LD_01[[#This Row],[DOCUMENTO]],_xlfn.SORTBY(ARQUIVOS_RECEBIDOS!$E$2:$F$5010,ARQUIVOS_RECEBIDOS!$F$2:$F$5010,-1),2,)</f>
        <v>R06</v>
      </c>
      <c r="C742" s="15" t="s">
        <v>5987</v>
      </c>
      <c r="D742" s="6" t="s">
        <v>4318</v>
      </c>
      <c r="E742" s="8" t="s">
        <v>4305</v>
      </c>
      <c r="F742" s="8" t="s">
        <v>4141</v>
      </c>
      <c r="G742" s="6" t="str">
        <f>_xlfn.XLOOKUP(LD_01[[#This Row],[DISCIPLINA]],'CLASSES DE PROJETOS'!$F$3:$F$37,'CLASSES DE PROJETOS'!$C$3:$C$37)</f>
        <v>GE</v>
      </c>
      <c r="H742" t="str">
        <f>_xlfn.TEXTJOIN("/",TRUE,"MSV-163MS-"&amp;LD_01[[#This Row],[TRECHO]],_xlfn.XLOOKUP(LD_01[[#This Row],[SIGLA]],'CLASSES DE PROJETOS'!$C$3:$C$37,'CLASSES DE PROJETOS'!$E$3:$E$37))</f>
        <v>MSV-163MS-626-628/18.GE</v>
      </c>
      <c r="I742" s="6" t="str" cm="1">
        <f t="array" ref="I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J742" s="6" t="str" cm="1">
        <f t="array" ref="J742">_xlfn.TEXTJOIN(", ",TRUE,_xlfn.UNIQUE(_xlfn._xlws.FILTER(ARQUIVOS_RECEBIDOS!$F$2:$F$5010,ARQUIVOS_RECEBIDOS!$E$2:$E$5010=LD_01[[#This Row],[DOCUMENTO]])))</f>
        <v>R05, R06</v>
      </c>
      <c r="K742" s="12" cm="1">
        <f t="array" ref="K742">_xlfn.UNIQUE(_xlfn._xlws.FILTER(ARQUIVOS[DATA RECEBIMENTO],(ARQUIVOS[DOCUMENTO]=LD_01[[#This Row],[DOCUMENTO]])*(ARQUIVOS[REVISÃO]=LD_01[[#This Row],[REVISÃO]])))</f>
        <v>45946</v>
      </c>
      <c r="L7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M742" s="6" t="str">
        <f>LD_01[[#This Row],[PASTA]]&amp;"/"&amp;LD_01[[#This Row],[ARQUIVO]]</f>
        <v>MSV-163MS-626-628/18.GE/MSV-163MS-626-628-ACA-EXE-DE-F1-002-R06.pdf</v>
      </c>
    </row>
    <row r="743" spans="1:13" ht="28.8" hidden="1" x14ac:dyDescent="0.3">
      <c r="A743" s="6" t="s">
        <v>3523</v>
      </c>
      <c r="B743" s="6" t="str">
        <f>VLOOKUP(LD_01[[#This Row],[DOCUMENTO]],_xlfn.SORTBY(ARQUIVOS_RECEBIDOS!$E$2:$F$5010,ARQUIVOS_RECEBIDOS!$F$2:$F$5010,-1),2,)</f>
        <v>R07</v>
      </c>
      <c r="C743" s="15" t="s">
        <v>5987</v>
      </c>
      <c r="D743" s="6" t="s">
        <v>4318</v>
      </c>
      <c r="E743" s="8" t="s">
        <v>4305</v>
      </c>
      <c r="F743" s="8" t="s">
        <v>4141</v>
      </c>
      <c r="G743" s="6" t="str">
        <f>_xlfn.XLOOKUP(LD_01[[#This Row],[DISCIPLINA]],'CLASSES DE PROJETOS'!$F$3:$F$37,'CLASSES DE PROJETOS'!$C$3:$C$37)</f>
        <v>GE</v>
      </c>
      <c r="H743" t="str">
        <f>_xlfn.TEXTJOIN("/",TRUE,"MSV-163MS-"&amp;LD_01[[#This Row],[TRECHO]],_xlfn.XLOOKUP(LD_01[[#This Row],[SIGLA]],'CLASSES DE PROJETOS'!$C$3:$C$37,'CLASSES DE PROJETOS'!$E$3:$E$37))</f>
        <v>MSV-163MS-626-628/18.GE</v>
      </c>
      <c r="I743" s="6" t="str" cm="1">
        <f t="array" ref="I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J743" s="6" t="str" cm="1">
        <f t="array" ref="J743">_xlfn.TEXTJOIN(", ",TRUE,_xlfn.UNIQUE(_xlfn._xlws.FILTER(ARQUIVOS_RECEBIDOS!$F$2:$F$5010,ARQUIVOS_RECEBIDOS!$E$2:$E$5010=LD_01[[#This Row],[DOCUMENTO]])))</f>
        <v>R06, R07</v>
      </c>
      <c r="K743" s="12" cm="1">
        <f t="array" ref="K743">_xlfn.UNIQUE(_xlfn._xlws.FILTER(ARQUIVOS[DATA RECEBIMENTO],(ARQUIVOS[DOCUMENTO]=LD_01[[#This Row],[DOCUMENTO]])*(ARQUIVOS[REVISÃO]=LD_01[[#This Row],[REVISÃO]])))</f>
        <v>45946</v>
      </c>
      <c r="L7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M743" s="6" t="str">
        <f>LD_01[[#This Row],[PASTA]]&amp;"/"&amp;LD_01[[#This Row],[ARQUIVO]]</f>
        <v>MSV-163MS-626-628/18.GE/MSV-163MS-626-628-ACA-EXE-DE-F1-003-R07.pdf</v>
      </c>
    </row>
    <row r="744" spans="1:13" ht="28.8" hidden="1" x14ac:dyDescent="0.3">
      <c r="A744" s="6" t="s">
        <v>3524</v>
      </c>
      <c r="B744" s="6" t="str">
        <f>VLOOKUP(LD_01[[#This Row],[DOCUMENTO]],_xlfn.SORTBY(ARQUIVOS_RECEBIDOS!$E$2:$F$5010,ARQUIVOS_RECEBIDOS!$F$2:$F$5010,-1),2,)</f>
        <v>R06</v>
      </c>
      <c r="C744" s="15" t="s">
        <v>5987</v>
      </c>
      <c r="D744" s="6" t="s">
        <v>4318</v>
      </c>
      <c r="E744" s="8" t="s">
        <v>4305</v>
      </c>
      <c r="F744" s="8" t="s">
        <v>4141</v>
      </c>
      <c r="G744" s="6" t="str">
        <f>_xlfn.XLOOKUP(LD_01[[#This Row],[DISCIPLINA]],'CLASSES DE PROJETOS'!$F$3:$F$37,'CLASSES DE PROJETOS'!$C$3:$C$37)</f>
        <v>GE</v>
      </c>
      <c r="H744" t="str">
        <f>_xlfn.TEXTJOIN("/",TRUE,"MSV-163MS-"&amp;LD_01[[#This Row],[TRECHO]],_xlfn.XLOOKUP(LD_01[[#This Row],[SIGLA]],'CLASSES DE PROJETOS'!$C$3:$C$37,'CLASSES DE PROJETOS'!$E$3:$E$37))</f>
        <v>MSV-163MS-626-628/18.GE</v>
      </c>
      <c r="I744" s="6" t="str" cm="1">
        <f t="array" ref="I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J744" s="6" t="str" cm="1">
        <f t="array" ref="J744">_xlfn.TEXTJOIN(", ",TRUE,_xlfn.UNIQUE(_xlfn._xlws.FILTER(ARQUIVOS_RECEBIDOS!$F$2:$F$5010,ARQUIVOS_RECEBIDOS!$E$2:$E$5010=LD_01[[#This Row],[DOCUMENTO]])))</f>
        <v>R06</v>
      </c>
      <c r="K744" s="12" cm="1">
        <f t="array" ref="K744">_xlfn.UNIQUE(_xlfn._xlws.FILTER(ARQUIVOS[DATA RECEBIMENTO],(ARQUIVOS[DOCUMENTO]=LD_01[[#This Row],[DOCUMENTO]])*(ARQUIVOS[REVISÃO]=LD_01[[#This Row],[REVISÃO]])))</f>
        <v>45838</v>
      </c>
      <c r="L7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M744" s="6" t="str">
        <f>LD_01[[#This Row],[PASTA]]&amp;"/"&amp;LD_01[[#This Row],[ARQUIVO]]</f>
        <v>MSV-163MS-626-628/18.GE/MSV-163MS-626-628-ACA-EXE-DE-F1-004-R06.pdf</v>
      </c>
    </row>
    <row r="745" spans="1:13" ht="28.8" hidden="1" x14ac:dyDescent="0.3">
      <c r="A745" s="6" t="s">
        <v>3525</v>
      </c>
      <c r="B745" s="6" t="str">
        <f>VLOOKUP(LD_01[[#This Row],[DOCUMENTO]],_xlfn.SORTBY(ARQUIVOS_RECEBIDOS!$E$2:$F$5010,ARQUIVOS_RECEBIDOS!$F$2:$F$5010,-1),2,)</f>
        <v>R05</v>
      </c>
      <c r="C745" s="15" t="s">
        <v>5987</v>
      </c>
      <c r="D745" s="6" t="s">
        <v>4318</v>
      </c>
      <c r="E745" s="8" t="s">
        <v>4305</v>
      </c>
      <c r="F745" s="8" t="s">
        <v>4141</v>
      </c>
      <c r="G745" s="6" t="str">
        <f>_xlfn.XLOOKUP(LD_01[[#This Row],[DISCIPLINA]],'CLASSES DE PROJETOS'!$F$3:$F$37,'CLASSES DE PROJETOS'!$C$3:$C$37)</f>
        <v>GE</v>
      </c>
      <c r="H745" t="str">
        <f>_xlfn.TEXTJOIN("/",TRUE,"MSV-163MS-"&amp;LD_01[[#This Row],[TRECHO]],_xlfn.XLOOKUP(LD_01[[#This Row],[SIGLA]],'CLASSES DE PROJETOS'!$C$3:$C$37,'CLASSES DE PROJETOS'!$E$3:$E$37))</f>
        <v>MSV-163MS-626-628/18.GE</v>
      </c>
      <c r="I745" s="6" t="str" cm="1">
        <f t="array" ref="I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J745" s="6" t="str" cm="1">
        <f t="array" ref="J745">_xlfn.TEXTJOIN(", ",TRUE,_xlfn.UNIQUE(_xlfn._xlws.FILTER(ARQUIVOS_RECEBIDOS!$F$2:$F$5010,ARQUIVOS_RECEBIDOS!$E$2:$E$5010=LD_01[[#This Row],[DOCUMENTO]])))</f>
        <v>R05</v>
      </c>
      <c r="K745" s="12" cm="1">
        <f t="array" ref="K745">_xlfn.UNIQUE(_xlfn._xlws.FILTER(ARQUIVOS[DATA RECEBIMENTO],(ARQUIVOS[DOCUMENTO]=LD_01[[#This Row],[DOCUMENTO]])*(ARQUIVOS[REVISÃO]=LD_01[[#This Row],[REVISÃO]])))</f>
        <v>45838</v>
      </c>
      <c r="L7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M745" s="6" t="str">
        <f>LD_01[[#This Row],[PASTA]]&amp;"/"&amp;LD_01[[#This Row],[ARQUIVO]]</f>
        <v>MSV-163MS-626-628/18.GE/MSV-163MS-626-628-ACA-EXE-DE-F1-005-R05.pdf</v>
      </c>
    </row>
    <row r="746" spans="1:13" ht="28.8" hidden="1" x14ac:dyDescent="0.3">
      <c r="A746" s="6" t="s">
        <v>3526</v>
      </c>
      <c r="B746" s="6" t="str">
        <f>VLOOKUP(LD_01[[#This Row],[DOCUMENTO]],_xlfn.SORTBY(ARQUIVOS_RECEBIDOS!$E$2:$F$5010,ARQUIVOS_RECEBIDOS!$F$2:$F$5010,-1),2,)</f>
        <v>R02</v>
      </c>
      <c r="C746" s="15" t="s">
        <v>5987</v>
      </c>
      <c r="D746" s="6" t="s">
        <v>4318</v>
      </c>
      <c r="E746" s="8" t="s">
        <v>4306</v>
      </c>
      <c r="F746" s="8" t="s">
        <v>4141</v>
      </c>
      <c r="G746" s="6" t="str">
        <f>_xlfn.XLOOKUP(LD_01[[#This Row],[DISCIPLINA]],'CLASSES DE PROJETOS'!$F$3:$F$37,'CLASSES DE PROJETOS'!$C$3:$C$37)</f>
        <v>GE</v>
      </c>
      <c r="H746" t="str">
        <f>_xlfn.TEXTJOIN("/",TRUE,"MSV-163MS-"&amp;LD_01[[#This Row],[TRECHO]],_xlfn.XLOOKUP(LD_01[[#This Row],[SIGLA]],'CLASSES DE PROJETOS'!$C$3:$C$37,'CLASSES DE PROJETOS'!$E$3:$E$37))</f>
        <v>MSV-163MS-626-628/18.GE</v>
      </c>
      <c r="I746" s="6" t="str" cm="1">
        <f t="array" ref="I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J746" s="6" t="str" cm="1">
        <f t="array" ref="J746">_xlfn.TEXTJOIN(", ",TRUE,_xlfn.UNIQUE(_xlfn._xlws.FILTER(ARQUIVOS_RECEBIDOS!$F$2:$F$5010,ARQUIVOS_RECEBIDOS!$E$2:$E$5010=LD_01[[#This Row],[DOCUMENTO]])))</f>
        <v>R02</v>
      </c>
      <c r="K746" s="12" cm="1">
        <f t="array" ref="K746">_xlfn.UNIQUE(_xlfn._xlws.FILTER(ARQUIVOS[DATA RECEBIMENTO],(ARQUIVOS[DOCUMENTO]=LD_01[[#This Row],[DOCUMENTO]])*(ARQUIVOS[REVISÃO]=LD_01[[#This Row],[REVISÃO]])))</f>
        <v>45838</v>
      </c>
      <c r="L7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M746" s="6" t="str">
        <f>LD_01[[#This Row],[PASTA]]&amp;"/"&amp;LD_01[[#This Row],[ARQUIVO]]</f>
        <v>MSV-163MS-626-628/18.GE/MSV-163MS-626-628-ACA-EXE-DE-F1-006-R02.pdf</v>
      </c>
    </row>
    <row r="747" spans="1:13" ht="28.8" hidden="1" x14ac:dyDescent="0.3">
      <c r="A747" s="6" t="s">
        <v>3527</v>
      </c>
      <c r="B747" s="6" t="str">
        <f>VLOOKUP(LD_01[[#This Row],[DOCUMENTO]],_xlfn.SORTBY(ARQUIVOS_RECEBIDOS!$E$2:$F$5010,ARQUIVOS_RECEBIDOS!$F$2:$F$5010,-1),2,)</f>
        <v>R05</v>
      </c>
      <c r="C747" s="15" t="s">
        <v>5987</v>
      </c>
      <c r="D747" s="6" t="s">
        <v>4318</v>
      </c>
      <c r="E747" s="8" t="s">
        <v>4194</v>
      </c>
      <c r="F747" s="8" t="s">
        <v>4141</v>
      </c>
      <c r="G747" s="6" t="str">
        <f>_xlfn.XLOOKUP(LD_01[[#This Row],[DISCIPLINA]],'CLASSES DE PROJETOS'!$F$3:$F$37,'CLASSES DE PROJETOS'!$C$3:$C$37)</f>
        <v>GE</v>
      </c>
      <c r="H747" t="str">
        <f>_xlfn.TEXTJOIN("/",TRUE,"MSV-163MS-"&amp;LD_01[[#This Row],[TRECHO]],_xlfn.XLOOKUP(LD_01[[#This Row],[SIGLA]],'CLASSES DE PROJETOS'!$C$3:$C$37,'CLASSES DE PROJETOS'!$E$3:$E$37))</f>
        <v>MSV-163MS-626-628/18.GE</v>
      </c>
      <c r="I747" s="6" t="str" cm="1">
        <f t="array" ref="I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J747" s="6" t="str" cm="1">
        <f t="array" ref="J747">_xlfn.TEXTJOIN(", ",TRUE,_xlfn.UNIQUE(_xlfn._xlws.FILTER(ARQUIVOS_RECEBIDOS!$F$2:$F$5010,ARQUIVOS_RECEBIDOS!$E$2:$E$5010=LD_01[[#This Row],[DOCUMENTO]])))</f>
        <v>R05</v>
      </c>
      <c r="K747" s="12" cm="1">
        <f t="array" ref="K747">_xlfn.UNIQUE(_xlfn._xlws.FILTER(ARQUIVOS[DATA RECEBIMENTO],(ARQUIVOS[DOCUMENTO]=LD_01[[#This Row],[DOCUMENTO]])*(ARQUIVOS[REVISÃO]=LD_01[[#This Row],[REVISÃO]])))</f>
        <v>45838</v>
      </c>
      <c r="L7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M747" s="6" t="str">
        <f>LD_01[[#This Row],[PASTA]]&amp;"/"&amp;LD_01[[#This Row],[ARQUIVO]]</f>
        <v>MSV-163MS-626-628/18.GE/MSV-163MS-626-628-ACA-EXE-DE-F1-007-R05.pdf</v>
      </c>
    </row>
    <row r="748" spans="1:13" ht="28.8" hidden="1" x14ac:dyDescent="0.3">
      <c r="A748" s="6" t="s">
        <v>3529</v>
      </c>
      <c r="B748" s="6" t="str">
        <f>VLOOKUP(LD_01[[#This Row],[DOCUMENTO]],_xlfn.SORTBY(ARQUIVOS_RECEBIDOS!$E$2:$F$5010,ARQUIVOS_RECEBIDOS!$F$2:$F$5010,-1),2,)</f>
        <v>R01</v>
      </c>
      <c r="C748" s="15" t="s">
        <v>5987</v>
      </c>
      <c r="D748" s="6" t="s">
        <v>4318</v>
      </c>
      <c r="E748" s="8" t="s">
        <v>4077</v>
      </c>
      <c r="F748" s="8" t="s">
        <v>4330</v>
      </c>
      <c r="G748" s="6" t="str">
        <f>_xlfn.XLOOKUP(LD_01[[#This Row],[DISCIPLINA]],'CLASSES DE PROJETOS'!$F$3:$F$37,'CLASSES DE PROJETOS'!$C$3:$C$37)</f>
        <v>TE</v>
      </c>
      <c r="H748" t="str">
        <f>_xlfn.TEXTJOIN("/",TRUE,"MSV-163MS-"&amp;LD_01[[#This Row],[TRECHO]],_xlfn.XLOOKUP(LD_01[[#This Row],[SIGLA]],'CLASSES DE PROJETOS'!$C$3:$C$37,'CLASSES DE PROJETOS'!$E$3:$E$37))</f>
        <v>MSV-163MS-626-628/32.TE</v>
      </c>
      <c r="I748" s="6" t="str" cm="1">
        <f t="array" ref="I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J748" s="6" t="str" cm="1">
        <f t="array" ref="J748">_xlfn.TEXTJOIN(", ",TRUE,_xlfn.UNIQUE(_xlfn._xlws.FILTER(ARQUIVOS_RECEBIDOS!$F$2:$F$5010,ARQUIVOS_RECEBIDOS!$E$2:$E$5010=LD_01[[#This Row],[DOCUMENTO]])))</f>
        <v>R01</v>
      </c>
      <c r="K748" s="12" cm="1">
        <f t="array" ref="K748">_xlfn.UNIQUE(_xlfn._xlws.FILTER(ARQUIVOS[DATA RECEBIMENTO],(ARQUIVOS[DOCUMENTO]=LD_01[[#This Row],[DOCUMENTO]])*(ARQUIVOS[REVISÃO]=LD_01[[#This Row],[REVISÃO]])))</f>
        <v>45838</v>
      </c>
      <c r="L7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M748" s="6" t="str">
        <f>LD_01[[#This Row],[PASTA]]&amp;"/"&amp;LD_01[[#This Row],[ARQUIVO]]</f>
        <v>MSV-163MS-626-628/32.TE/MSV-163MS-626-628-ACA-EXE-DE-G1-001-R01.pdf</v>
      </c>
    </row>
    <row r="749" spans="1:13" ht="28.8" hidden="1" x14ac:dyDescent="0.3">
      <c r="A749" s="6" t="s">
        <v>3530</v>
      </c>
      <c r="B749" s="6" t="str">
        <f>VLOOKUP(LD_01[[#This Row],[DOCUMENTO]],_xlfn.SORTBY(ARQUIVOS_RECEBIDOS!$E$2:$F$5010,ARQUIVOS_RECEBIDOS!$F$2:$F$5010,-1),2,)</f>
        <v>R01</v>
      </c>
      <c r="C749" s="15" t="s">
        <v>5987</v>
      </c>
      <c r="D749" s="6" t="s">
        <v>4318</v>
      </c>
      <c r="E749" s="8" t="s">
        <v>4077</v>
      </c>
      <c r="F749" s="8" t="s">
        <v>4330</v>
      </c>
      <c r="G749" s="6" t="str">
        <f>_xlfn.XLOOKUP(LD_01[[#This Row],[DISCIPLINA]],'CLASSES DE PROJETOS'!$F$3:$F$37,'CLASSES DE PROJETOS'!$C$3:$C$37)</f>
        <v>TE</v>
      </c>
      <c r="H749" t="str">
        <f>_xlfn.TEXTJOIN("/",TRUE,"MSV-163MS-"&amp;LD_01[[#This Row],[TRECHO]],_xlfn.XLOOKUP(LD_01[[#This Row],[SIGLA]],'CLASSES DE PROJETOS'!$C$3:$C$37,'CLASSES DE PROJETOS'!$E$3:$E$37))</f>
        <v>MSV-163MS-626-628/32.TE</v>
      </c>
      <c r="I749" s="6" t="str" cm="1">
        <f t="array" ref="I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J749" s="6" t="str" cm="1">
        <f t="array" ref="J749">_xlfn.TEXTJOIN(", ",TRUE,_xlfn.UNIQUE(_xlfn._xlws.FILTER(ARQUIVOS_RECEBIDOS!$F$2:$F$5010,ARQUIVOS_RECEBIDOS!$E$2:$E$5010=LD_01[[#This Row],[DOCUMENTO]])))</f>
        <v>R01</v>
      </c>
      <c r="K749" s="12" cm="1">
        <f t="array" ref="K749">_xlfn.UNIQUE(_xlfn._xlws.FILTER(ARQUIVOS[DATA RECEBIMENTO],(ARQUIVOS[DOCUMENTO]=LD_01[[#This Row],[DOCUMENTO]])*(ARQUIVOS[REVISÃO]=LD_01[[#This Row],[REVISÃO]])))</f>
        <v>45838</v>
      </c>
      <c r="L7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M749" s="6" t="str">
        <f>LD_01[[#This Row],[PASTA]]&amp;"/"&amp;LD_01[[#This Row],[ARQUIVO]]</f>
        <v>MSV-163MS-626-628/32.TE/MSV-163MS-626-628-ACA-EXE-DE-G1-002-R01.pdf</v>
      </c>
    </row>
    <row r="750" spans="1:13" ht="28.8" hidden="1" x14ac:dyDescent="0.3">
      <c r="A750" s="6" t="s">
        <v>3531</v>
      </c>
      <c r="B750" s="6" t="str">
        <f>VLOOKUP(LD_01[[#This Row],[DOCUMENTO]],_xlfn.SORTBY(ARQUIVOS_RECEBIDOS!$E$2:$F$5010,ARQUIVOS_RECEBIDOS!$F$2:$F$5010,-1),2,)</f>
        <v>R01</v>
      </c>
      <c r="C750" s="15" t="s">
        <v>5987</v>
      </c>
      <c r="D750" s="6" t="s">
        <v>4318</v>
      </c>
      <c r="E750" s="8" t="s">
        <v>4077</v>
      </c>
      <c r="F750" s="8" t="s">
        <v>4330</v>
      </c>
      <c r="G750" s="6" t="str">
        <f>_xlfn.XLOOKUP(LD_01[[#This Row],[DISCIPLINA]],'CLASSES DE PROJETOS'!$F$3:$F$37,'CLASSES DE PROJETOS'!$C$3:$C$37)</f>
        <v>TE</v>
      </c>
      <c r="H750" t="str">
        <f>_xlfn.TEXTJOIN("/",TRUE,"MSV-163MS-"&amp;LD_01[[#This Row],[TRECHO]],_xlfn.XLOOKUP(LD_01[[#This Row],[SIGLA]],'CLASSES DE PROJETOS'!$C$3:$C$37,'CLASSES DE PROJETOS'!$E$3:$E$37))</f>
        <v>MSV-163MS-626-628/32.TE</v>
      </c>
      <c r="I750" s="6" t="str" cm="1">
        <f t="array" ref="I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J750" s="6" t="str" cm="1">
        <f t="array" ref="J750">_xlfn.TEXTJOIN(", ",TRUE,_xlfn.UNIQUE(_xlfn._xlws.FILTER(ARQUIVOS_RECEBIDOS!$F$2:$F$5010,ARQUIVOS_RECEBIDOS!$E$2:$E$5010=LD_01[[#This Row],[DOCUMENTO]])))</f>
        <v>R01</v>
      </c>
      <c r="K750" s="12" cm="1">
        <f t="array" ref="K750">_xlfn.UNIQUE(_xlfn._xlws.FILTER(ARQUIVOS[DATA RECEBIMENTO],(ARQUIVOS[DOCUMENTO]=LD_01[[#This Row],[DOCUMENTO]])*(ARQUIVOS[REVISÃO]=LD_01[[#This Row],[REVISÃO]])))</f>
        <v>45838</v>
      </c>
      <c r="L7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M750" s="6" t="str">
        <f>LD_01[[#This Row],[PASTA]]&amp;"/"&amp;LD_01[[#This Row],[ARQUIVO]]</f>
        <v>MSV-163MS-626-628/32.TE/MSV-163MS-626-628-ACA-EXE-DE-G1-003-R01.pdf</v>
      </c>
    </row>
    <row r="751" spans="1:13" ht="28.8" hidden="1" x14ac:dyDescent="0.3">
      <c r="A751" s="6" t="s">
        <v>3532</v>
      </c>
      <c r="B751" s="6" t="str">
        <f>VLOOKUP(LD_01[[#This Row],[DOCUMENTO]],_xlfn.SORTBY(ARQUIVOS_RECEBIDOS!$E$2:$F$5010,ARQUIVOS_RECEBIDOS!$F$2:$F$5010,-1),2,)</f>
        <v>R01</v>
      </c>
      <c r="C751" s="15" t="s">
        <v>5987</v>
      </c>
      <c r="D751" s="6" t="s">
        <v>4318</v>
      </c>
      <c r="E751" s="8" t="s">
        <v>4077</v>
      </c>
      <c r="F751" s="8" t="s">
        <v>4330</v>
      </c>
      <c r="G751" s="6" t="str">
        <f>_xlfn.XLOOKUP(LD_01[[#This Row],[DISCIPLINA]],'CLASSES DE PROJETOS'!$F$3:$F$37,'CLASSES DE PROJETOS'!$C$3:$C$37)</f>
        <v>TE</v>
      </c>
      <c r="H751" t="str">
        <f>_xlfn.TEXTJOIN("/",TRUE,"MSV-163MS-"&amp;LD_01[[#This Row],[TRECHO]],_xlfn.XLOOKUP(LD_01[[#This Row],[SIGLA]],'CLASSES DE PROJETOS'!$C$3:$C$37,'CLASSES DE PROJETOS'!$E$3:$E$37))</f>
        <v>MSV-163MS-626-628/32.TE</v>
      </c>
      <c r="I751" s="6" t="str" cm="1">
        <f t="array" ref="I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J751" s="6" t="str" cm="1">
        <f t="array" ref="J751">_xlfn.TEXTJOIN(", ",TRUE,_xlfn.UNIQUE(_xlfn._xlws.FILTER(ARQUIVOS_RECEBIDOS!$F$2:$F$5010,ARQUIVOS_RECEBIDOS!$E$2:$E$5010=LD_01[[#This Row],[DOCUMENTO]])))</f>
        <v>R01</v>
      </c>
      <c r="K751" s="12" cm="1">
        <f t="array" ref="K751">_xlfn.UNIQUE(_xlfn._xlws.FILTER(ARQUIVOS[DATA RECEBIMENTO],(ARQUIVOS[DOCUMENTO]=LD_01[[#This Row],[DOCUMENTO]])*(ARQUIVOS[REVISÃO]=LD_01[[#This Row],[REVISÃO]])))</f>
        <v>45838</v>
      </c>
      <c r="L7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M751" s="6" t="str">
        <f>LD_01[[#This Row],[PASTA]]&amp;"/"&amp;LD_01[[#This Row],[ARQUIVO]]</f>
        <v>MSV-163MS-626-628/32.TE/MSV-163MS-626-628-ACA-EXE-DE-G1-004-R01.pdf</v>
      </c>
    </row>
    <row r="752" spans="1:13" ht="28.8" hidden="1" x14ac:dyDescent="0.3">
      <c r="A752" s="6" t="s">
        <v>3533</v>
      </c>
      <c r="B752" s="6" t="str">
        <f>VLOOKUP(LD_01[[#This Row],[DOCUMENTO]],_xlfn.SORTBY(ARQUIVOS_RECEBIDOS!$E$2:$F$5010,ARQUIVOS_RECEBIDOS!$F$2:$F$5010,-1),2,)</f>
        <v>R01</v>
      </c>
      <c r="C752" s="15" t="s">
        <v>5987</v>
      </c>
      <c r="D752" s="6" t="s">
        <v>4318</v>
      </c>
      <c r="E752" s="8" t="s">
        <v>4077</v>
      </c>
      <c r="F752" s="8" t="s">
        <v>4330</v>
      </c>
      <c r="G752" s="6" t="str">
        <f>_xlfn.XLOOKUP(LD_01[[#This Row],[DISCIPLINA]],'CLASSES DE PROJETOS'!$F$3:$F$37,'CLASSES DE PROJETOS'!$C$3:$C$37)</f>
        <v>TE</v>
      </c>
      <c r="H752" t="str">
        <f>_xlfn.TEXTJOIN("/",TRUE,"MSV-163MS-"&amp;LD_01[[#This Row],[TRECHO]],_xlfn.XLOOKUP(LD_01[[#This Row],[SIGLA]],'CLASSES DE PROJETOS'!$C$3:$C$37,'CLASSES DE PROJETOS'!$E$3:$E$37))</f>
        <v>MSV-163MS-626-628/32.TE</v>
      </c>
      <c r="I752" s="6" t="str" cm="1">
        <f t="array" ref="I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J752" s="6" t="str" cm="1">
        <f t="array" ref="J752">_xlfn.TEXTJOIN(", ",TRUE,_xlfn.UNIQUE(_xlfn._xlws.FILTER(ARQUIVOS_RECEBIDOS!$F$2:$F$5010,ARQUIVOS_RECEBIDOS!$E$2:$E$5010=LD_01[[#This Row],[DOCUMENTO]])))</f>
        <v>R01</v>
      </c>
      <c r="K752" s="12" cm="1">
        <f t="array" ref="K752">_xlfn.UNIQUE(_xlfn._xlws.FILTER(ARQUIVOS[DATA RECEBIMENTO],(ARQUIVOS[DOCUMENTO]=LD_01[[#This Row],[DOCUMENTO]])*(ARQUIVOS[REVISÃO]=LD_01[[#This Row],[REVISÃO]])))</f>
        <v>45838</v>
      </c>
      <c r="L7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M752" s="6" t="str">
        <f>LD_01[[#This Row],[PASTA]]&amp;"/"&amp;LD_01[[#This Row],[ARQUIVO]]</f>
        <v>MSV-163MS-626-628/32.TE/MSV-163MS-626-628-ACA-EXE-DE-G1-005-R01.pdf</v>
      </c>
    </row>
    <row r="753" spans="1:13" ht="28.8" hidden="1" x14ac:dyDescent="0.3">
      <c r="A753" s="6" t="s">
        <v>3534</v>
      </c>
      <c r="B753" s="6" t="str">
        <f>VLOOKUP(LD_01[[#This Row],[DOCUMENTO]],_xlfn.SORTBY(ARQUIVOS_RECEBIDOS!$E$2:$F$5010,ARQUIVOS_RECEBIDOS!$F$2:$F$5010,-1),2,)</f>
        <v>R01</v>
      </c>
      <c r="C753" s="15" t="s">
        <v>5987</v>
      </c>
      <c r="D753" s="6" t="s">
        <v>4318</v>
      </c>
      <c r="E753" s="8" t="s">
        <v>4077</v>
      </c>
      <c r="F753" s="8" t="s">
        <v>4330</v>
      </c>
      <c r="G753" s="6" t="str">
        <f>_xlfn.XLOOKUP(LD_01[[#This Row],[DISCIPLINA]],'CLASSES DE PROJETOS'!$F$3:$F$37,'CLASSES DE PROJETOS'!$C$3:$C$37)</f>
        <v>TE</v>
      </c>
      <c r="H753" t="str">
        <f>_xlfn.TEXTJOIN("/",TRUE,"MSV-163MS-"&amp;LD_01[[#This Row],[TRECHO]],_xlfn.XLOOKUP(LD_01[[#This Row],[SIGLA]],'CLASSES DE PROJETOS'!$C$3:$C$37,'CLASSES DE PROJETOS'!$E$3:$E$37))</f>
        <v>MSV-163MS-626-628/32.TE</v>
      </c>
      <c r="I753" s="6" t="str" cm="1">
        <f t="array" ref="I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J753" s="6" t="str" cm="1">
        <f t="array" ref="J753">_xlfn.TEXTJOIN(", ",TRUE,_xlfn.UNIQUE(_xlfn._xlws.FILTER(ARQUIVOS_RECEBIDOS!$F$2:$F$5010,ARQUIVOS_RECEBIDOS!$E$2:$E$5010=LD_01[[#This Row],[DOCUMENTO]])))</f>
        <v>R01</v>
      </c>
      <c r="K753" s="12" cm="1">
        <f t="array" ref="K753">_xlfn.UNIQUE(_xlfn._xlws.FILTER(ARQUIVOS[DATA RECEBIMENTO],(ARQUIVOS[DOCUMENTO]=LD_01[[#This Row],[DOCUMENTO]])*(ARQUIVOS[REVISÃO]=LD_01[[#This Row],[REVISÃO]])))</f>
        <v>45838</v>
      </c>
      <c r="L7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M753" s="6" t="str">
        <f>LD_01[[#This Row],[PASTA]]&amp;"/"&amp;LD_01[[#This Row],[ARQUIVO]]</f>
        <v>MSV-163MS-626-628/32.TE/MSV-163MS-626-628-ACA-EXE-DE-G1-006-R01.pdf</v>
      </c>
    </row>
    <row r="754" spans="1:13" ht="28.8" hidden="1" x14ac:dyDescent="0.3">
      <c r="A754" s="6" t="s">
        <v>3535</v>
      </c>
      <c r="B754" s="6" t="str">
        <f>VLOOKUP(LD_01[[#This Row],[DOCUMENTO]],_xlfn.SORTBY(ARQUIVOS_RECEBIDOS!$E$2:$F$5010,ARQUIVOS_RECEBIDOS!$F$2:$F$5010,-1),2,)</f>
        <v>R01</v>
      </c>
      <c r="C754" s="15" t="s">
        <v>5987</v>
      </c>
      <c r="D754" s="6" t="s">
        <v>4318</v>
      </c>
      <c r="E754" s="8" t="s">
        <v>4077</v>
      </c>
      <c r="F754" s="8" t="s">
        <v>4330</v>
      </c>
      <c r="G754" s="6" t="str">
        <f>_xlfn.XLOOKUP(LD_01[[#This Row],[DISCIPLINA]],'CLASSES DE PROJETOS'!$F$3:$F$37,'CLASSES DE PROJETOS'!$C$3:$C$37)</f>
        <v>TE</v>
      </c>
      <c r="H754" t="str">
        <f>_xlfn.TEXTJOIN("/",TRUE,"MSV-163MS-"&amp;LD_01[[#This Row],[TRECHO]],_xlfn.XLOOKUP(LD_01[[#This Row],[SIGLA]],'CLASSES DE PROJETOS'!$C$3:$C$37,'CLASSES DE PROJETOS'!$E$3:$E$37))</f>
        <v>MSV-163MS-626-628/32.TE</v>
      </c>
      <c r="I754" s="6" t="str" cm="1">
        <f t="array" ref="I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J754" s="6" t="str" cm="1">
        <f t="array" ref="J754">_xlfn.TEXTJOIN(", ",TRUE,_xlfn.UNIQUE(_xlfn._xlws.FILTER(ARQUIVOS_RECEBIDOS!$F$2:$F$5010,ARQUIVOS_RECEBIDOS!$E$2:$E$5010=LD_01[[#This Row],[DOCUMENTO]])))</f>
        <v>R01</v>
      </c>
      <c r="K754" s="12" cm="1">
        <f t="array" ref="K754">_xlfn.UNIQUE(_xlfn._xlws.FILTER(ARQUIVOS[DATA RECEBIMENTO],(ARQUIVOS[DOCUMENTO]=LD_01[[#This Row],[DOCUMENTO]])*(ARQUIVOS[REVISÃO]=LD_01[[#This Row],[REVISÃO]])))</f>
        <v>45838</v>
      </c>
      <c r="L7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M754" s="6" t="str">
        <f>LD_01[[#This Row],[PASTA]]&amp;"/"&amp;LD_01[[#This Row],[ARQUIVO]]</f>
        <v>MSV-163MS-626-628/32.TE/MSV-163MS-626-628-ACA-EXE-DE-G1-007-R01.pdf</v>
      </c>
    </row>
    <row r="755" spans="1:13" ht="28.8" hidden="1" x14ac:dyDescent="0.3">
      <c r="A755" s="6" t="s">
        <v>3536</v>
      </c>
      <c r="B755" s="6" t="str">
        <f>VLOOKUP(LD_01[[#This Row],[DOCUMENTO]],_xlfn.SORTBY(ARQUIVOS_RECEBIDOS!$E$2:$F$5010,ARQUIVOS_RECEBIDOS!$F$2:$F$5010,-1),2,)</f>
        <v>R01</v>
      </c>
      <c r="C755" s="15" t="s">
        <v>5987</v>
      </c>
      <c r="D755" s="6" t="s">
        <v>4318</v>
      </c>
      <c r="E755" s="8" t="s">
        <v>4077</v>
      </c>
      <c r="F755" s="8" t="s">
        <v>4330</v>
      </c>
      <c r="G755" s="6" t="str">
        <f>_xlfn.XLOOKUP(LD_01[[#This Row],[DISCIPLINA]],'CLASSES DE PROJETOS'!$F$3:$F$37,'CLASSES DE PROJETOS'!$C$3:$C$37)</f>
        <v>TE</v>
      </c>
      <c r="H755" t="str">
        <f>_xlfn.TEXTJOIN("/",TRUE,"MSV-163MS-"&amp;LD_01[[#This Row],[TRECHO]],_xlfn.XLOOKUP(LD_01[[#This Row],[SIGLA]],'CLASSES DE PROJETOS'!$C$3:$C$37,'CLASSES DE PROJETOS'!$E$3:$E$37))</f>
        <v>MSV-163MS-626-628/32.TE</v>
      </c>
      <c r="I755" s="6" t="str" cm="1">
        <f t="array" ref="I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J755" s="6" t="str" cm="1">
        <f t="array" ref="J755">_xlfn.TEXTJOIN(", ",TRUE,_xlfn.UNIQUE(_xlfn._xlws.FILTER(ARQUIVOS_RECEBIDOS!$F$2:$F$5010,ARQUIVOS_RECEBIDOS!$E$2:$E$5010=LD_01[[#This Row],[DOCUMENTO]])))</f>
        <v>R01</v>
      </c>
      <c r="K755" s="12" cm="1">
        <f t="array" ref="K755">_xlfn.UNIQUE(_xlfn._xlws.FILTER(ARQUIVOS[DATA RECEBIMENTO],(ARQUIVOS[DOCUMENTO]=LD_01[[#This Row],[DOCUMENTO]])*(ARQUIVOS[REVISÃO]=LD_01[[#This Row],[REVISÃO]])))</f>
        <v>45838</v>
      </c>
      <c r="L7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M755" s="6" t="str">
        <f>LD_01[[#This Row],[PASTA]]&amp;"/"&amp;LD_01[[#This Row],[ARQUIVO]]</f>
        <v>MSV-163MS-626-628/32.TE/MSV-163MS-626-628-ACA-EXE-DE-G1-008-R01.pdf</v>
      </c>
    </row>
    <row r="756" spans="1:13" ht="28.8" hidden="1" x14ac:dyDescent="0.3">
      <c r="A756" s="6" t="s">
        <v>3537</v>
      </c>
      <c r="B756" s="6" t="str">
        <f>VLOOKUP(LD_01[[#This Row],[DOCUMENTO]],_xlfn.SORTBY(ARQUIVOS_RECEBIDOS!$E$2:$F$5010,ARQUIVOS_RECEBIDOS!$F$2:$F$5010,-1),2,)</f>
        <v>R03</v>
      </c>
      <c r="C756" s="15" t="s">
        <v>5987</v>
      </c>
      <c r="D756" s="6" t="s">
        <v>4318</v>
      </c>
      <c r="E756" s="8" t="s">
        <v>4077</v>
      </c>
      <c r="F756" s="8" t="s">
        <v>4330</v>
      </c>
      <c r="G756" s="6" t="str">
        <f>_xlfn.XLOOKUP(LD_01[[#This Row],[DISCIPLINA]],'CLASSES DE PROJETOS'!$F$3:$F$37,'CLASSES DE PROJETOS'!$C$3:$C$37)</f>
        <v>TE</v>
      </c>
      <c r="H756" t="str">
        <f>_xlfn.TEXTJOIN("/",TRUE,"MSV-163MS-"&amp;LD_01[[#This Row],[TRECHO]],_xlfn.XLOOKUP(LD_01[[#This Row],[SIGLA]],'CLASSES DE PROJETOS'!$C$3:$C$37,'CLASSES DE PROJETOS'!$E$3:$E$37))</f>
        <v>MSV-163MS-626-628/32.TE</v>
      </c>
      <c r="I756" s="6" t="str" cm="1">
        <f t="array" ref="I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J756" s="6" t="str" cm="1">
        <f t="array" ref="J756">_xlfn.TEXTJOIN(", ",TRUE,_xlfn.UNIQUE(_xlfn._xlws.FILTER(ARQUIVOS_RECEBIDOS!$F$2:$F$5010,ARQUIVOS_RECEBIDOS!$E$2:$E$5010=LD_01[[#This Row],[DOCUMENTO]])))</f>
        <v>R03</v>
      </c>
      <c r="K756" s="12" cm="1">
        <f t="array" ref="K756">_xlfn.UNIQUE(_xlfn._xlws.FILTER(ARQUIVOS[DATA RECEBIMENTO],(ARQUIVOS[DOCUMENTO]=LD_01[[#This Row],[DOCUMENTO]])*(ARQUIVOS[REVISÃO]=LD_01[[#This Row],[REVISÃO]])))</f>
        <v>45838</v>
      </c>
      <c r="L7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M756" s="6" t="str">
        <f>LD_01[[#This Row],[PASTA]]&amp;"/"&amp;LD_01[[#This Row],[ARQUIVO]]</f>
        <v>MSV-163MS-626-628/32.TE/MSV-163MS-626-628-ACA-EXE-DE-G1-009-R03.pdf</v>
      </c>
    </row>
    <row r="757" spans="1:13" ht="28.8" hidden="1" x14ac:dyDescent="0.3">
      <c r="A757" s="6" t="s">
        <v>3538</v>
      </c>
      <c r="B757" s="6" t="str">
        <f>VLOOKUP(LD_01[[#This Row],[DOCUMENTO]],_xlfn.SORTBY(ARQUIVOS_RECEBIDOS!$E$2:$F$5010,ARQUIVOS_RECEBIDOS!$F$2:$F$5010,-1),2,)</f>
        <v>R01</v>
      </c>
      <c r="C757" s="15" t="s">
        <v>5987</v>
      </c>
      <c r="D757" s="6" t="s">
        <v>4318</v>
      </c>
      <c r="E757" s="8" t="s">
        <v>4077</v>
      </c>
      <c r="F757" s="8" t="s">
        <v>4330</v>
      </c>
      <c r="G757" s="6" t="str">
        <f>_xlfn.XLOOKUP(LD_01[[#This Row],[DISCIPLINA]],'CLASSES DE PROJETOS'!$F$3:$F$37,'CLASSES DE PROJETOS'!$C$3:$C$37)</f>
        <v>TE</v>
      </c>
      <c r="H757" t="str">
        <f>_xlfn.TEXTJOIN("/",TRUE,"MSV-163MS-"&amp;LD_01[[#This Row],[TRECHO]],_xlfn.XLOOKUP(LD_01[[#This Row],[SIGLA]],'CLASSES DE PROJETOS'!$C$3:$C$37,'CLASSES DE PROJETOS'!$E$3:$E$37))</f>
        <v>MSV-163MS-626-628/32.TE</v>
      </c>
      <c r="I757" s="6" t="str" cm="1">
        <f t="array" ref="I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J757" s="6" t="str" cm="1">
        <f t="array" ref="J757">_xlfn.TEXTJOIN(", ",TRUE,_xlfn.UNIQUE(_xlfn._xlws.FILTER(ARQUIVOS_RECEBIDOS!$F$2:$F$5010,ARQUIVOS_RECEBIDOS!$E$2:$E$5010=LD_01[[#This Row],[DOCUMENTO]])))</f>
        <v>R01</v>
      </c>
      <c r="K757" s="12" cm="1">
        <f t="array" ref="K757">_xlfn.UNIQUE(_xlfn._xlws.FILTER(ARQUIVOS[DATA RECEBIMENTO],(ARQUIVOS[DOCUMENTO]=LD_01[[#This Row],[DOCUMENTO]])*(ARQUIVOS[REVISÃO]=LD_01[[#This Row],[REVISÃO]])))</f>
        <v>45838</v>
      </c>
      <c r="L7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M757" s="6" t="str">
        <f>LD_01[[#This Row],[PASTA]]&amp;"/"&amp;LD_01[[#This Row],[ARQUIVO]]</f>
        <v>MSV-163MS-626-628/32.TE/MSV-163MS-626-628-ACA-EXE-DE-G1-010-R01.pdf</v>
      </c>
    </row>
    <row r="758" spans="1:13" ht="28.8" hidden="1" x14ac:dyDescent="0.3">
      <c r="A758" s="6" t="s">
        <v>3539</v>
      </c>
      <c r="B758" s="6" t="str">
        <f>VLOOKUP(LD_01[[#This Row],[DOCUMENTO]],_xlfn.SORTBY(ARQUIVOS_RECEBIDOS!$E$2:$F$5010,ARQUIVOS_RECEBIDOS!$F$2:$F$5010,-1),2,)</f>
        <v>R02</v>
      </c>
      <c r="C758" s="15" t="s">
        <v>5987</v>
      </c>
      <c r="D758" s="6" t="s">
        <v>4318</v>
      </c>
      <c r="E758" s="8" t="s">
        <v>4994</v>
      </c>
      <c r="F758" s="8" t="s">
        <v>4330</v>
      </c>
      <c r="G758" s="6" t="str">
        <f>_xlfn.XLOOKUP(LD_01[[#This Row],[DISCIPLINA]],'CLASSES DE PROJETOS'!$F$3:$F$37,'CLASSES DE PROJETOS'!$C$3:$C$37)</f>
        <v>TE</v>
      </c>
      <c r="H758" t="str">
        <f>_xlfn.TEXTJOIN("/",TRUE,"MSV-163MS-"&amp;LD_01[[#This Row],[TRECHO]],_xlfn.XLOOKUP(LD_01[[#This Row],[SIGLA]],'CLASSES DE PROJETOS'!$C$3:$C$37,'CLASSES DE PROJETOS'!$E$3:$E$37))</f>
        <v>MSV-163MS-626-628/32.TE</v>
      </c>
      <c r="I758" s="6" t="str" cm="1">
        <f t="array" ref="I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J758" s="6" t="str" cm="1">
        <f t="array" ref="J758">_xlfn.TEXTJOIN(", ",TRUE,_xlfn.UNIQUE(_xlfn._xlws.FILTER(ARQUIVOS_RECEBIDOS!$F$2:$F$5010,ARQUIVOS_RECEBIDOS!$E$2:$E$5010=LD_01[[#This Row],[DOCUMENTO]])))</f>
        <v>R02</v>
      </c>
      <c r="K758" s="12" cm="1">
        <f t="array" ref="K758">_xlfn.UNIQUE(_xlfn._xlws.FILTER(ARQUIVOS[DATA RECEBIMENTO],(ARQUIVOS[DOCUMENTO]=LD_01[[#This Row],[DOCUMENTO]])*(ARQUIVOS[REVISÃO]=LD_01[[#This Row],[REVISÃO]])))</f>
        <v>45838</v>
      </c>
      <c r="L7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M758" s="6" t="str">
        <f>LD_01[[#This Row],[PASTA]]&amp;"/"&amp;LD_01[[#This Row],[ARQUIVO]]</f>
        <v>MSV-163MS-626-628/32.TE/MSV-163MS-626-628-ACA-EXE-DE-G1-101-R02.pdf</v>
      </c>
    </row>
    <row r="759" spans="1:13" hidden="1" x14ac:dyDescent="0.3">
      <c r="A759" s="6" t="s">
        <v>3541</v>
      </c>
      <c r="B759" s="6" t="str">
        <f>VLOOKUP(LD_01[[#This Row],[DOCUMENTO]],_xlfn.SORTBY(ARQUIVOS_RECEBIDOS!$E$2:$F$5010,ARQUIVOS_RECEBIDOS!$F$2:$F$5010,-1),2,)</f>
        <v>R02</v>
      </c>
      <c r="C759" s="15" t="s">
        <v>5987</v>
      </c>
      <c r="D759" s="6" t="s">
        <v>4318</v>
      </c>
      <c r="E759" s="8" t="s">
        <v>4076</v>
      </c>
      <c r="F759" s="8" t="s">
        <v>4142</v>
      </c>
      <c r="G759" s="6" t="str">
        <f>_xlfn.XLOOKUP(LD_01[[#This Row],[DISCIPLINA]],'CLASSES DE PROJETOS'!$F$3:$F$37,'CLASSES DE PROJETOS'!$C$3:$C$37)</f>
        <v>DR</v>
      </c>
      <c r="H759" t="str">
        <f>_xlfn.TEXTJOIN("/",TRUE,"MSV-163MS-"&amp;LD_01[[#This Row],[TRECHO]],_xlfn.XLOOKUP(LD_01[[#This Row],[SIGLA]],'CLASSES DE PROJETOS'!$C$3:$C$37,'CLASSES DE PROJETOS'!$E$3:$E$37))</f>
        <v>MSV-163MS-626-628/10.DR</v>
      </c>
      <c r="I759" s="6" t="str" cm="1">
        <f t="array" ref="I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J759" s="6" t="str" cm="1">
        <f t="array" ref="J759">_xlfn.TEXTJOIN(", ",TRUE,_xlfn.UNIQUE(_xlfn._xlws.FILTER(ARQUIVOS_RECEBIDOS!$F$2:$F$5010,ARQUIVOS_RECEBIDOS!$E$2:$E$5010=LD_01[[#This Row],[DOCUMENTO]])))</f>
        <v>R02</v>
      </c>
      <c r="K759" s="12" cm="1">
        <f t="array" ref="K759">_xlfn.UNIQUE(_xlfn._xlws.FILTER(ARQUIVOS[DATA RECEBIMENTO],(ARQUIVOS[DOCUMENTO]=LD_01[[#This Row],[DOCUMENTO]])*(ARQUIVOS[REVISÃO]=LD_01[[#This Row],[REVISÃO]])))</f>
        <v>45838</v>
      </c>
      <c r="L7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M759" s="6" t="str">
        <f>LD_01[[#This Row],[PASTA]]&amp;"/"&amp;LD_01[[#This Row],[ARQUIVO]]</f>
        <v>MSV-163MS-626-628/10.DR/MSV-163MS-626-628-ACA-EXE-DE-H2-001-R02.pdf</v>
      </c>
    </row>
    <row r="760" spans="1:13" hidden="1" x14ac:dyDescent="0.3">
      <c r="A760" s="6" t="s">
        <v>3542</v>
      </c>
      <c r="B760" s="6" t="str">
        <f>VLOOKUP(LD_01[[#This Row],[DOCUMENTO]],_xlfn.SORTBY(ARQUIVOS_RECEBIDOS!$E$2:$F$5010,ARQUIVOS_RECEBIDOS!$F$2:$F$5010,-1),2,)</f>
        <v>R02</v>
      </c>
      <c r="C760" s="15" t="s">
        <v>5987</v>
      </c>
      <c r="D760" s="6" t="s">
        <v>4318</v>
      </c>
      <c r="E760" s="8" t="s">
        <v>4076</v>
      </c>
      <c r="F760" s="8" t="s">
        <v>4142</v>
      </c>
      <c r="G760" s="6" t="str">
        <f>_xlfn.XLOOKUP(LD_01[[#This Row],[DISCIPLINA]],'CLASSES DE PROJETOS'!$F$3:$F$37,'CLASSES DE PROJETOS'!$C$3:$C$37)</f>
        <v>DR</v>
      </c>
      <c r="H760" t="str">
        <f>_xlfn.TEXTJOIN("/",TRUE,"MSV-163MS-"&amp;LD_01[[#This Row],[TRECHO]],_xlfn.XLOOKUP(LD_01[[#This Row],[SIGLA]],'CLASSES DE PROJETOS'!$C$3:$C$37,'CLASSES DE PROJETOS'!$E$3:$E$37))</f>
        <v>MSV-163MS-626-628/10.DR</v>
      </c>
      <c r="I760" s="6" t="str" cm="1">
        <f t="array" ref="I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J760" s="6" t="str" cm="1">
        <f t="array" ref="J760">_xlfn.TEXTJOIN(", ",TRUE,_xlfn.UNIQUE(_xlfn._xlws.FILTER(ARQUIVOS_RECEBIDOS!$F$2:$F$5010,ARQUIVOS_RECEBIDOS!$E$2:$E$5010=LD_01[[#This Row],[DOCUMENTO]])))</f>
        <v>R02</v>
      </c>
      <c r="K760" s="12" cm="1">
        <f t="array" ref="K760">_xlfn.UNIQUE(_xlfn._xlws.FILTER(ARQUIVOS[DATA RECEBIMENTO],(ARQUIVOS[DOCUMENTO]=LD_01[[#This Row],[DOCUMENTO]])*(ARQUIVOS[REVISÃO]=LD_01[[#This Row],[REVISÃO]])))</f>
        <v>45838</v>
      </c>
      <c r="L7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M760" s="6" t="str">
        <f>LD_01[[#This Row],[PASTA]]&amp;"/"&amp;LD_01[[#This Row],[ARQUIVO]]</f>
        <v>MSV-163MS-626-628/10.DR/MSV-163MS-626-628-ACA-EXE-DE-H2-002-R02.pdf</v>
      </c>
    </row>
    <row r="761" spans="1:13" hidden="1" x14ac:dyDescent="0.3">
      <c r="A761" s="6" t="s">
        <v>3543</v>
      </c>
      <c r="B761" s="6" t="str">
        <f>VLOOKUP(LD_01[[#This Row],[DOCUMENTO]],_xlfn.SORTBY(ARQUIVOS_RECEBIDOS!$E$2:$F$5010,ARQUIVOS_RECEBIDOS!$F$2:$F$5010,-1),2,)</f>
        <v>R03</v>
      </c>
      <c r="C761" s="15" t="s">
        <v>5987</v>
      </c>
      <c r="D761" s="6" t="s">
        <v>4318</v>
      </c>
      <c r="E761" s="8" t="s">
        <v>4076</v>
      </c>
      <c r="F761" s="8" t="s">
        <v>4142</v>
      </c>
      <c r="G761" s="6" t="str">
        <f>_xlfn.XLOOKUP(LD_01[[#This Row],[DISCIPLINA]],'CLASSES DE PROJETOS'!$F$3:$F$37,'CLASSES DE PROJETOS'!$C$3:$C$37)</f>
        <v>DR</v>
      </c>
      <c r="H761" t="str">
        <f>_xlfn.TEXTJOIN("/",TRUE,"MSV-163MS-"&amp;LD_01[[#This Row],[TRECHO]],_xlfn.XLOOKUP(LD_01[[#This Row],[SIGLA]],'CLASSES DE PROJETOS'!$C$3:$C$37,'CLASSES DE PROJETOS'!$E$3:$E$37))</f>
        <v>MSV-163MS-626-628/10.DR</v>
      </c>
      <c r="I761" s="6" t="str" cm="1">
        <f t="array" ref="I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J761" s="6" t="str" cm="1">
        <f t="array" ref="J761">_xlfn.TEXTJOIN(", ",TRUE,_xlfn.UNIQUE(_xlfn._xlws.FILTER(ARQUIVOS_RECEBIDOS!$F$2:$F$5010,ARQUIVOS_RECEBIDOS!$E$2:$E$5010=LD_01[[#This Row],[DOCUMENTO]])))</f>
        <v>R03</v>
      </c>
      <c r="K761" s="12" cm="1">
        <f t="array" ref="K761">_xlfn.UNIQUE(_xlfn._xlws.FILTER(ARQUIVOS[DATA RECEBIMENTO],(ARQUIVOS[DOCUMENTO]=LD_01[[#This Row],[DOCUMENTO]])*(ARQUIVOS[REVISÃO]=LD_01[[#This Row],[REVISÃO]])))</f>
        <v>45838</v>
      </c>
      <c r="L7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M761" s="6" t="str">
        <f>LD_01[[#This Row],[PASTA]]&amp;"/"&amp;LD_01[[#This Row],[ARQUIVO]]</f>
        <v>MSV-163MS-626-628/10.DR/MSV-163MS-626-628-ACA-EXE-DE-H2-003-R03.pdf</v>
      </c>
    </row>
    <row r="762" spans="1:13" hidden="1" x14ac:dyDescent="0.3">
      <c r="A762" s="6" t="s">
        <v>3544</v>
      </c>
      <c r="B762" s="6" t="str">
        <f>VLOOKUP(LD_01[[#This Row],[DOCUMENTO]],_xlfn.SORTBY(ARQUIVOS_RECEBIDOS!$E$2:$F$5010,ARQUIVOS_RECEBIDOS!$F$2:$F$5010,-1),2,)</f>
        <v>R03</v>
      </c>
      <c r="C762" s="15" t="s">
        <v>5987</v>
      </c>
      <c r="D762" s="6" t="s">
        <v>4318</v>
      </c>
      <c r="E762" s="8" t="s">
        <v>4076</v>
      </c>
      <c r="F762" s="8" t="s">
        <v>4142</v>
      </c>
      <c r="G762" s="6" t="str">
        <f>_xlfn.XLOOKUP(LD_01[[#This Row],[DISCIPLINA]],'CLASSES DE PROJETOS'!$F$3:$F$37,'CLASSES DE PROJETOS'!$C$3:$C$37)</f>
        <v>DR</v>
      </c>
      <c r="H762" t="str">
        <f>_xlfn.TEXTJOIN("/",TRUE,"MSV-163MS-"&amp;LD_01[[#This Row],[TRECHO]],_xlfn.XLOOKUP(LD_01[[#This Row],[SIGLA]],'CLASSES DE PROJETOS'!$C$3:$C$37,'CLASSES DE PROJETOS'!$E$3:$E$37))</f>
        <v>MSV-163MS-626-628/10.DR</v>
      </c>
      <c r="I762" s="6" t="str" cm="1">
        <f t="array" ref="I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J762" s="6" t="str" cm="1">
        <f t="array" ref="J762">_xlfn.TEXTJOIN(", ",TRUE,_xlfn.UNIQUE(_xlfn._xlws.FILTER(ARQUIVOS_RECEBIDOS!$F$2:$F$5010,ARQUIVOS_RECEBIDOS!$E$2:$E$5010=LD_01[[#This Row],[DOCUMENTO]])))</f>
        <v>R03</v>
      </c>
      <c r="K762" s="12" cm="1">
        <f t="array" ref="K762">_xlfn.UNIQUE(_xlfn._xlws.FILTER(ARQUIVOS[DATA RECEBIMENTO],(ARQUIVOS[DOCUMENTO]=LD_01[[#This Row],[DOCUMENTO]])*(ARQUIVOS[REVISÃO]=LD_01[[#This Row],[REVISÃO]])))</f>
        <v>45838</v>
      </c>
      <c r="L7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M762" s="6" t="str">
        <f>LD_01[[#This Row],[PASTA]]&amp;"/"&amp;LD_01[[#This Row],[ARQUIVO]]</f>
        <v>MSV-163MS-626-628/10.DR/MSV-163MS-626-628-ACA-EXE-DE-H2-004-R03.pdf</v>
      </c>
    </row>
    <row r="763" spans="1:13" hidden="1" x14ac:dyDescent="0.3">
      <c r="A763" s="6" t="s">
        <v>3545</v>
      </c>
      <c r="B763" s="6" t="str">
        <f>VLOOKUP(LD_01[[#This Row],[DOCUMENTO]],_xlfn.SORTBY(ARQUIVOS_RECEBIDOS!$E$2:$F$5010,ARQUIVOS_RECEBIDOS!$F$2:$F$5010,-1),2,)</f>
        <v>R03</v>
      </c>
      <c r="C763" s="15" t="s">
        <v>5987</v>
      </c>
      <c r="D763" s="6" t="s">
        <v>4318</v>
      </c>
      <c r="E763" s="8" t="s">
        <v>4076</v>
      </c>
      <c r="F763" s="8" t="s">
        <v>4142</v>
      </c>
      <c r="G763" s="6" t="str">
        <f>_xlfn.XLOOKUP(LD_01[[#This Row],[DISCIPLINA]],'CLASSES DE PROJETOS'!$F$3:$F$37,'CLASSES DE PROJETOS'!$C$3:$C$37)</f>
        <v>DR</v>
      </c>
      <c r="H763" t="str">
        <f>_xlfn.TEXTJOIN("/",TRUE,"MSV-163MS-"&amp;LD_01[[#This Row],[TRECHO]],_xlfn.XLOOKUP(LD_01[[#This Row],[SIGLA]],'CLASSES DE PROJETOS'!$C$3:$C$37,'CLASSES DE PROJETOS'!$E$3:$E$37))</f>
        <v>MSV-163MS-626-628/10.DR</v>
      </c>
      <c r="I763" s="6" t="str" cm="1">
        <f t="array" ref="I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J763" s="6" t="str" cm="1">
        <f t="array" ref="J763">_xlfn.TEXTJOIN(", ",TRUE,_xlfn.UNIQUE(_xlfn._xlws.FILTER(ARQUIVOS_RECEBIDOS!$F$2:$F$5010,ARQUIVOS_RECEBIDOS!$E$2:$E$5010=LD_01[[#This Row],[DOCUMENTO]])))</f>
        <v>R03</v>
      </c>
      <c r="K763" s="12" cm="1">
        <f t="array" ref="K763">_xlfn.UNIQUE(_xlfn._xlws.FILTER(ARQUIVOS[DATA RECEBIMENTO],(ARQUIVOS[DOCUMENTO]=LD_01[[#This Row],[DOCUMENTO]])*(ARQUIVOS[REVISÃO]=LD_01[[#This Row],[REVISÃO]])))</f>
        <v>45838</v>
      </c>
      <c r="L7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M763" s="6" t="str">
        <f>LD_01[[#This Row],[PASTA]]&amp;"/"&amp;LD_01[[#This Row],[ARQUIVO]]</f>
        <v>MSV-163MS-626-628/10.DR/MSV-163MS-626-628-ACA-EXE-DE-H2-005-R03.pdf</v>
      </c>
    </row>
    <row r="764" spans="1:13" hidden="1" x14ac:dyDescent="0.3">
      <c r="A764" s="6" t="s">
        <v>3546</v>
      </c>
      <c r="B764" s="6" t="str">
        <f>VLOOKUP(LD_01[[#This Row],[DOCUMENTO]],_xlfn.SORTBY(ARQUIVOS_RECEBIDOS!$E$2:$F$5010,ARQUIVOS_RECEBIDOS!$F$2:$F$5010,-1),2,)</f>
        <v>R02</v>
      </c>
      <c r="C764" s="15" t="s">
        <v>5987</v>
      </c>
      <c r="D764" s="6" t="s">
        <v>4318</v>
      </c>
      <c r="E764" s="8" t="s">
        <v>4110</v>
      </c>
      <c r="F764" s="8" t="s">
        <v>4142</v>
      </c>
      <c r="G764" s="6" t="str">
        <f>_xlfn.XLOOKUP(LD_01[[#This Row],[DISCIPLINA]],'CLASSES DE PROJETOS'!$F$3:$F$37,'CLASSES DE PROJETOS'!$C$3:$C$37)</f>
        <v>DR</v>
      </c>
      <c r="H764" t="str">
        <f>_xlfn.TEXTJOIN("/",TRUE,"MSV-163MS-"&amp;LD_01[[#This Row],[TRECHO]],_xlfn.XLOOKUP(LD_01[[#This Row],[SIGLA]],'CLASSES DE PROJETOS'!$C$3:$C$37,'CLASSES DE PROJETOS'!$E$3:$E$37))</f>
        <v>MSV-163MS-626-628/10.DR</v>
      </c>
      <c r="I764" s="6" t="str" cm="1">
        <f t="array" ref="I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J764" s="6" t="str" cm="1">
        <f t="array" ref="J764">_xlfn.TEXTJOIN(", ",TRUE,_xlfn.UNIQUE(_xlfn._xlws.FILTER(ARQUIVOS_RECEBIDOS!$F$2:$F$5010,ARQUIVOS_RECEBIDOS!$E$2:$E$5010=LD_01[[#This Row],[DOCUMENTO]])))</f>
        <v>R02</v>
      </c>
      <c r="K764" s="12" cm="1">
        <f t="array" ref="K764">_xlfn.UNIQUE(_xlfn._xlws.FILTER(ARQUIVOS[DATA RECEBIMENTO],(ARQUIVOS[DOCUMENTO]=LD_01[[#This Row],[DOCUMENTO]])*(ARQUIVOS[REVISÃO]=LD_01[[#This Row],[REVISÃO]])))</f>
        <v>45838</v>
      </c>
      <c r="L7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M764" s="6" t="str">
        <f>LD_01[[#This Row],[PASTA]]&amp;"/"&amp;LD_01[[#This Row],[ARQUIVO]]</f>
        <v>MSV-163MS-626-628/10.DR/MSV-163MS-626-628-ACA-EXE-DE-H2-006-R02.pdf</v>
      </c>
    </row>
    <row r="765" spans="1:13" ht="43.2" hidden="1" x14ac:dyDescent="0.3">
      <c r="A765" s="6" t="s">
        <v>3547</v>
      </c>
      <c r="B765" s="6" t="str">
        <f>VLOOKUP(LD_01[[#This Row],[DOCUMENTO]],_xlfn.SORTBY(ARQUIVOS_RECEBIDOS!$E$2:$F$5010,ARQUIVOS_RECEBIDOS!$F$2:$F$5010,-1),2,)</f>
        <v>R02</v>
      </c>
      <c r="C765" s="15" t="s">
        <v>5987</v>
      </c>
      <c r="D765" s="6" t="s">
        <v>4318</v>
      </c>
      <c r="E765" s="8" t="s">
        <v>4127</v>
      </c>
      <c r="F765" s="8" t="s">
        <v>4142</v>
      </c>
      <c r="G765" s="6" t="str">
        <f>_xlfn.XLOOKUP(LD_01[[#This Row],[DISCIPLINA]],'CLASSES DE PROJETOS'!$F$3:$F$37,'CLASSES DE PROJETOS'!$C$3:$C$37)</f>
        <v>DR</v>
      </c>
      <c r="H765" t="str">
        <f>_xlfn.TEXTJOIN("/",TRUE,"MSV-163MS-"&amp;LD_01[[#This Row],[TRECHO]],_xlfn.XLOOKUP(LD_01[[#This Row],[SIGLA]],'CLASSES DE PROJETOS'!$C$3:$C$37,'CLASSES DE PROJETOS'!$E$3:$E$37))</f>
        <v>MSV-163MS-626-628/10.DR</v>
      </c>
      <c r="I765" s="6" t="str" cm="1">
        <f t="array" ref="I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J765" s="6" t="str" cm="1">
        <f t="array" ref="J765">_xlfn.TEXTJOIN(", ",TRUE,_xlfn.UNIQUE(_xlfn._xlws.FILTER(ARQUIVOS_RECEBIDOS!$F$2:$F$5010,ARQUIVOS_RECEBIDOS!$E$2:$E$5010=LD_01[[#This Row],[DOCUMENTO]])))</f>
        <v>R02</v>
      </c>
      <c r="K765" s="12" cm="1">
        <f t="array" ref="K765">_xlfn.UNIQUE(_xlfn._xlws.FILTER(ARQUIVOS[DATA RECEBIMENTO],(ARQUIVOS[DOCUMENTO]=LD_01[[#This Row],[DOCUMENTO]])*(ARQUIVOS[REVISÃO]=LD_01[[#This Row],[REVISÃO]])))</f>
        <v>45838</v>
      </c>
      <c r="L7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M765" s="6" t="str">
        <f>LD_01[[#This Row],[PASTA]]&amp;"/"&amp;LD_01[[#This Row],[ARQUIVO]]</f>
        <v>MSV-163MS-626-628/10.DR/MSV-163MS-626-628-ACA-EXE-DE-H2-101-R02.pdf</v>
      </c>
    </row>
    <row r="766" spans="1:13" ht="43.2" hidden="1" x14ac:dyDescent="0.3">
      <c r="A766" s="6" t="s">
        <v>3548</v>
      </c>
      <c r="B766" s="6" t="str">
        <f>VLOOKUP(LD_01[[#This Row],[DOCUMENTO]],_xlfn.SORTBY(ARQUIVOS_RECEBIDOS!$E$2:$F$5010,ARQUIVOS_RECEBIDOS!$F$2:$F$5010,-1),2,)</f>
        <v>R00</v>
      </c>
      <c r="C766" s="15" t="s">
        <v>5987</v>
      </c>
      <c r="D766" s="6" t="s">
        <v>4318</v>
      </c>
      <c r="E766" s="8" t="s">
        <v>4128</v>
      </c>
      <c r="F766" s="8" t="s">
        <v>4142</v>
      </c>
      <c r="G766" s="6" t="str">
        <f>_xlfn.XLOOKUP(LD_01[[#This Row],[DISCIPLINA]],'CLASSES DE PROJETOS'!$F$3:$F$37,'CLASSES DE PROJETOS'!$C$3:$C$37)</f>
        <v>DR</v>
      </c>
      <c r="H766" t="str">
        <f>_xlfn.TEXTJOIN("/",TRUE,"MSV-163MS-"&amp;LD_01[[#This Row],[TRECHO]],_xlfn.XLOOKUP(LD_01[[#This Row],[SIGLA]],'CLASSES DE PROJETOS'!$C$3:$C$37,'CLASSES DE PROJETOS'!$E$3:$E$37))</f>
        <v>MSV-163MS-626-628/10.DR</v>
      </c>
      <c r="I766" s="6" t="str" cm="1">
        <f t="array" ref="I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J766" s="6" t="str" cm="1">
        <f t="array" ref="J766">_xlfn.TEXTJOIN(", ",TRUE,_xlfn.UNIQUE(_xlfn._xlws.FILTER(ARQUIVOS_RECEBIDOS!$F$2:$F$5010,ARQUIVOS_RECEBIDOS!$E$2:$E$5010=LD_01[[#This Row],[DOCUMENTO]])))</f>
        <v>R00</v>
      </c>
      <c r="K766" s="12" cm="1">
        <f t="array" ref="K766">_xlfn.UNIQUE(_xlfn._xlws.FILTER(ARQUIVOS[DATA RECEBIMENTO],(ARQUIVOS[DOCUMENTO]=LD_01[[#This Row],[DOCUMENTO]])*(ARQUIVOS[REVISÃO]=LD_01[[#This Row],[REVISÃO]])))</f>
        <v>45838</v>
      </c>
      <c r="L7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M766" s="6" t="str">
        <f>LD_01[[#This Row],[PASTA]]&amp;"/"&amp;LD_01[[#This Row],[ARQUIVO]]</f>
        <v>MSV-163MS-626-628/10.DR/MSV-163MS-626-628-ACA-EXE-DE-H2-102-R00.pdf</v>
      </c>
    </row>
    <row r="767" spans="1:13" hidden="1" x14ac:dyDescent="0.3">
      <c r="A767" s="6" t="s">
        <v>3557</v>
      </c>
      <c r="B767" s="6" t="str">
        <f>VLOOKUP(LD_01[[#This Row],[DOCUMENTO]],_xlfn.SORTBY(ARQUIVOS_RECEBIDOS!$E$2:$F$5010,ARQUIVOS_RECEBIDOS!$F$2:$F$5010,-1),2,)</f>
        <v>R04</v>
      </c>
      <c r="C767" s="15" t="s">
        <v>5987</v>
      </c>
      <c r="D767" s="6" t="s">
        <v>4318</v>
      </c>
      <c r="E767" s="8" t="s">
        <v>4087</v>
      </c>
      <c r="F767" s="8" t="s">
        <v>4143</v>
      </c>
      <c r="G767" s="6" t="str">
        <f>_xlfn.XLOOKUP(LD_01[[#This Row],[DISCIPLINA]],'CLASSES DE PROJETOS'!$F$3:$F$37,'CLASSES DE PROJETOS'!$C$3:$C$37)</f>
        <v>PV</v>
      </c>
      <c r="H767" t="str">
        <f>_xlfn.TEXTJOIN("/",TRUE,"MSV-163MS-"&amp;LD_01[[#This Row],[TRECHO]],_xlfn.XLOOKUP(LD_01[[#This Row],[SIGLA]],'CLASSES DE PROJETOS'!$C$3:$C$37,'CLASSES DE PROJETOS'!$E$3:$E$37))</f>
        <v>MSV-163MS-626-628/28.PV</v>
      </c>
      <c r="I767" s="6" t="str" cm="1">
        <f t="array" ref="I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J767" s="6" t="str" cm="1">
        <f t="array" ref="J767">_xlfn.TEXTJOIN(", ",TRUE,_xlfn.UNIQUE(_xlfn._xlws.FILTER(ARQUIVOS_RECEBIDOS!$F$2:$F$5010,ARQUIVOS_RECEBIDOS!$E$2:$E$5010=LD_01[[#This Row],[DOCUMENTO]])))</f>
        <v>R02, R04</v>
      </c>
      <c r="K767" s="12" cm="1">
        <f t="array" ref="K767">_xlfn.UNIQUE(_xlfn._xlws.FILTER(ARQUIVOS[DATA RECEBIMENTO],(ARQUIVOS[DOCUMENTO]=LD_01[[#This Row],[DOCUMENTO]])*(ARQUIVOS[REVISÃO]=LD_01[[#This Row],[REVISÃO]])))</f>
        <v>45895</v>
      </c>
      <c r="L7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M767" s="6" t="str">
        <f>LD_01[[#This Row],[PASTA]]&amp;"/"&amp;LD_01[[#This Row],[ARQUIVO]]</f>
        <v>MSV-163MS-626-628/28.PV/MSV-163MS-626-628-ACA-EXE-DE-I2-001-R04.pdf</v>
      </c>
    </row>
    <row r="768" spans="1:13" hidden="1" x14ac:dyDescent="0.3">
      <c r="A768" s="6" t="s">
        <v>3558</v>
      </c>
      <c r="B768" s="6" t="str">
        <f>VLOOKUP(LD_01[[#This Row],[DOCUMENTO]],_xlfn.SORTBY(ARQUIVOS_RECEBIDOS!$E$2:$F$5010,ARQUIVOS_RECEBIDOS!$F$2:$F$5010,-1),2,)</f>
        <v>R04</v>
      </c>
      <c r="C768" s="15" t="s">
        <v>5987</v>
      </c>
      <c r="D768" s="6" t="s">
        <v>4318</v>
      </c>
      <c r="E768" s="8" t="s">
        <v>4087</v>
      </c>
      <c r="F768" s="8" t="s">
        <v>4143</v>
      </c>
      <c r="G768" s="6" t="str">
        <f>_xlfn.XLOOKUP(LD_01[[#This Row],[DISCIPLINA]],'CLASSES DE PROJETOS'!$F$3:$F$37,'CLASSES DE PROJETOS'!$C$3:$C$37)</f>
        <v>PV</v>
      </c>
      <c r="H768" t="str">
        <f>_xlfn.TEXTJOIN("/",TRUE,"MSV-163MS-"&amp;LD_01[[#This Row],[TRECHO]],_xlfn.XLOOKUP(LD_01[[#This Row],[SIGLA]],'CLASSES DE PROJETOS'!$C$3:$C$37,'CLASSES DE PROJETOS'!$E$3:$E$37))</f>
        <v>MSV-163MS-626-628/28.PV</v>
      </c>
      <c r="I768" s="6" t="str" cm="1">
        <f t="array" ref="I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J768" s="6" t="str" cm="1">
        <f t="array" ref="J768">_xlfn.TEXTJOIN(", ",TRUE,_xlfn.UNIQUE(_xlfn._xlws.FILTER(ARQUIVOS_RECEBIDOS!$F$2:$F$5010,ARQUIVOS_RECEBIDOS!$E$2:$E$5010=LD_01[[#This Row],[DOCUMENTO]])))</f>
        <v>R02, R04</v>
      </c>
      <c r="K768" s="12" cm="1">
        <f t="array" ref="K768">_xlfn.UNIQUE(_xlfn._xlws.FILTER(ARQUIVOS[DATA RECEBIMENTO],(ARQUIVOS[DOCUMENTO]=LD_01[[#This Row],[DOCUMENTO]])*(ARQUIVOS[REVISÃO]=LD_01[[#This Row],[REVISÃO]])))</f>
        <v>45895</v>
      </c>
      <c r="L7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M768" s="6" t="str">
        <f>LD_01[[#This Row],[PASTA]]&amp;"/"&amp;LD_01[[#This Row],[ARQUIVO]]</f>
        <v>MSV-163MS-626-628/28.PV/MSV-163MS-626-628-ACA-EXE-DE-I2-002-R04.pdf</v>
      </c>
    </row>
    <row r="769" spans="1:13" hidden="1" x14ac:dyDescent="0.3">
      <c r="A769" s="6" t="s">
        <v>3559</v>
      </c>
      <c r="B769" s="6" t="str">
        <f>VLOOKUP(LD_01[[#This Row],[DOCUMENTO]],_xlfn.SORTBY(ARQUIVOS_RECEBIDOS!$E$2:$F$5010,ARQUIVOS_RECEBIDOS!$F$2:$F$5010,-1),2,)</f>
        <v>R06</v>
      </c>
      <c r="C769" s="15" t="s">
        <v>5987</v>
      </c>
      <c r="D769" s="6" t="s">
        <v>4318</v>
      </c>
      <c r="E769" s="8" t="s">
        <v>4087</v>
      </c>
      <c r="F769" s="8" t="s">
        <v>4143</v>
      </c>
      <c r="G769" s="6" t="str">
        <f>_xlfn.XLOOKUP(LD_01[[#This Row],[DISCIPLINA]],'CLASSES DE PROJETOS'!$F$3:$F$37,'CLASSES DE PROJETOS'!$C$3:$C$37)</f>
        <v>PV</v>
      </c>
      <c r="H769" t="str">
        <f>_xlfn.TEXTJOIN("/",TRUE,"MSV-163MS-"&amp;LD_01[[#This Row],[TRECHO]],_xlfn.XLOOKUP(LD_01[[#This Row],[SIGLA]],'CLASSES DE PROJETOS'!$C$3:$C$37,'CLASSES DE PROJETOS'!$E$3:$E$37))</f>
        <v>MSV-163MS-626-628/28.PV</v>
      </c>
      <c r="I769" s="6" t="str" cm="1">
        <f t="array" ref="I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J769" s="6" t="str" cm="1">
        <f t="array" ref="J769">_xlfn.TEXTJOIN(", ",TRUE,_xlfn.UNIQUE(_xlfn._xlws.FILTER(ARQUIVOS_RECEBIDOS!$F$2:$F$5010,ARQUIVOS_RECEBIDOS!$E$2:$E$5010=LD_01[[#This Row],[DOCUMENTO]])))</f>
        <v>R04, R06</v>
      </c>
      <c r="K769" s="12" cm="1">
        <f t="array" ref="K769">_xlfn.UNIQUE(_xlfn._xlws.FILTER(ARQUIVOS[DATA RECEBIMENTO],(ARQUIVOS[DOCUMENTO]=LD_01[[#This Row],[DOCUMENTO]])*(ARQUIVOS[REVISÃO]=LD_01[[#This Row],[REVISÃO]])))</f>
        <v>45895</v>
      </c>
      <c r="L7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M769" s="6" t="str">
        <f>LD_01[[#This Row],[PASTA]]&amp;"/"&amp;LD_01[[#This Row],[ARQUIVO]]</f>
        <v>MSV-163MS-626-628/28.PV/MSV-163MS-626-628-ACA-EXE-DE-I2-003-R06.pdf</v>
      </c>
    </row>
    <row r="770" spans="1:13" hidden="1" x14ac:dyDescent="0.3">
      <c r="A770" s="6" t="s">
        <v>3560</v>
      </c>
      <c r="B770" s="6" t="str">
        <f>VLOOKUP(LD_01[[#This Row],[DOCUMENTO]],_xlfn.SORTBY(ARQUIVOS_RECEBIDOS!$E$2:$F$5010,ARQUIVOS_RECEBIDOS!$F$2:$F$5010,-1),2,)</f>
        <v>R06</v>
      </c>
      <c r="C770" s="15" t="s">
        <v>5987</v>
      </c>
      <c r="D770" s="6" t="s">
        <v>4318</v>
      </c>
      <c r="E770" s="8" t="s">
        <v>4087</v>
      </c>
      <c r="F770" s="8" t="s">
        <v>4143</v>
      </c>
      <c r="G770" s="6" t="str">
        <f>_xlfn.XLOOKUP(LD_01[[#This Row],[DISCIPLINA]],'CLASSES DE PROJETOS'!$F$3:$F$37,'CLASSES DE PROJETOS'!$C$3:$C$37)</f>
        <v>PV</v>
      </c>
      <c r="H770" t="str">
        <f>_xlfn.TEXTJOIN("/",TRUE,"MSV-163MS-"&amp;LD_01[[#This Row],[TRECHO]],_xlfn.XLOOKUP(LD_01[[#This Row],[SIGLA]],'CLASSES DE PROJETOS'!$C$3:$C$37,'CLASSES DE PROJETOS'!$E$3:$E$37))</f>
        <v>MSV-163MS-626-628/28.PV</v>
      </c>
      <c r="I770" s="6" t="str" cm="1">
        <f t="array" ref="I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J770" s="6" t="str" cm="1">
        <f t="array" ref="J770">_xlfn.TEXTJOIN(", ",TRUE,_xlfn.UNIQUE(_xlfn._xlws.FILTER(ARQUIVOS_RECEBIDOS!$F$2:$F$5010,ARQUIVOS_RECEBIDOS!$E$2:$E$5010=LD_01[[#This Row],[DOCUMENTO]])))</f>
        <v>R04, R06</v>
      </c>
      <c r="K770" s="12" cm="1">
        <f t="array" ref="K770">_xlfn.UNIQUE(_xlfn._xlws.FILTER(ARQUIVOS[DATA RECEBIMENTO],(ARQUIVOS[DOCUMENTO]=LD_01[[#This Row],[DOCUMENTO]])*(ARQUIVOS[REVISÃO]=LD_01[[#This Row],[REVISÃO]])))</f>
        <v>45895</v>
      </c>
      <c r="L7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M770" s="6" t="str">
        <f>LD_01[[#This Row],[PASTA]]&amp;"/"&amp;LD_01[[#This Row],[ARQUIVO]]</f>
        <v>MSV-163MS-626-628/28.PV/MSV-163MS-626-628-ACA-EXE-DE-I2-004-R06.pdf</v>
      </c>
    </row>
    <row r="771" spans="1:13" hidden="1" x14ac:dyDescent="0.3">
      <c r="A771" s="6" t="s">
        <v>3561</v>
      </c>
      <c r="B771" s="6" t="str">
        <f>VLOOKUP(LD_01[[#This Row],[DOCUMENTO]],_xlfn.SORTBY(ARQUIVOS_RECEBIDOS!$E$2:$F$5010,ARQUIVOS_RECEBIDOS!$F$2:$F$5010,-1),2,)</f>
        <v>R06</v>
      </c>
      <c r="C771" s="15" t="s">
        <v>5987</v>
      </c>
      <c r="D771" s="6" t="s">
        <v>4318</v>
      </c>
      <c r="E771" s="8" t="s">
        <v>4087</v>
      </c>
      <c r="F771" s="8" t="s">
        <v>4143</v>
      </c>
      <c r="G771" s="6" t="str">
        <f>_xlfn.XLOOKUP(LD_01[[#This Row],[DISCIPLINA]],'CLASSES DE PROJETOS'!$F$3:$F$37,'CLASSES DE PROJETOS'!$C$3:$C$37)</f>
        <v>PV</v>
      </c>
      <c r="H771" t="str">
        <f>_xlfn.TEXTJOIN("/",TRUE,"MSV-163MS-"&amp;LD_01[[#This Row],[TRECHO]],_xlfn.XLOOKUP(LD_01[[#This Row],[SIGLA]],'CLASSES DE PROJETOS'!$C$3:$C$37,'CLASSES DE PROJETOS'!$E$3:$E$37))</f>
        <v>MSV-163MS-626-628/28.PV</v>
      </c>
      <c r="I771" s="6" t="str" cm="1">
        <f t="array" ref="I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J771" s="6" t="str" cm="1">
        <f t="array" ref="J771">_xlfn.TEXTJOIN(", ",TRUE,_xlfn.UNIQUE(_xlfn._xlws.FILTER(ARQUIVOS_RECEBIDOS!$F$2:$F$5010,ARQUIVOS_RECEBIDOS!$E$2:$E$5010=LD_01[[#This Row],[DOCUMENTO]])))</f>
        <v>R04, R06</v>
      </c>
      <c r="K771" s="12" cm="1">
        <f t="array" ref="K771">_xlfn.UNIQUE(_xlfn._xlws.FILTER(ARQUIVOS[DATA RECEBIMENTO],(ARQUIVOS[DOCUMENTO]=LD_01[[#This Row],[DOCUMENTO]])*(ARQUIVOS[REVISÃO]=LD_01[[#This Row],[REVISÃO]])))</f>
        <v>45895</v>
      </c>
      <c r="L7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M771" s="6" t="str">
        <f>LD_01[[#This Row],[PASTA]]&amp;"/"&amp;LD_01[[#This Row],[ARQUIVO]]</f>
        <v>MSV-163MS-626-628/28.PV/MSV-163MS-626-628-ACA-EXE-DE-I2-005-R06.pdf</v>
      </c>
    </row>
    <row r="772" spans="1:13" hidden="1" x14ac:dyDescent="0.3">
      <c r="A772" s="6" t="s">
        <v>3562</v>
      </c>
      <c r="B772" s="6" t="str">
        <f>VLOOKUP(LD_01[[#This Row],[DOCUMENTO]],_xlfn.SORTBY(ARQUIVOS_RECEBIDOS!$E$2:$F$5010,ARQUIVOS_RECEBIDOS!$F$2:$F$5010,-1),2,)</f>
        <v>R07</v>
      </c>
      <c r="C772" s="15" t="s">
        <v>5987</v>
      </c>
      <c r="D772" s="6" t="s">
        <v>4318</v>
      </c>
      <c r="E772" s="8" t="s">
        <v>4102</v>
      </c>
      <c r="F772" s="8" t="s">
        <v>4143</v>
      </c>
      <c r="G772" s="6" t="str">
        <f>_xlfn.XLOOKUP(LD_01[[#This Row],[DISCIPLINA]],'CLASSES DE PROJETOS'!$F$3:$F$37,'CLASSES DE PROJETOS'!$C$3:$C$37)</f>
        <v>PV</v>
      </c>
      <c r="H772" t="str">
        <f>_xlfn.TEXTJOIN("/",TRUE,"MSV-163MS-"&amp;LD_01[[#This Row],[TRECHO]],_xlfn.XLOOKUP(LD_01[[#This Row],[SIGLA]],'CLASSES DE PROJETOS'!$C$3:$C$37,'CLASSES DE PROJETOS'!$E$3:$E$37))</f>
        <v>MSV-163MS-626-628/28.PV</v>
      </c>
      <c r="I772" s="6" t="str" cm="1">
        <f t="array" ref="I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J772" s="6" t="str" cm="1">
        <f t="array" ref="J772">_xlfn.TEXTJOIN(", ",TRUE,_xlfn.UNIQUE(_xlfn._xlws.FILTER(ARQUIVOS_RECEBIDOS!$F$2:$F$5010,ARQUIVOS_RECEBIDOS!$E$2:$E$5010=LD_01[[#This Row],[DOCUMENTO]])))</f>
        <v>R04, R07</v>
      </c>
      <c r="K772" s="12" cm="1">
        <f t="array" ref="K772">_xlfn.UNIQUE(_xlfn._xlws.FILTER(ARQUIVOS[DATA RECEBIMENTO],(ARQUIVOS[DOCUMENTO]=LD_01[[#This Row],[DOCUMENTO]])*(ARQUIVOS[REVISÃO]=LD_01[[#This Row],[REVISÃO]])))</f>
        <v>45895</v>
      </c>
      <c r="L7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M772" s="6" t="str">
        <f>LD_01[[#This Row],[PASTA]]&amp;"/"&amp;LD_01[[#This Row],[ARQUIVO]]</f>
        <v>MSV-163MS-626-628/28.PV/MSV-163MS-626-628-ACA-EXE-DE-I2-006-R07.pdf</v>
      </c>
    </row>
    <row r="773" spans="1:13" hidden="1" x14ac:dyDescent="0.3">
      <c r="A773" s="6" t="s">
        <v>3563</v>
      </c>
      <c r="B773" s="6" t="str">
        <f>VLOOKUP(LD_01[[#This Row],[DOCUMENTO]],_xlfn.SORTBY(ARQUIVOS_RECEBIDOS!$E$2:$F$5010,ARQUIVOS_RECEBIDOS!$F$2:$F$5010,-1),2,)</f>
        <v>R05</v>
      </c>
      <c r="C773" s="15" t="s">
        <v>5987</v>
      </c>
      <c r="D773" s="6" t="s">
        <v>4318</v>
      </c>
      <c r="E773" s="8" t="s">
        <v>4102</v>
      </c>
      <c r="F773" s="8" t="s">
        <v>4143</v>
      </c>
      <c r="G773" s="6" t="str">
        <f>_xlfn.XLOOKUP(LD_01[[#This Row],[DISCIPLINA]],'CLASSES DE PROJETOS'!$F$3:$F$37,'CLASSES DE PROJETOS'!$C$3:$C$37)</f>
        <v>PV</v>
      </c>
      <c r="H773" t="str">
        <f>_xlfn.TEXTJOIN("/",TRUE,"MSV-163MS-"&amp;LD_01[[#This Row],[TRECHO]],_xlfn.XLOOKUP(LD_01[[#This Row],[SIGLA]],'CLASSES DE PROJETOS'!$C$3:$C$37,'CLASSES DE PROJETOS'!$E$3:$E$37))</f>
        <v>MSV-163MS-626-628/28.PV</v>
      </c>
      <c r="I773" s="6" t="str" cm="1">
        <f t="array" ref="I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J773" s="6" t="str" cm="1">
        <f t="array" ref="J773">_xlfn.TEXTJOIN(", ",TRUE,_xlfn.UNIQUE(_xlfn._xlws.FILTER(ARQUIVOS_RECEBIDOS!$F$2:$F$5010,ARQUIVOS_RECEBIDOS!$E$2:$E$5010=LD_01[[#This Row],[DOCUMENTO]])))</f>
        <v>R04, R05</v>
      </c>
      <c r="K773" s="12" cm="1">
        <f t="array" ref="K773">_xlfn.UNIQUE(_xlfn._xlws.FILTER(ARQUIVOS[DATA RECEBIMENTO],(ARQUIVOS[DOCUMENTO]=LD_01[[#This Row],[DOCUMENTO]])*(ARQUIVOS[REVISÃO]=LD_01[[#This Row],[REVISÃO]])))</f>
        <v>45895</v>
      </c>
      <c r="L7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M773" s="6" t="str">
        <f>LD_01[[#This Row],[PASTA]]&amp;"/"&amp;LD_01[[#This Row],[ARQUIVO]]</f>
        <v>MSV-163MS-626-628/28.PV/MSV-163MS-626-628-ACA-EXE-DE-I2-007-R05.pdf</v>
      </c>
    </row>
    <row r="774" spans="1:13" hidden="1" x14ac:dyDescent="0.3">
      <c r="A774" s="6" t="s">
        <v>3564</v>
      </c>
      <c r="B774" s="6" t="str">
        <f>VLOOKUP(LD_01[[#This Row],[DOCUMENTO]],_xlfn.SORTBY(ARQUIVOS_RECEBIDOS!$E$2:$F$5010,ARQUIVOS_RECEBIDOS!$F$2:$F$5010,-1),2,)</f>
        <v>R05</v>
      </c>
      <c r="C774" s="15" t="s">
        <v>5987</v>
      </c>
      <c r="D774" s="6" t="s">
        <v>4318</v>
      </c>
      <c r="E774" s="8" t="s">
        <v>4102</v>
      </c>
      <c r="F774" s="8" t="s">
        <v>4143</v>
      </c>
      <c r="G774" s="6" t="str">
        <f>_xlfn.XLOOKUP(LD_01[[#This Row],[DISCIPLINA]],'CLASSES DE PROJETOS'!$F$3:$F$37,'CLASSES DE PROJETOS'!$C$3:$C$37)</f>
        <v>PV</v>
      </c>
      <c r="H774" t="str">
        <f>_xlfn.TEXTJOIN("/",TRUE,"MSV-163MS-"&amp;LD_01[[#This Row],[TRECHO]],_xlfn.XLOOKUP(LD_01[[#This Row],[SIGLA]],'CLASSES DE PROJETOS'!$C$3:$C$37,'CLASSES DE PROJETOS'!$E$3:$E$37))</f>
        <v>MSV-163MS-626-628/28.PV</v>
      </c>
      <c r="I774" s="6" t="str" cm="1">
        <f t="array" ref="I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J774" s="6" t="str" cm="1">
        <f t="array" ref="J774">_xlfn.TEXTJOIN(", ",TRUE,_xlfn.UNIQUE(_xlfn._xlws.FILTER(ARQUIVOS_RECEBIDOS!$F$2:$F$5010,ARQUIVOS_RECEBIDOS!$E$2:$E$5010=LD_01[[#This Row],[DOCUMENTO]])))</f>
        <v>R04, R05</v>
      </c>
      <c r="K774" s="12" cm="1">
        <f t="array" ref="K774">_xlfn.UNIQUE(_xlfn._xlws.FILTER(ARQUIVOS[DATA RECEBIMENTO],(ARQUIVOS[DOCUMENTO]=LD_01[[#This Row],[DOCUMENTO]])*(ARQUIVOS[REVISÃO]=LD_01[[#This Row],[REVISÃO]])))</f>
        <v>45895</v>
      </c>
      <c r="L7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M774" s="6" t="str">
        <f>LD_01[[#This Row],[PASTA]]&amp;"/"&amp;LD_01[[#This Row],[ARQUIVO]]</f>
        <v>MSV-163MS-626-628/28.PV/MSV-163MS-626-628-ACA-EXE-DE-I2-008-R05.pdf</v>
      </c>
    </row>
    <row r="775" spans="1:13" hidden="1" x14ac:dyDescent="0.3">
      <c r="A775" s="6" t="s">
        <v>3551</v>
      </c>
      <c r="B775" s="6" t="str">
        <f>VLOOKUP(LD_01[[#This Row],[DOCUMENTO]],_xlfn.SORTBY(ARQUIVOS_RECEBIDOS!$E$2:$F$5010,ARQUIVOS_RECEBIDOS!$F$2:$F$5010,-1),2,)</f>
        <v>R03</v>
      </c>
      <c r="C775" s="15" t="s">
        <v>5987</v>
      </c>
      <c r="D775" s="6" t="s">
        <v>4318</v>
      </c>
      <c r="E775" s="8" t="s">
        <v>4083</v>
      </c>
      <c r="F775" s="8" t="s">
        <v>4331</v>
      </c>
      <c r="G775" s="6" t="str">
        <f>_xlfn.XLOOKUP(LD_01[[#This Row],[DISCIPLINA]],'CLASSES DE PROJETOS'!$F$3:$F$37,'CLASSES DE PROJETOS'!$C$3:$C$37)</f>
        <v>SI</v>
      </c>
      <c r="H775" t="str">
        <f>_xlfn.TEXTJOIN("/",TRUE,"MSV-163MS-"&amp;LD_01[[#This Row],[TRECHO]],_xlfn.XLOOKUP(LD_01[[#This Row],[SIGLA]],'CLASSES DE PROJETOS'!$C$3:$C$37,'CLASSES DE PROJETOS'!$E$3:$E$37))</f>
        <v>MSV-163MS-626-628/31.SI</v>
      </c>
      <c r="I775" s="6" t="str" cm="1">
        <f t="array" ref="I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J775" s="6" t="str" cm="1">
        <f t="array" ref="J775">_xlfn.TEXTJOIN(", ",TRUE,_xlfn.UNIQUE(_xlfn._xlws.FILTER(ARQUIVOS_RECEBIDOS!$F$2:$F$5010,ARQUIVOS_RECEBIDOS!$E$2:$E$5010=LD_01[[#This Row],[DOCUMENTO]])))</f>
        <v>R03</v>
      </c>
      <c r="K775" s="12" cm="1">
        <f t="array" ref="K775">_xlfn.UNIQUE(_xlfn._xlws.FILTER(ARQUIVOS[DATA RECEBIMENTO],(ARQUIVOS[DOCUMENTO]=LD_01[[#This Row],[DOCUMENTO]])*(ARQUIVOS[REVISÃO]=LD_01[[#This Row],[REVISÃO]])))</f>
        <v>45838</v>
      </c>
      <c r="L7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M775" s="6" t="str">
        <f>LD_01[[#This Row],[PASTA]]&amp;"/"&amp;LD_01[[#This Row],[ARQUIVO]]</f>
        <v>MSV-163MS-626-628/31.SI/MSV-163MS-626-628-ACA-EXE-DE-J1-001-R03.pdf</v>
      </c>
    </row>
    <row r="776" spans="1:13" hidden="1" x14ac:dyDescent="0.3">
      <c r="A776" s="6" t="s">
        <v>3552</v>
      </c>
      <c r="B776" s="6" t="str">
        <f>VLOOKUP(LD_01[[#This Row],[DOCUMENTO]],_xlfn.SORTBY(ARQUIVOS_RECEBIDOS!$E$2:$F$5010,ARQUIVOS_RECEBIDOS!$F$2:$F$5010,-1),2,)</f>
        <v>R04</v>
      </c>
      <c r="C776" s="15" t="s">
        <v>5987</v>
      </c>
      <c r="D776" s="6" t="s">
        <v>4318</v>
      </c>
      <c r="E776" s="8" t="s">
        <v>4083</v>
      </c>
      <c r="F776" s="8" t="s">
        <v>4331</v>
      </c>
      <c r="G776" s="6" t="str">
        <f>_xlfn.XLOOKUP(LD_01[[#This Row],[DISCIPLINA]],'CLASSES DE PROJETOS'!$F$3:$F$37,'CLASSES DE PROJETOS'!$C$3:$C$37)</f>
        <v>SI</v>
      </c>
      <c r="H776" t="str">
        <f>_xlfn.TEXTJOIN("/",TRUE,"MSV-163MS-"&amp;LD_01[[#This Row],[TRECHO]],_xlfn.XLOOKUP(LD_01[[#This Row],[SIGLA]],'CLASSES DE PROJETOS'!$C$3:$C$37,'CLASSES DE PROJETOS'!$E$3:$E$37))</f>
        <v>MSV-163MS-626-628/31.SI</v>
      </c>
      <c r="I776" s="6" t="str" cm="1">
        <f t="array" ref="I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J776" s="6" t="str" cm="1">
        <f t="array" ref="J776">_xlfn.TEXTJOIN(", ",TRUE,_xlfn.UNIQUE(_xlfn._xlws.FILTER(ARQUIVOS_RECEBIDOS!$F$2:$F$5010,ARQUIVOS_RECEBIDOS!$E$2:$E$5010=LD_01[[#This Row],[DOCUMENTO]])))</f>
        <v>R04</v>
      </c>
      <c r="K776" s="12" cm="1">
        <f t="array" ref="K776">_xlfn.UNIQUE(_xlfn._xlws.FILTER(ARQUIVOS[DATA RECEBIMENTO],(ARQUIVOS[DOCUMENTO]=LD_01[[#This Row],[DOCUMENTO]])*(ARQUIVOS[REVISÃO]=LD_01[[#This Row],[REVISÃO]])))</f>
        <v>45838</v>
      </c>
      <c r="L7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M776" s="6" t="str">
        <f>LD_01[[#This Row],[PASTA]]&amp;"/"&amp;LD_01[[#This Row],[ARQUIVO]]</f>
        <v>MSV-163MS-626-628/31.SI/MSV-163MS-626-628-ACA-EXE-DE-J1-002-R04.pdf</v>
      </c>
    </row>
    <row r="777" spans="1:13" hidden="1" x14ac:dyDescent="0.3">
      <c r="A777" s="6" t="s">
        <v>3553</v>
      </c>
      <c r="B777" s="6" t="str">
        <f>VLOOKUP(LD_01[[#This Row],[DOCUMENTO]],_xlfn.SORTBY(ARQUIVOS_RECEBIDOS!$E$2:$F$5010,ARQUIVOS_RECEBIDOS!$F$2:$F$5010,-1),2,)</f>
        <v>R03</v>
      </c>
      <c r="C777" s="15" t="s">
        <v>5987</v>
      </c>
      <c r="D777" s="6" t="s">
        <v>4318</v>
      </c>
      <c r="E777" s="8" t="s">
        <v>4083</v>
      </c>
      <c r="F777" s="8" t="s">
        <v>4331</v>
      </c>
      <c r="G777" s="6" t="str">
        <f>_xlfn.XLOOKUP(LD_01[[#This Row],[DISCIPLINA]],'CLASSES DE PROJETOS'!$F$3:$F$37,'CLASSES DE PROJETOS'!$C$3:$C$37)</f>
        <v>SI</v>
      </c>
      <c r="H777" t="str">
        <f>_xlfn.TEXTJOIN("/",TRUE,"MSV-163MS-"&amp;LD_01[[#This Row],[TRECHO]],_xlfn.XLOOKUP(LD_01[[#This Row],[SIGLA]],'CLASSES DE PROJETOS'!$C$3:$C$37,'CLASSES DE PROJETOS'!$E$3:$E$37))</f>
        <v>MSV-163MS-626-628/31.SI</v>
      </c>
      <c r="I777" s="6" t="str" cm="1">
        <f t="array" ref="I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J777" s="6" t="str" cm="1">
        <f t="array" ref="J777">_xlfn.TEXTJOIN(", ",TRUE,_xlfn.UNIQUE(_xlfn._xlws.FILTER(ARQUIVOS_RECEBIDOS!$F$2:$F$5010,ARQUIVOS_RECEBIDOS!$E$2:$E$5010=LD_01[[#This Row],[DOCUMENTO]])))</f>
        <v>R03</v>
      </c>
      <c r="K777" s="12" cm="1">
        <f t="array" ref="K777">_xlfn.UNIQUE(_xlfn._xlws.FILTER(ARQUIVOS[DATA RECEBIMENTO],(ARQUIVOS[DOCUMENTO]=LD_01[[#This Row],[DOCUMENTO]])*(ARQUIVOS[REVISÃO]=LD_01[[#This Row],[REVISÃO]])))</f>
        <v>45838</v>
      </c>
      <c r="L7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M777" s="6" t="str">
        <f>LD_01[[#This Row],[PASTA]]&amp;"/"&amp;LD_01[[#This Row],[ARQUIVO]]</f>
        <v>MSV-163MS-626-628/31.SI/MSV-163MS-626-628-ACA-EXE-DE-J1-003-R03.pdf</v>
      </c>
    </row>
    <row r="778" spans="1:13" hidden="1" x14ac:dyDescent="0.3">
      <c r="A778" s="6" t="s">
        <v>3554</v>
      </c>
      <c r="B778" s="6" t="str">
        <f>VLOOKUP(LD_01[[#This Row],[DOCUMENTO]],_xlfn.SORTBY(ARQUIVOS_RECEBIDOS!$E$2:$F$5010,ARQUIVOS_RECEBIDOS!$F$2:$F$5010,-1),2,)</f>
        <v>R01</v>
      </c>
      <c r="C778" s="15" t="s">
        <v>5987</v>
      </c>
      <c r="D778" s="6" t="s">
        <v>4318</v>
      </c>
      <c r="E778" s="8" t="s">
        <v>4084</v>
      </c>
      <c r="F778" s="8" t="s">
        <v>4331</v>
      </c>
      <c r="G778" s="6" t="str">
        <f>_xlfn.XLOOKUP(LD_01[[#This Row],[DISCIPLINA]],'CLASSES DE PROJETOS'!$F$3:$F$37,'CLASSES DE PROJETOS'!$C$3:$C$37)</f>
        <v>SI</v>
      </c>
      <c r="H778" t="str">
        <f>_xlfn.TEXTJOIN("/",TRUE,"MSV-163MS-"&amp;LD_01[[#This Row],[TRECHO]],_xlfn.XLOOKUP(LD_01[[#This Row],[SIGLA]],'CLASSES DE PROJETOS'!$C$3:$C$37,'CLASSES DE PROJETOS'!$E$3:$E$37))</f>
        <v>MSV-163MS-626-628/31.SI</v>
      </c>
      <c r="I778" s="6" t="str" cm="1">
        <f t="array" ref="I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J778" s="6" t="str" cm="1">
        <f t="array" ref="J778">_xlfn.TEXTJOIN(", ",TRUE,_xlfn.UNIQUE(_xlfn._xlws.FILTER(ARQUIVOS_RECEBIDOS!$F$2:$F$5010,ARQUIVOS_RECEBIDOS!$E$2:$E$5010=LD_01[[#This Row],[DOCUMENTO]])))</f>
        <v>R01</v>
      </c>
      <c r="K778" s="12" cm="1">
        <f t="array" ref="K778">_xlfn.UNIQUE(_xlfn._xlws.FILTER(ARQUIVOS[DATA RECEBIMENTO],(ARQUIVOS[DOCUMENTO]=LD_01[[#This Row],[DOCUMENTO]])*(ARQUIVOS[REVISÃO]=LD_01[[#This Row],[REVISÃO]])))</f>
        <v>45838</v>
      </c>
      <c r="L7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M778" s="6" t="str">
        <f>LD_01[[#This Row],[PASTA]]&amp;"/"&amp;LD_01[[#This Row],[ARQUIVO]]</f>
        <v>MSV-163MS-626-628/31.SI/MSV-163MS-626-628-ACA-EXE-DE-J1-004-R01.pdf</v>
      </c>
    </row>
    <row r="779" spans="1:13" hidden="1" x14ac:dyDescent="0.3">
      <c r="A779" s="6" t="s">
        <v>3555</v>
      </c>
      <c r="B779" s="6" t="str">
        <f>VLOOKUP(LD_01[[#This Row],[DOCUMENTO]],_xlfn.SORTBY(ARQUIVOS_RECEBIDOS!$E$2:$F$5010,ARQUIVOS_RECEBIDOS!$F$2:$F$5010,-1),2,)</f>
        <v>R01</v>
      </c>
      <c r="C779" s="15" t="s">
        <v>5987</v>
      </c>
      <c r="D779" s="6" t="s">
        <v>4318</v>
      </c>
      <c r="E779" s="8" t="s">
        <v>4085</v>
      </c>
      <c r="F779" s="8" t="s">
        <v>4331</v>
      </c>
      <c r="G779" s="6" t="str">
        <f>_xlfn.XLOOKUP(LD_01[[#This Row],[DISCIPLINA]],'CLASSES DE PROJETOS'!$F$3:$F$37,'CLASSES DE PROJETOS'!$C$3:$C$37)</f>
        <v>SI</v>
      </c>
      <c r="H779" t="str">
        <f>_xlfn.TEXTJOIN("/",TRUE,"MSV-163MS-"&amp;LD_01[[#This Row],[TRECHO]],_xlfn.XLOOKUP(LD_01[[#This Row],[SIGLA]],'CLASSES DE PROJETOS'!$C$3:$C$37,'CLASSES DE PROJETOS'!$E$3:$E$37))</f>
        <v>MSV-163MS-626-628/31.SI</v>
      </c>
      <c r="I779" s="6" t="str" cm="1">
        <f t="array" ref="I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J779" s="6" t="str" cm="1">
        <f t="array" ref="J779">_xlfn.TEXTJOIN(", ",TRUE,_xlfn.UNIQUE(_xlfn._xlws.FILTER(ARQUIVOS_RECEBIDOS!$F$2:$F$5010,ARQUIVOS_RECEBIDOS!$E$2:$E$5010=LD_01[[#This Row],[DOCUMENTO]])))</f>
        <v>R01</v>
      </c>
      <c r="K779" s="12" cm="1">
        <f t="array" ref="K779">_xlfn.UNIQUE(_xlfn._xlws.FILTER(ARQUIVOS[DATA RECEBIMENTO],(ARQUIVOS[DOCUMENTO]=LD_01[[#This Row],[DOCUMENTO]])*(ARQUIVOS[REVISÃO]=LD_01[[#This Row],[REVISÃO]])))</f>
        <v>45838</v>
      </c>
      <c r="L7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M779" s="6" t="str">
        <f>LD_01[[#This Row],[PASTA]]&amp;"/"&amp;LD_01[[#This Row],[ARQUIVO]]</f>
        <v>MSV-163MS-626-628/31.SI/MSV-163MS-626-628-ACA-EXE-DE-J1-005-R01.pdf</v>
      </c>
    </row>
    <row r="780" spans="1:13" hidden="1" x14ac:dyDescent="0.3">
      <c r="A780" s="6" t="s">
        <v>3556</v>
      </c>
      <c r="B780" s="6" t="str">
        <f>VLOOKUP(LD_01[[#This Row],[DOCUMENTO]],_xlfn.SORTBY(ARQUIVOS_RECEBIDOS!$E$2:$F$5010,ARQUIVOS_RECEBIDOS!$F$2:$F$5010,-1),2,)</f>
        <v>R00</v>
      </c>
      <c r="C780" s="15" t="s">
        <v>5987</v>
      </c>
      <c r="D780" s="6" t="s">
        <v>4318</v>
      </c>
      <c r="E780" s="8" t="s">
        <v>4086</v>
      </c>
      <c r="F780" s="8" t="s">
        <v>4331</v>
      </c>
      <c r="G780" s="6" t="str">
        <f>_xlfn.XLOOKUP(LD_01[[#This Row],[DISCIPLINA]],'CLASSES DE PROJETOS'!$F$3:$F$37,'CLASSES DE PROJETOS'!$C$3:$C$37)</f>
        <v>SI</v>
      </c>
      <c r="H780" t="str">
        <f>_xlfn.TEXTJOIN("/",TRUE,"MSV-163MS-"&amp;LD_01[[#This Row],[TRECHO]],_xlfn.XLOOKUP(LD_01[[#This Row],[SIGLA]],'CLASSES DE PROJETOS'!$C$3:$C$37,'CLASSES DE PROJETOS'!$E$3:$E$37))</f>
        <v>MSV-163MS-626-628/31.SI</v>
      </c>
      <c r="I780" s="6" t="str" cm="1">
        <f t="array" ref="I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J780" s="6" t="str" cm="1">
        <f t="array" ref="J780">_xlfn.TEXTJOIN(", ",TRUE,_xlfn.UNIQUE(_xlfn._xlws.FILTER(ARQUIVOS_RECEBIDOS!$F$2:$F$5010,ARQUIVOS_RECEBIDOS!$E$2:$E$5010=LD_01[[#This Row],[DOCUMENTO]])))</f>
        <v>R00</v>
      </c>
      <c r="K780" s="12" cm="1">
        <f t="array" ref="K780">_xlfn.UNIQUE(_xlfn._xlws.FILTER(ARQUIVOS[DATA RECEBIMENTO],(ARQUIVOS[DOCUMENTO]=LD_01[[#This Row],[DOCUMENTO]])*(ARQUIVOS[REVISÃO]=LD_01[[#This Row],[REVISÃO]])))</f>
        <v>45838</v>
      </c>
      <c r="L7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M780" s="6" t="str">
        <f>LD_01[[#This Row],[PASTA]]&amp;"/"&amp;LD_01[[#This Row],[ARQUIVO]]</f>
        <v>MSV-163MS-626-628/31.SI/MSV-163MS-626-628-ACA-EXE-DE-J1-006-R00.pdf</v>
      </c>
    </row>
    <row r="781" spans="1:13" ht="43.2" hidden="1" x14ac:dyDescent="0.3">
      <c r="A781" s="6" t="s">
        <v>3567</v>
      </c>
      <c r="B781" s="6" t="str">
        <f>VLOOKUP(LD_01[[#This Row],[DOCUMENTO]],_xlfn.SORTBY(ARQUIVOS_RECEBIDOS!$E$2:$F$5010,ARQUIVOS_RECEBIDOS!$F$2:$F$5010,-1),2,)</f>
        <v>R02</v>
      </c>
      <c r="C781" s="15" t="s">
        <v>5987</v>
      </c>
      <c r="D781" s="6" t="s">
        <v>4318</v>
      </c>
      <c r="E781" s="8" t="s">
        <v>4993</v>
      </c>
      <c r="F781" s="8" t="s">
        <v>4337</v>
      </c>
      <c r="G781" s="6" t="str">
        <f>_xlfn.XLOOKUP(LD_01[[#This Row],[DISCIPLINA]],'CLASSES DE PROJETOS'!$F$3:$F$37,'CLASSES DE PROJETOS'!$C$3:$C$37)</f>
        <v>EL</v>
      </c>
      <c r="H781" t="str">
        <f>_xlfn.TEXTJOIN("/",TRUE,"MSV-163MS-"&amp;LD_01[[#This Row],[TRECHO]],_xlfn.XLOOKUP(LD_01[[#This Row],[SIGLA]],'CLASSES DE PROJETOS'!$C$3:$C$37,'CLASSES DE PROJETOS'!$E$3:$E$37))</f>
        <v>MSV-163MS-626-628/14.EL</v>
      </c>
      <c r="I781" s="6" t="str" cm="1">
        <f t="array" ref="I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J781" s="6" t="str" cm="1">
        <f t="array" ref="J781">_xlfn.TEXTJOIN(", ",TRUE,_xlfn.UNIQUE(_xlfn._xlws.FILTER(ARQUIVOS_RECEBIDOS!$F$2:$F$5010,ARQUIVOS_RECEBIDOS!$E$2:$E$5010=LD_01[[#This Row],[DOCUMENTO]])))</f>
        <v>R02</v>
      </c>
      <c r="K781" s="12" cm="1">
        <f t="array" ref="K781">_xlfn.UNIQUE(_xlfn._xlws.FILTER(ARQUIVOS[DATA RECEBIMENTO],(ARQUIVOS[DOCUMENTO]=LD_01[[#This Row],[DOCUMENTO]])*(ARQUIVOS[REVISÃO]=LD_01[[#This Row],[REVISÃO]])))</f>
        <v>45838</v>
      </c>
      <c r="L7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M781" s="6" t="str">
        <f>LD_01[[#This Row],[PASTA]]&amp;"/"&amp;LD_01[[#This Row],[ARQUIVO]]</f>
        <v>MSV-163MS-626-628/14.EL/MSV-163MS-626-628-ACA-EXE-DE-K2-001-R02.pdf</v>
      </c>
    </row>
    <row r="782" spans="1:13" ht="43.2" hidden="1" x14ac:dyDescent="0.3">
      <c r="A782" s="6" t="s">
        <v>3568</v>
      </c>
      <c r="B782" s="6" t="str">
        <f>VLOOKUP(LD_01[[#This Row],[DOCUMENTO]],_xlfn.SORTBY(ARQUIVOS_RECEBIDOS!$E$2:$F$5010,ARQUIVOS_RECEBIDOS!$F$2:$F$5010,-1),2,)</f>
        <v>R03</v>
      </c>
      <c r="C782" s="15" t="s">
        <v>5987</v>
      </c>
      <c r="D782" s="6" t="s">
        <v>4318</v>
      </c>
      <c r="E782" s="8" t="s">
        <v>4994</v>
      </c>
      <c r="F782" s="8" t="s">
        <v>4337</v>
      </c>
      <c r="G782" s="6" t="str">
        <f>_xlfn.XLOOKUP(LD_01[[#This Row],[DISCIPLINA]],'CLASSES DE PROJETOS'!$F$3:$F$37,'CLASSES DE PROJETOS'!$C$3:$C$37)</f>
        <v>EL</v>
      </c>
      <c r="H782" t="str">
        <f>_xlfn.TEXTJOIN("/",TRUE,"MSV-163MS-"&amp;LD_01[[#This Row],[TRECHO]],_xlfn.XLOOKUP(LD_01[[#This Row],[SIGLA]],'CLASSES DE PROJETOS'!$C$3:$C$37,'CLASSES DE PROJETOS'!$E$3:$E$37))</f>
        <v>MSV-163MS-626-628/14.EL</v>
      </c>
      <c r="I782" s="6" t="str" cm="1">
        <f t="array" ref="I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J782" s="6" t="str" cm="1">
        <f t="array" ref="J782">_xlfn.TEXTJOIN(", ",TRUE,_xlfn.UNIQUE(_xlfn._xlws.FILTER(ARQUIVOS_RECEBIDOS!$F$2:$F$5010,ARQUIVOS_RECEBIDOS!$E$2:$E$5010=LD_01[[#This Row],[DOCUMENTO]])))</f>
        <v>R02, R03</v>
      </c>
      <c r="K782" s="12" cm="1">
        <f t="array" ref="K782">_xlfn.UNIQUE(_xlfn._xlws.FILTER(ARQUIVOS[DATA RECEBIMENTO],(ARQUIVOS[DOCUMENTO]=LD_01[[#This Row],[DOCUMENTO]])*(ARQUIVOS[REVISÃO]=LD_01[[#This Row],[REVISÃO]])))</f>
        <v>45895</v>
      </c>
      <c r="L7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M782" s="6" t="str">
        <f>LD_01[[#This Row],[PASTA]]&amp;"/"&amp;LD_01[[#This Row],[ARQUIVO]]</f>
        <v>MSV-163MS-626-628/14.EL/MSV-163MS-626-628-ACA-EXE-DE-K2-002-R03.pdf</v>
      </c>
    </row>
    <row r="783" spans="1:13" ht="43.2" hidden="1" x14ac:dyDescent="0.3">
      <c r="A783" s="6" t="s">
        <v>3569</v>
      </c>
      <c r="B783" s="6" t="str">
        <f>VLOOKUP(LD_01[[#This Row],[DOCUMENTO]],_xlfn.SORTBY(ARQUIVOS_RECEBIDOS!$E$2:$F$5010,ARQUIVOS_RECEBIDOS!$F$2:$F$5010,-1),2,)</f>
        <v>R05</v>
      </c>
      <c r="C783" s="15" t="s">
        <v>5987</v>
      </c>
      <c r="D783" s="6" t="s">
        <v>4318</v>
      </c>
      <c r="E783" s="8" t="s">
        <v>4995</v>
      </c>
      <c r="F783" s="8" t="s">
        <v>4337</v>
      </c>
      <c r="G783" s="6" t="str">
        <f>_xlfn.XLOOKUP(LD_01[[#This Row],[DISCIPLINA]],'CLASSES DE PROJETOS'!$F$3:$F$37,'CLASSES DE PROJETOS'!$C$3:$C$37)</f>
        <v>EL</v>
      </c>
      <c r="H783" t="str">
        <f>_xlfn.TEXTJOIN("/",TRUE,"MSV-163MS-"&amp;LD_01[[#This Row],[TRECHO]],_xlfn.XLOOKUP(LD_01[[#This Row],[SIGLA]],'CLASSES DE PROJETOS'!$C$3:$C$37,'CLASSES DE PROJETOS'!$E$3:$E$37))</f>
        <v>MSV-163MS-626-628/14.EL</v>
      </c>
      <c r="I783" s="6" t="str" cm="1">
        <f t="array" ref="I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J783" s="6" t="str" cm="1">
        <f t="array" ref="J783">_xlfn.TEXTJOIN(", ",TRUE,_xlfn.UNIQUE(_xlfn._xlws.FILTER(ARQUIVOS_RECEBIDOS!$F$2:$F$5010,ARQUIVOS_RECEBIDOS!$E$2:$E$5010=LD_01[[#This Row],[DOCUMENTO]])))</f>
        <v>R04, R05</v>
      </c>
      <c r="K783" s="12" cm="1">
        <f t="array" ref="K783">_xlfn.UNIQUE(_xlfn._xlws.FILTER(ARQUIVOS[DATA RECEBIMENTO],(ARQUIVOS[DOCUMENTO]=LD_01[[#This Row],[DOCUMENTO]])*(ARQUIVOS[REVISÃO]=LD_01[[#This Row],[REVISÃO]])))</f>
        <v>45946</v>
      </c>
      <c r="L7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M783" s="6" t="str">
        <f>LD_01[[#This Row],[PASTA]]&amp;"/"&amp;LD_01[[#This Row],[ARQUIVO]]</f>
        <v>MSV-163MS-626-628/14.EL/MSV-163MS-626-628-ACA-EXE-DE-K2-003-R05.pdf</v>
      </c>
    </row>
    <row r="784" spans="1:13" ht="43.2" hidden="1" x14ac:dyDescent="0.3">
      <c r="A784" s="6" t="s">
        <v>3570</v>
      </c>
      <c r="B784" s="6" t="str">
        <f>VLOOKUP(LD_01[[#This Row],[DOCUMENTO]],_xlfn.SORTBY(ARQUIVOS_RECEBIDOS!$E$2:$F$5010,ARQUIVOS_RECEBIDOS!$F$2:$F$5010,-1),2,)</f>
        <v>R05</v>
      </c>
      <c r="C784" s="15" t="s">
        <v>5987</v>
      </c>
      <c r="D784" s="6" t="s">
        <v>4318</v>
      </c>
      <c r="E784" s="8" t="s">
        <v>4995</v>
      </c>
      <c r="F784" s="8" t="s">
        <v>4337</v>
      </c>
      <c r="G784" s="6" t="str">
        <f>_xlfn.XLOOKUP(LD_01[[#This Row],[DISCIPLINA]],'CLASSES DE PROJETOS'!$F$3:$F$37,'CLASSES DE PROJETOS'!$C$3:$C$37)</f>
        <v>EL</v>
      </c>
      <c r="H784" t="str">
        <f>_xlfn.TEXTJOIN("/",TRUE,"MSV-163MS-"&amp;LD_01[[#This Row],[TRECHO]],_xlfn.XLOOKUP(LD_01[[#This Row],[SIGLA]],'CLASSES DE PROJETOS'!$C$3:$C$37,'CLASSES DE PROJETOS'!$E$3:$E$37))</f>
        <v>MSV-163MS-626-628/14.EL</v>
      </c>
      <c r="I784" s="6" t="str" cm="1">
        <f t="array" ref="I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J784" s="6" t="str" cm="1">
        <f t="array" ref="J784">_xlfn.TEXTJOIN(", ",TRUE,_xlfn.UNIQUE(_xlfn._xlws.FILTER(ARQUIVOS_RECEBIDOS!$F$2:$F$5010,ARQUIVOS_RECEBIDOS!$E$2:$E$5010=LD_01[[#This Row],[DOCUMENTO]])))</f>
        <v>R04, R05</v>
      </c>
      <c r="K784" s="12" cm="1">
        <f t="array" ref="K784">_xlfn.UNIQUE(_xlfn._xlws.FILTER(ARQUIVOS[DATA RECEBIMENTO],(ARQUIVOS[DOCUMENTO]=LD_01[[#This Row],[DOCUMENTO]])*(ARQUIVOS[REVISÃO]=LD_01[[#This Row],[REVISÃO]])))</f>
        <v>45946</v>
      </c>
      <c r="L7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M784" s="6" t="str">
        <f>LD_01[[#This Row],[PASTA]]&amp;"/"&amp;LD_01[[#This Row],[ARQUIVO]]</f>
        <v>MSV-163MS-626-628/14.EL/MSV-163MS-626-628-ACA-EXE-DE-K2-004-R05.pdf</v>
      </c>
    </row>
    <row r="785" spans="1:13" ht="43.2" hidden="1" x14ac:dyDescent="0.3">
      <c r="A785" s="6" t="s">
        <v>3571</v>
      </c>
      <c r="B785" s="6" t="str">
        <f>VLOOKUP(LD_01[[#This Row],[DOCUMENTO]],_xlfn.SORTBY(ARQUIVOS_RECEBIDOS!$E$2:$F$5010,ARQUIVOS_RECEBIDOS!$F$2:$F$5010,-1),2,)</f>
        <v>R03</v>
      </c>
      <c r="C785" s="15" t="s">
        <v>5987</v>
      </c>
      <c r="D785" s="6" t="s">
        <v>4318</v>
      </c>
      <c r="E785" s="8" t="s">
        <v>4995</v>
      </c>
      <c r="F785" s="8" t="s">
        <v>4337</v>
      </c>
      <c r="G785" s="6" t="str">
        <f>_xlfn.XLOOKUP(LD_01[[#This Row],[DISCIPLINA]],'CLASSES DE PROJETOS'!$F$3:$F$37,'CLASSES DE PROJETOS'!$C$3:$C$37)</f>
        <v>EL</v>
      </c>
      <c r="H785" t="str">
        <f>_xlfn.TEXTJOIN("/",TRUE,"MSV-163MS-"&amp;LD_01[[#This Row],[TRECHO]],_xlfn.XLOOKUP(LD_01[[#This Row],[SIGLA]],'CLASSES DE PROJETOS'!$C$3:$C$37,'CLASSES DE PROJETOS'!$E$3:$E$37))</f>
        <v>MSV-163MS-626-628/14.EL</v>
      </c>
      <c r="I785" s="6" t="str" cm="1">
        <f t="array" ref="I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J785" s="6" t="str" cm="1">
        <f t="array" ref="J785">_xlfn.TEXTJOIN(", ",TRUE,_xlfn.UNIQUE(_xlfn._xlws.FILTER(ARQUIVOS_RECEBIDOS!$F$2:$F$5010,ARQUIVOS_RECEBIDOS!$E$2:$E$5010=LD_01[[#This Row],[DOCUMENTO]])))</f>
        <v>R02, R03</v>
      </c>
      <c r="K785" s="12" cm="1">
        <f t="array" ref="K785">_xlfn.UNIQUE(_xlfn._xlws.FILTER(ARQUIVOS[DATA RECEBIMENTO],(ARQUIVOS[DOCUMENTO]=LD_01[[#This Row],[DOCUMENTO]])*(ARQUIVOS[REVISÃO]=LD_01[[#This Row],[REVISÃO]])))</f>
        <v>45895</v>
      </c>
      <c r="L7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M785" s="6" t="str">
        <f>LD_01[[#This Row],[PASTA]]&amp;"/"&amp;LD_01[[#This Row],[ARQUIVO]]</f>
        <v>MSV-163MS-626-628/14.EL/MSV-163MS-626-628-ACA-EXE-DE-K2-005-R03.pdf</v>
      </c>
    </row>
    <row r="786" spans="1:13" ht="43.2" hidden="1" x14ac:dyDescent="0.3">
      <c r="A786" s="6" t="s">
        <v>3585</v>
      </c>
      <c r="B786" s="6" t="str">
        <f>VLOOKUP(LD_01[[#This Row],[DOCUMENTO]],_xlfn.SORTBY(ARQUIVOS_RECEBIDOS!$E$2:$F$5010,ARQUIVOS_RECEBIDOS!$F$2:$F$5010,-1),2,)</f>
        <v>R03</v>
      </c>
      <c r="C786" s="15" t="s">
        <v>5987</v>
      </c>
      <c r="D786" s="6" t="s">
        <v>4318</v>
      </c>
      <c r="E786" s="8" t="s">
        <v>4258</v>
      </c>
      <c r="F786" s="8" t="s">
        <v>4333</v>
      </c>
      <c r="G786" s="6" t="str">
        <f>_xlfn.XLOOKUP(LD_01[[#This Row],[DISCIPLINA]],'CLASSES DE PROJETOS'!$F$3:$F$37,'CLASSES DE PROJETOS'!$C$3:$C$37)</f>
        <v>IN</v>
      </c>
      <c r="H786" t="str">
        <f>_xlfn.TEXTJOIN("/",TRUE,"MSV-163MS-"&amp;LD_01[[#This Row],[TRECHO]],_xlfn.XLOOKUP(LD_01[[#This Row],[SIGLA]],'CLASSES DE PROJETOS'!$C$3:$C$37,'CLASSES DE PROJETOS'!$E$3:$E$37))</f>
        <v>MSV-163MS-626-628/23.IN</v>
      </c>
      <c r="I786" s="6" t="str" cm="1">
        <f t="array" ref="I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J786" s="6" t="str" cm="1">
        <f t="array" ref="J786">_xlfn.TEXTJOIN(", ",TRUE,_xlfn.UNIQUE(_xlfn._xlws.FILTER(ARQUIVOS_RECEBIDOS!$F$2:$F$5010,ARQUIVOS_RECEBIDOS!$E$2:$E$5010=LD_01[[#This Row],[DOCUMENTO]])))</f>
        <v>R03</v>
      </c>
      <c r="K786" s="12" cm="1">
        <f t="array" ref="K786">_xlfn.UNIQUE(_xlfn._xlws.FILTER(ARQUIVOS[DATA RECEBIMENTO],(ARQUIVOS[DOCUMENTO]=LD_01[[#This Row],[DOCUMENTO]])*(ARQUIVOS[REVISÃO]=LD_01[[#This Row],[REVISÃO]])))</f>
        <v>45838</v>
      </c>
      <c r="L7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M786" s="6" t="str">
        <f>LD_01[[#This Row],[PASTA]]&amp;"/"&amp;LD_01[[#This Row],[ARQUIVO]]</f>
        <v>MSV-163MS-626-628/23.IN/MSV-163MS-626-628-ACA-EXE-DE-M1-001-R03.pdf</v>
      </c>
    </row>
    <row r="787" spans="1:13" ht="43.2" hidden="1" x14ac:dyDescent="0.3">
      <c r="A787" s="6" t="s">
        <v>3586</v>
      </c>
      <c r="B787" s="6" t="str">
        <f>VLOOKUP(LD_01[[#This Row],[DOCUMENTO]],_xlfn.SORTBY(ARQUIVOS_RECEBIDOS!$E$2:$F$5010,ARQUIVOS_RECEBIDOS!$F$2:$F$5010,-1),2,)</f>
        <v>R03</v>
      </c>
      <c r="C787" s="15" t="s">
        <v>5987</v>
      </c>
      <c r="D787" s="6" t="s">
        <v>4318</v>
      </c>
      <c r="E787" s="8" t="s">
        <v>4258</v>
      </c>
      <c r="F787" s="8" t="s">
        <v>4333</v>
      </c>
      <c r="G787" s="6" t="str">
        <f>_xlfn.XLOOKUP(LD_01[[#This Row],[DISCIPLINA]],'CLASSES DE PROJETOS'!$F$3:$F$37,'CLASSES DE PROJETOS'!$C$3:$C$37)</f>
        <v>IN</v>
      </c>
      <c r="H787" t="str">
        <f>_xlfn.TEXTJOIN("/",TRUE,"MSV-163MS-"&amp;LD_01[[#This Row],[TRECHO]],_xlfn.XLOOKUP(LD_01[[#This Row],[SIGLA]],'CLASSES DE PROJETOS'!$C$3:$C$37,'CLASSES DE PROJETOS'!$E$3:$E$37))</f>
        <v>MSV-163MS-626-628/23.IN</v>
      </c>
      <c r="I787" s="6" t="str" cm="1">
        <f t="array" ref="I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J787" s="6" t="str" cm="1">
        <f t="array" ref="J787">_xlfn.TEXTJOIN(", ",TRUE,_xlfn.UNIQUE(_xlfn._xlws.FILTER(ARQUIVOS_RECEBIDOS!$F$2:$F$5010,ARQUIVOS_RECEBIDOS!$E$2:$E$5010=LD_01[[#This Row],[DOCUMENTO]])))</f>
        <v>R03</v>
      </c>
      <c r="K787" s="12" cm="1">
        <f t="array" ref="K787">_xlfn.UNIQUE(_xlfn._xlws.FILTER(ARQUIVOS[DATA RECEBIMENTO],(ARQUIVOS[DOCUMENTO]=LD_01[[#This Row],[DOCUMENTO]])*(ARQUIVOS[REVISÃO]=LD_01[[#This Row],[REVISÃO]])))</f>
        <v>45838</v>
      </c>
      <c r="L7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M787" s="6" t="str">
        <f>LD_01[[#This Row],[PASTA]]&amp;"/"&amp;LD_01[[#This Row],[ARQUIVO]]</f>
        <v>MSV-163MS-626-628/23.IN/MSV-163MS-626-628-ACA-EXE-DE-M1-002-R03.pdf</v>
      </c>
    </row>
    <row r="788" spans="1:13" ht="43.2" hidden="1" x14ac:dyDescent="0.3">
      <c r="A788" s="6" t="s">
        <v>3587</v>
      </c>
      <c r="B788" s="6" t="str">
        <f>VLOOKUP(LD_01[[#This Row],[DOCUMENTO]],_xlfn.SORTBY(ARQUIVOS_RECEBIDOS!$E$2:$F$5010,ARQUIVOS_RECEBIDOS!$F$2:$F$5010,-1),2,)</f>
        <v>R03</v>
      </c>
      <c r="C788" s="15" t="s">
        <v>5987</v>
      </c>
      <c r="D788" s="6" t="s">
        <v>4318</v>
      </c>
      <c r="E788" s="8" t="s">
        <v>4258</v>
      </c>
      <c r="F788" s="8" t="s">
        <v>4333</v>
      </c>
      <c r="G788" s="6" t="str">
        <f>_xlfn.XLOOKUP(LD_01[[#This Row],[DISCIPLINA]],'CLASSES DE PROJETOS'!$F$3:$F$37,'CLASSES DE PROJETOS'!$C$3:$C$37)</f>
        <v>IN</v>
      </c>
      <c r="H788" t="str">
        <f>_xlfn.TEXTJOIN("/",TRUE,"MSV-163MS-"&amp;LD_01[[#This Row],[TRECHO]],_xlfn.XLOOKUP(LD_01[[#This Row],[SIGLA]],'CLASSES DE PROJETOS'!$C$3:$C$37,'CLASSES DE PROJETOS'!$E$3:$E$37))</f>
        <v>MSV-163MS-626-628/23.IN</v>
      </c>
      <c r="I788" s="6" t="str" cm="1">
        <f t="array" ref="I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J788" s="6" t="str" cm="1">
        <f t="array" ref="J788">_xlfn.TEXTJOIN(", ",TRUE,_xlfn.UNIQUE(_xlfn._xlws.FILTER(ARQUIVOS_RECEBIDOS!$F$2:$F$5010,ARQUIVOS_RECEBIDOS!$E$2:$E$5010=LD_01[[#This Row],[DOCUMENTO]])))</f>
        <v>R03</v>
      </c>
      <c r="K788" s="12" cm="1">
        <f t="array" ref="K788">_xlfn.UNIQUE(_xlfn._xlws.FILTER(ARQUIVOS[DATA RECEBIMENTO],(ARQUIVOS[DOCUMENTO]=LD_01[[#This Row],[DOCUMENTO]])*(ARQUIVOS[REVISÃO]=LD_01[[#This Row],[REVISÃO]])))</f>
        <v>45838</v>
      </c>
      <c r="L7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M788" s="6" t="str">
        <f>LD_01[[#This Row],[PASTA]]&amp;"/"&amp;LD_01[[#This Row],[ARQUIVO]]</f>
        <v>MSV-163MS-626-628/23.IN/MSV-163MS-626-628-ACA-EXE-DE-M1-003-R03.pdf</v>
      </c>
    </row>
    <row r="789" spans="1:13" hidden="1" x14ac:dyDescent="0.3">
      <c r="A789" s="6" t="s">
        <v>3597</v>
      </c>
      <c r="B789" s="6" t="str">
        <f>VLOOKUP(LD_01[[#This Row],[DOCUMENTO]],_xlfn.SORTBY(ARQUIVOS_RECEBIDOS!$E$2:$F$5010,ARQUIVOS_RECEBIDOS!$F$2:$F$5010,-1),2,)</f>
        <v>R03</v>
      </c>
      <c r="C789" s="15" t="s">
        <v>5987</v>
      </c>
      <c r="D789" s="6" t="s">
        <v>4318</v>
      </c>
      <c r="E789" s="8" t="s">
        <v>4087</v>
      </c>
      <c r="F789" s="8" t="s">
        <v>4334</v>
      </c>
      <c r="G789" s="6" t="str">
        <f>_xlfn.XLOOKUP(LD_01[[#This Row],[DISCIPLINA]],'CLASSES DE PROJETOS'!$F$3:$F$37,'CLASSES DE PROJETOS'!$C$3:$C$37)</f>
        <v>PA</v>
      </c>
      <c r="H789" t="str">
        <f>_xlfn.TEXTJOIN("/",TRUE,"MSV-163MS-"&amp;LD_01[[#This Row],[TRECHO]],_xlfn.XLOOKUP(LD_01[[#This Row],[SIGLA]],'CLASSES DE PROJETOS'!$C$3:$C$37,'CLASSES DE PROJETOS'!$E$3:$E$37))</f>
        <v>MSV-163MS-626-628/27.PA</v>
      </c>
      <c r="I789" s="6" t="str" cm="1">
        <f t="array" ref="I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J789" s="6" t="str" cm="1">
        <f t="array" ref="J789">_xlfn.TEXTJOIN(", ",TRUE,_xlfn.UNIQUE(_xlfn._xlws.FILTER(ARQUIVOS_RECEBIDOS!$F$2:$F$5010,ARQUIVOS_RECEBIDOS!$E$2:$E$5010=LD_01[[#This Row],[DOCUMENTO]])))</f>
        <v>R03</v>
      </c>
      <c r="K789" s="12" cm="1">
        <f t="array" ref="K789">_xlfn.UNIQUE(_xlfn._xlws.FILTER(ARQUIVOS[DATA RECEBIMENTO],(ARQUIVOS[DOCUMENTO]=LD_01[[#This Row],[DOCUMENTO]])*(ARQUIVOS[REVISÃO]=LD_01[[#This Row],[REVISÃO]])))</f>
        <v>45838</v>
      </c>
      <c r="L7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M789" s="6" t="str">
        <f>LD_01[[#This Row],[PASTA]]&amp;"/"&amp;LD_01[[#This Row],[ARQUIVO]]</f>
        <v>MSV-163MS-626-628/27.PA/MSV-163MS-626-628-ACA-EXE-DE-N2-001-R03.pdf</v>
      </c>
    </row>
    <row r="790" spans="1:13" hidden="1" x14ac:dyDescent="0.3">
      <c r="A790" s="6" t="s">
        <v>3598</v>
      </c>
      <c r="B790" s="6" t="str">
        <f>VLOOKUP(LD_01[[#This Row],[DOCUMENTO]],_xlfn.SORTBY(ARQUIVOS_RECEBIDOS!$E$2:$F$5010,ARQUIVOS_RECEBIDOS!$F$2:$F$5010,-1),2,)</f>
        <v>R03</v>
      </c>
      <c r="C790" s="15" t="s">
        <v>5987</v>
      </c>
      <c r="D790" s="6" t="s">
        <v>4318</v>
      </c>
      <c r="E790" s="8" t="s">
        <v>4087</v>
      </c>
      <c r="F790" s="8" t="s">
        <v>4334</v>
      </c>
      <c r="G790" s="6" t="str">
        <f>_xlfn.XLOOKUP(LD_01[[#This Row],[DISCIPLINA]],'CLASSES DE PROJETOS'!$F$3:$F$37,'CLASSES DE PROJETOS'!$C$3:$C$37)</f>
        <v>PA</v>
      </c>
      <c r="H790" t="str">
        <f>_xlfn.TEXTJOIN("/",TRUE,"MSV-163MS-"&amp;LD_01[[#This Row],[TRECHO]],_xlfn.XLOOKUP(LD_01[[#This Row],[SIGLA]],'CLASSES DE PROJETOS'!$C$3:$C$37,'CLASSES DE PROJETOS'!$E$3:$E$37))</f>
        <v>MSV-163MS-626-628/27.PA</v>
      </c>
      <c r="I790" s="6" t="str" cm="1">
        <f t="array" ref="I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J790" s="6" t="str" cm="1">
        <f t="array" ref="J790">_xlfn.TEXTJOIN(", ",TRUE,_xlfn.UNIQUE(_xlfn._xlws.FILTER(ARQUIVOS_RECEBIDOS!$F$2:$F$5010,ARQUIVOS_RECEBIDOS!$E$2:$E$5010=LD_01[[#This Row],[DOCUMENTO]])))</f>
        <v>R03</v>
      </c>
      <c r="K790" s="12" cm="1">
        <f t="array" ref="K790">_xlfn.UNIQUE(_xlfn._xlws.FILTER(ARQUIVOS[DATA RECEBIMENTO],(ARQUIVOS[DOCUMENTO]=LD_01[[#This Row],[DOCUMENTO]])*(ARQUIVOS[REVISÃO]=LD_01[[#This Row],[REVISÃO]])))</f>
        <v>45838</v>
      </c>
      <c r="L7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M790" s="6" t="str">
        <f>LD_01[[#This Row],[PASTA]]&amp;"/"&amp;LD_01[[#This Row],[ARQUIVO]]</f>
        <v>MSV-163MS-626-628/27.PA/MSV-163MS-626-628-ACA-EXE-DE-N2-002-R03.pdf</v>
      </c>
    </row>
    <row r="791" spans="1:13" hidden="1" x14ac:dyDescent="0.3">
      <c r="A791" s="6" t="s">
        <v>3599</v>
      </c>
      <c r="B791" s="6" t="str">
        <f>VLOOKUP(LD_01[[#This Row],[DOCUMENTO]],_xlfn.SORTBY(ARQUIVOS_RECEBIDOS!$E$2:$F$5010,ARQUIVOS_RECEBIDOS!$F$2:$F$5010,-1),2,)</f>
        <v>R04</v>
      </c>
      <c r="C791" s="15" t="s">
        <v>5987</v>
      </c>
      <c r="D791" s="6" t="s">
        <v>4318</v>
      </c>
      <c r="E791" s="8" t="s">
        <v>4087</v>
      </c>
      <c r="F791" s="8" t="s">
        <v>4334</v>
      </c>
      <c r="G791" s="6" t="str">
        <f>_xlfn.XLOOKUP(LD_01[[#This Row],[DISCIPLINA]],'CLASSES DE PROJETOS'!$F$3:$F$37,'CLASSES DE PROJETOS'!$C$3:$C$37)</f>
        <v>PA</v>
      </c>
      <c r="H791" t="str">
        <f>_xlfn.TEXTJOIN("/",TRUE,"MSV-163MS-"&amp;LD_01[[#This Row],[TRECHO]],_xlfn.XLOOKUP(LD_01[[#This Row],[SIGLA]],'CLASSES DE PROJETOS'!$C$3:$C$37,'CLASSES DE PROJETOS'!$E$3:$E$37))</f>
        <v>MSV-163MS-626-628/27.PA</v>
      </c>
      <c r="I791" s="6" t="str" cm="1">
        <f t="array" ref="I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J791" s="6" t="str" cm="1">
        <f t="array" ref="J791">_xlfn.TEXTJOIN(", ",TRUE,_xlfn.UNIQUE(_xlfn._xlws.FILTER(ARQUIVOS_RECEBIDOS!$F$2:$F$5010,ARQUIVOS_RECEBIDOS!$E$2:$E$5010=LD_01[[#This Row],[DOCUMENTO]])))</f>
        <v>R04</v>
      </c>
      <c r="K791" s="12" cm="1">
        <f t="array" ref="K791">_xlfn.UNIQUE(_xlfn._xlws.FILTER(ARQUIVOS[DATA RECEBIMENTO],(ARQUIVOS[DOCUMENTO]=LD_01[[#This Row],[DOCUMENTO]])*(ARQUIVOS[REVISÃO]=LD_01[[#This Row],[REVISÃO]])))</f>
        <v>45838</v>
      </c>
      <c r="L7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M791" s="6" t="str">
        <f>LD_01[[#This Row],[PASTA]]&amp;"/"&amp;LD_01[[#This Row],[ARQUIVO]]</f>
        <v>MSV-163MS-626-628/27.PA/MSV-163MS-626-628-ACA-EXE-DE-N2-003-R04.pdf</v>
      </c>
    </row>
    <row r="792" spans="1:13" ht="28.8" hidden="1" x14ac:dyDescent="0.3">
      <c r="A792" s="6" t="s">
        <v>3589</v>
      </c>
      <c r="B792" s="6" t="str">
        <f>VLOOKUP(LD_01[[#This Row],[DOCUMENTO]],_xlfn.SORTBY(ARQUIVOS_RECEBIDOS!$E$2:$F$5010,ARQUIVOS_RECEBIDOS!$F$2:$F$5010,-1),2,)</f>
        <v>R02</v>
      </c>
      <c r="C792" s="15" t="s">
        <v>5987</v>
      </c>
      <c r="D792" s="6" t="s">
        <v>4318</v>
      </c>
      <c r="E792" s="8" t="s">
        <v>4094</v>
      </c>
      <c r="F792" s="8" t="s">
        <v>4144</v>
      </c>
      <c r="G792" s="6" t="str">
        <f>_xlfn.XLOOKUP(LD_01[[#This Row],[DISCIPLINA]],'CLASSES DE PROJETOS'!$F$3:$F$37,'CLASSES DE PROJETOS'!$C$3:$C$37)</f>
        <v>DV</v>
      </c>
      <c r="H792" t="str">
        <f>_xlfn.TEXTJOIN("/",TRUE,"MSV-163MS-"&amp;LD_01[[#This Row],[TRECHO]],_xlfn.XLOOKUP(LD_01[[#This Row],[SIGLA]],'CLASSES DE PROJETOS'!$C$3:$C$37,'CLASSES DE PROJETOS'!$E$3:$E$37))</f>
        <v>MSV-163MS-626-628/12.DV</v>
      </c>
      <c r="I792" s="6" t="str" cm="1">
        <f t="array" ref="I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J792" s="6" t="str" cm="1">
        <f t="array" ref="J792">_xlfn.TEXTJOIN(", ",TRUE,_xlfn.UNIQUE(_xlfn._xlws.FILTER(ARQUIVOS_RECEBIDOS!$F$2:$F$5010,ARQUIVOS_RECEBIDOS!$E$2:$E$5010=LD_01[[#This Row],[DOCUMENTO]])))</f>
        <v>R02</v>
      </c>
      <c r="K792" s="12" cm="1">
        <f t="array" ref="K792">_xlfn.UNIQUE(_xlfn._xlws.FILTER(ARQUIVOS[DATA RECEBIMENTO],(ARQUIVOS[DOCUMENTO]=LD_01[[#This Row],[DOCUMENTO]])*(ARQUIVOS[REVISÃO]=LD_01[[#This Row],[REVISÃO]])))</f>
        <v>45838</v>
      </c>
      <c r="L7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M792" s="6" t="str">
        <f>LD_01[[#This Row],[PASTA]]&amp;"/"&amp;LD_01[[#This Row],[ARQUIVO]]</f>
        <v>MSV-163MS-626-628/12.DV/MSV-163MS-626-628-ACA-EXE-DE-O2-001-R02.pdf</v>
      </c>
    </row>
    <row r="793" spans="1:13" ht="28.8" hidden="1" x14ac:dyDescent="0.3">
      <c r="A793" s="6" t="s">
        <v>3590</v>
      </c>
      <c r="B793" s="6" t="str">
        <f>VLOOKUP(LD_01[[#This Row],[DOCUMENTO]],_xlfn.SORTBY(ARQUIVOS_RECEBIDOS!$E$2:$F$5010,ARQUIVOS_RECEBIDOS!$F$2:$F$5010,-1),2,)</f>
        <v>R02</v>
      </c>
      <c r="C793" s="15" t="s">
        <v>5987</v>
      </c>
      <c r="D793" s="6" t="s">
        <v>4318</v>
      </c>
      <c r="E793" s="8" t="s">
        <v>4094</v>
      </c>
      <c r="F793" s="8" t="s">
        <v>4144</v>
      </c>
      <c r="G793" s="6" t="str">
        <f>_xlfn.XLOOKUP(LD_01[[#This Row],[DISCIPLINA]],'CLASSES DE PROJETOS'!$F$3:$F$37,'CLASSES DE PROJETOS'!$C$3:$C$37)</f>
        <v>DV</v>
      </c>
      <c r="H793" t="str">
        <f>_xlfn.TEXTJOIN("/",TRUE,"MSV-163MS-"&amp;LD_01[[#This Row],[TRECHO]],_xlfn.XLOOKUP(LD_01[[#This Row],[SIGLA]],'CLASSES DE PROJETOS'!$C$3:$C$37,'CLASSES DE PROJETOS'!$E$3:$E$37))</f>
        <v>MSV-163MS-626-628/12.DV</v>
      </c>
      <c r="I793" s="6" t="str" cm="1">
        <f t="array" ref="I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J793" s="6" t="str" cm="1">
        <f t="array" ref="J793">_xlfn.TEXTJOIN(", ",TRUE,_xlfn.UNIQUE(_xlfn._xlws.FILTER(ARQUIVOS_RECEBIDOS!$F$2:$F$5010,ARQUIVOS_RECEBIDOS!$E$2:$E$5010=LD_01[[#This Row],[DOCUMENTO]])))</f>
        <v>R02</v>
      </c>
      <c r="K793" s="12" cm="1">
        <f t="array" ref="K793">_xlfn.UNIQUE(_xlfn._xlws.FILTER(ARQUIVOS[DATA RECEBIMENTO],(ARQUIVOS[DOCUMENTO]=LD_01[[#This Row],[DOCUMENTO]])*(ARQUIVOS[REVISÃO]=LD_01[[#This Row],[REVISÃO]])))</f>
        <v>45838</v>
      </c>
      <c r="L7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M793" s="6" t="str">
        <f>LD_01[[#This Row],[PASTA]]&amp;"/"&amp;LD_01[[#This Row],[ARQUIVO]]</f>
        <v>MSV-163MS-626-628/12.DV/MSV-163MS-626-628-ACA-EXE-DE-O2-002-R02.pdf</v>
      </c>
    </row>
    <row r="794" spans="1:13" ht="28.8" hidden="1" x14ac:dyDescent="0.3">
      <c r="A794" s="6" t="s">
        <v>3591</v>
      </c>
      <c r="B794" s="6" t="str">
        <f>VLOOKUP(LD_01[[#This Row],[DOCUMENTO]],_xlfn.SORTBY(ARQUIVOS_RECEBIDOS!$E$2:$F$5010,ARQUIVOS_RECEBIDOS!$F$2:$F$5010,-1),2,)</f>
        <v>R01</v>
      </c>
      <c r="C794" s="15" t="s">
        <v>5987</v>
      </c>
      <c r="D794" s="6" t="s">
        <v>4318</v>
      </c>
      <c r="E794" s="8" t="s">
        <v>4094</v>
      </c>
      <c r="F794" s="8" t="s">
        <v>4144</v>
      </c>
      <c r="G794" s="6" t="str">
        <f>_xlfn.XLOOKUP(LD_01[[#This Row],[DISCIPLINA]],'CLASSES DE PROJETOS'!$F$3:$F$37,'CLASSES DE PROJETOS'!$C$3:$C$37)</f>
        <v>DV</v>
      </c>
      <c r="H794" t="str">
        <f>_xlfn.TEXTJOIN("/",TRUE,"MSV-163MS-"&amp;LD_01[[#This Row],[TRECHO]],_xlfn.XLOOKUP(LD_01[[#This Row],[SIGLA]],'CLASSES DE PROJETOS'!$C$3:$C$37,'CLASSES DE PROJETOS'!$E$3:$E$37))</f>
        <v>MSV-163MS-626-628/12.DV</v>
      </c>
      <c r="I794" s="6" t="str" cm="1">
        <f t="array" ref="I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J794" s="6" t="str" cm="1">
        <f t="array" ref="J794">_xlfn.TEXTJOIN(", ",TRUE,_xlfn.UNIQUE(_xlfn._xlws.FILTER(ARQUIVOS_RECEBIDOS!$F$2:$F$5010,ARQUIVOS_RECEBIDOS!$E$2:$E$5010=LD_01[[#This Row],[DOCUMENTO]])))</f>
        <v>R01</v>
      </c>
      <c r="K794" s="12" cm="1">
        <f t="array" ref="K794">_xlfn.UNIQUE(_xlfn._xlws.FILTER(ARQUIVOS[DATA RECEBIMENTO],(ARQUIVOS[DOCUMENTO]=LD_01[[#This Row],[DOCUMENTO]])*(ARQUIVOS[REVISÃO]=LD_01[[#This Row],[REVISÃO]])))</f>
        <v>45838</v>
      </c>
      <c r="L7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M794" s="6" t="str">
        <f>LD_01[[#This Row],[PASTA]]&amp;"/"&amp;LD_01[[#This Row],[ARQUIVO]]</f>
        <v>MSV-163MS-626-628/12.DV/MSV-163MS-626-628-ACA-EXE-DE-O2-003-R01.pdf</v>
      </c>
    </row>
    <row r="795" spans="1:13" ht="28.8" hidden="1" x14ac:dyDescent="0.3">
      <c r="A795" s="6" t="s">
        <v>3592</v>
      </c>
      <c r="B795" s="6" t="str">
        <f>VLOOKUP(LD_01[[#This Row],[DOCUMENTO]],_xlfn.SORTBY(ARQUIVOS_RECEBIDOS!$E$2:$F$5010,ARQUIVOS_RECEBIDOS!$F$2:$F$5010,-1),2,)</f>
        <v>R01</v>
      </c>
      <c r="C795" s="15" t="s">
        <v>5987</v>
      </c>
      <c r="D795" s="6" t="s">
        <v>4318</v>
      </c>
      <c r="E795" s="8" t="s">
        <v>4125</v>
      </c>
      <c r="F795" s="8" t="s">
        <v>4144</v>
      </c>
      <c r="G795" s="6" t="str">
        <f>_xlfn.XLOOKUP(LD_01[[#This Row],[DISCIPLINA]],'CLASSES DE PROJETOS'!$F$3:$F$37,'CLASSES DE PROJETOS'!$C$3:$C$37)</f>
        <v>DV</v>
      </c>
      <c r="H795" t="str">
        <f>_xlfn.TEXTJOIN("/",TRUE,"MSV-163MS-"&amp;LD_01[[#This Row],[TRECHO]],_xlfn.XLOOKUP(LD_01[[#This Row],[SIGLA]],'CLASSES DE PROJETOS'!$C$3:$C$37,'CLASSES DE PROJETOS'!$E$3:$E$37))</f>
        <v>MSV-163MS-626-628/12.DV</v>
      </c>
      <c r="I795" s="6" t="str" cm="1">
        <f t="array" ref="I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J795" s="6" t="str" cm="1">
        <f t="array" ref="J795">_xlfn.TEXTJOIN(", ",TRUE,_xlfn.UNIQUE(_xlfn._xlws.FILTER(ARQUIVOS_RECEBIDOS!$F$2:$F$5010,ARQUIVOS_RECEBIDOS!$E$2:$E$5010=LD_01[[#This Row],[DOCUMENTO]])))</f>
        <v>R01</v>
      </c>
      <c r="K795" s="12" cm="1">
        <f t="array" ref="K795">_xlfn.UNIQUE(_xlfn._xlws.FILTER(ARQUIVOS[DATA RECEBIMENTO],(ARQUIVOS[DOCUMENTO]=LD_01[[#This Row],[DOCUMENTO]])*(ARQUIVOS[REVISÃO]=LD_01[[#This Row],[REVISÃO]])))</f>
        <v>45838</v>
      </c>
      <c r="L7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M795" s="6" t="str">
        <f>LD_01[[#This Row],[PASTA]]&amp;"/"&amp;LD_01[[#This Row],[ARQUIVO]]</f>
        <v>MSV-163MS-626-628/12.DV/MSV-163MS-626-628-ACA-EXE-DE-O2-004-R01.pdf</v>
      </c>
    </row>
    <row r="796" spans="1:13" ht="28.8" hidden="1" x14ac:dyDescent="0.3">
      <c r="A796" s="6" t="s">
        <v>3593</v>
      </c>
      <c r="B796" s="6" t="str">
        <f>VLOOKUP(LD_01[[#This Row],[DOCUMENTO]],_xlfn.SORTBY(ARQUIVOS_RECEBIDOS!$E$2:$F$5010,ARQUIVOS_RECEBIDOS!$F$2:$F$5010,-1),2,)</f>
        <v>R01</v>
      </c>
      <c r="C796" s="15" t="s">
        <v>5987</v>
      </c>
      <c r="D796" s="6" t="s">
        <v>4318</v>
      </c>
      <c r="E796" s="8" t="s">
        <v>4125</v>
      </c>
      <c r="F796" s="8" t="s">
        <v>4144</v>
      </c>
      <c r="G796" s="6" t="str">
        <f>_xlfn.XLOOKUP(LD_01[[#This Row],[DISCIPLINA]],'CLASSES DE PROJETOS'!$F$3:$F$37,'CLASSES DE PROJETOS'!$C$3:$C$37)</f>
        <v>DV</v>
      </c>
      <c r="H796" t="str">
        <f>_xlfn.TEXTJOIN("/",TRUE,"MSV-163MS-"&amp;LD_01[[#This Row],[TRECHO]],_xlfn.XLOOKUP(LD_01[[#This Row],[SIGLA]],'CLASSES DE PROJETOS'!$C$3:$C$37,'CLASSES DE PROJETOS'!$E$3:$E$37))</f>
        <v>MSV-163MS-626-628/12.DV</v>
      </c>
      <c r="I796" s="6" t="str" cm="1">
        <f t="array" ref="I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J796" s="6" t="str" cm="1">
        <f t="array" ref="J796">_xlfn.TEXTJOIN(", ",TRUE,_xlfn.UNIQUE(_xlfn._xlws.FILTER(ARQUIVOS_RECEBIDOS!$F$2:$F$5010,ARQUIVOS_RECEBIDOS!$E$2:$E$5010=LD_01[[#This Row],[DOCUMENTO]])))</f>
        <v>R01</v>
      </c>
      <c r="K796" s="12" cm="1">
        <f t="array" ref="K796">_xlfn.UNIQUE(_xlfn._xlws.FILTER(ARQUIVOS[DATA RECEBIMENTO],(ARQUIVOS[DOCUMENTO]=LD_01[[#This Row],[DOCUMENTO]])*(ARQUIVOS[REVISÃO]=LD_01[[#This Row],[REVISÃO]])))</f>
        <v>45838</v>
      </c>
      <c r="L7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M796" s="6" t="str">
        <f>LD_01[[#This Row],[PASTA]]&amp;"/"&amp;LD_01[[#This Row],[ARQUIVO]]</f>
        <v>MSV-163MS-626-628/12.DV/MSV-163MS-626-628-ACA-EXE-DE-O2-005-R01.pdf</v>
      </c>
    </row>
    <row r="797" spans="1:13" ht="28.8" hidden="1" x14ac:dyDescent="0.3">
      <c r="A797" s="6" t="s">
        <v>3594</v>
      </c>
      <c r="B797" s="6" t="str">
        <f>VLOOKUP(LD_01[[#This Row],[DOCUMENTO]],_xlfn.SORTBY(ARQUIVOS_RECEBIDOS!$E$2:$F$5010,ARQUIVOS_RECEBIDOS!$F$2:$F$5010,-1),2,)</f>
        <v>R01</v>
      </c>
      <c r="C797" s="15" t="s">
        <v>5987</v>
      </c>
      <c r="D797" s="6" t="s">
        <v>4318</v>
      </c>
      <c r="E797" s="8" t="s">
        <v>4125</v>
      </c>
      <c r="F797" s="8" t="s">
        <v>4144</v>
      </c>
      <c r="G797" s="6" t="str">
        <f>_xlfn.XLOOKUP(LD_01[[#This Row],[DISCIPLINA]],'CLASSES DE PROJETOS'!$F$3:$F$37,'CLASSES DE PROJETOS'!$C$3:$C$37)</f>
        <v>DV</v>
      </c>
      <c r="H797" t="str">
        <f>_xlfn.TEXTJOIN("/",TRUE,"MSV-163MS-"&amp;LD_01[[#This Row],[TRECHO]],_xlfn.XLOOKUP(LD_01[[#This Row],[SIGLA]],'CLASSES DE PROJETOS'!$C$3:$C$37,'CLASSES DE PROJETOS'!$E$3:$E$37))</f>
        <v>MSV-163MS-626-628/12.DV</v>
      </c>
      <c r="I797" s="6" t="str" cm="1">
        <f t="array" ref="I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J797" s="6" t="str" cm="1">
        <f t="array" ref="J797">_xlfn.TEXTJOIN(", ",TRUE,_xlfn.UNIQUE(_xlfn._xlws.FILTER(ARQUIVOS_RECEBIDOS!$F$2:$F$5010,ARQUIVOS_RECEBIDOS!$E$2:$E$5010=LD_01[[#This Row],[DOCUMENTO]])))</f>
        <v>R01</v>
      </c>
      <c r="K797" s="12" cm="1">
        <f t="array" ref="K797">_xlfn.UNIQUE(_xlfn._xlws.FILTER(ARQUIVOS[DATA RECEBIMENTO],(ARQUIVOS[DOCUMENTO]=LD_01[[#This Row],[DOCUMENTO]])*(ARQUIVOS[REVISÃO]=LD_01[[#This Row],[REVISÃO]])))</f>
        <v>45838</v>
      </c>
      <c r="L7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M797" s="6" t="str">
        <f>LD_01[[#This Row],[PASTA]]&amp;"/"&amp;LD_01[[#This Row],[ARQUIVO]]</f>
        <v>MSV-163MS-626-628/12.DV/MSV-163MS-626-628-ACA-EXE-DE-O2-006-R01.pdf</v>
      </c>
    </row>
    <row r="798" spans="1:13" ht="28.8" hidden="1" x14ac:dyDescent="0.3">
      <c r="A798" s="6" t="s">
        <v>3595</v>
      </c>
      <c r="B798" s="6" t="str">
        <f>VLOOKUP(LD_01[[#This Row],[DOCUMENTO]],_xlfn.SORTBY(ARQUIVOS_RECEBIDOS!$E$2:$F$5010,ARQUIVOS_RECEBIDOS!$F$2:$F$5010,-1),2,)</f>
        <v>R02</v>
      </c>
      <c r="C798" s="15" t="s">
        <v>5987</v>
      </c>
      <c r="D798" s="6" t="s">
        <v>4318</v>
      </c>
      <c r="E798" s="8" t="s">
        <v>4089</v>
      </c>
      <c r="F798" s="8" t="s">
        <v>4144</v>
      </c>
      <c r="G798" s="6" t="str">
        <f>_xlfn.XLOOKUP(LD_01[[#This Row],[DISCIPLINA]],'CLASSES DE PROJETOS'!$F$3:$F$37,'CLASSES DE PROJETOS'!$C$3:$C$37)</f>
        <v>DV</v>
      </c>
      <c r="H798" t="str">
        <f>_xlfn.TEXTJOIN("/",TRUE,"MSV-163MS-"&amp;LD_01[[#This Row],[TRECHO]],_xlfn.XLOOKUP(LD_01[[#This Row],[SIGLA]],'CLASSES DE PROJETOS'!$C$3:$C$37,'CLASSES DE PROJETOS'!$E$3:$E$37))</f>
        <v>MSV-163MS-626-628/12.DV</v>
      </c>
      <c r="I798" s="6" t="str" cm="1">
        <f t="array" ref="I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J798" s="6" t="str" cm="1">
        <f t="array" ref="J798">_xlfn.TEXTJOIN(", ",TRUE,_xlfn.UNIQUE(_xlfn._xlws.FILTER(ARQUIVOS_RECEBIDOS!$F$2:$F$5010,ARQUIVOS_RECEBIDOS!$E$2:$E$5010=LD_01[[#This Row],[DOCUMENTO]])))</f>
        <v>R02</v>
      </c>
      <c r="K798" s="12" cm="1">
        <f t="array" ref="K798">_xlfn.UNIQUE(_xlfn._xlws.FILTER(ARQUIVOS[DATA RECEBIMENTO],(ARQUIVOS[DOCUMENTO]=LD_01[[#This Row],[DOCUMENTO]])*(ARQUIVOS[REVISÃO]=LD_01[[#This Row],[REVISÃO]])))</f>
        <v>45838</v>
      </c>
      <c r="L7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M798" s="6" t="str">
        <f>LD_01[[#This Row],[PASTA]]&amp;"/"&amp;LD_01[[#This Row],[ARQUIVO]]</f>
        <v>MSV-163MS-626-628/12.DV/MSV-163MS-626-628-ACA-EXE-DE-O2-007-R02.pdf</v>
      </c>
    </row>
    <row r="799" spans="1:13" ht="28.8" hidden="1" x14ac:dyDescent="0.3">
      <c r="A799" s="6" t="s">
        <v>3540</v>
      </c>
      <c r="B799" s="6" t="str">
        <f>VLOOKUP(LD_01[[#This Row],[DOCUMENTO]],_xlfn.SORTBY(ARQUIVOS_RECEBIDOS!$E$2:$F$5010,ARQUIVOS_RECEBIDOS!$F$2:$F$5010,-1),2,)</f>
        <v>R06</v>
      </c>
      <c r="C799" s="15" t="s">
        <v>5987</v>
      </c>
      <c r="D799" s="6" t="s">
        <v>4318</v>
      </c>
      <c r="E799" s="8" t="s">
        <v>4323</v>
      </c>
      <c r="F799" s="8" t="s">
        <v>4330</v>
      </c>
      <c r="G799" s="6" t="str">
        <f>_xlfn.XLOOKUP(LD_01[[#This Row],[DISCIPLINA]],'CLASSES DE PROJETOS'!$F$3:$F$37,'CLASSES DE PROJETOS'!$C$3:$C$37)</f>
        <v>TE</v>
      </c>
      <c r="H799" t="str">
        <f>_xlfn.TEXTJOIN("/",TRUE,"MSV-163MS-"&amp;LD_01[[#This Row],[TRECHO]],_xlfn.XLOOKUP(LD_01[[#This Row],[SIGLA]],'CLASSES DE PROJETOS'!$C$3:$C$37,'CLASSES DE PROJETOS'!$E$3:$E$37))</f>
        <v>MSV-163MS-626-628/32.TE</v>
      </c>
      <c r="I799" s="6" t="str" cm="1">
        <f t="array" ref="I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J799" s="6" t="str" cm="1">
        <f t="array" ref="J799">_xlfn.TEXTJOIN(", ",TRUE,_xlfn.UNIQUE(_xlfn._xlws.FILTER(ARQUIVOS_RECEBIDOS!$F$2:$F$5010,ARQUIVOS_RECEBIDOS!$E$2:$E$5010=LD_01[[#This Row],[DOCUMENTO]])))</f>
        <v>R06</v>
      </c>
      <c r="K799" s="12" cm="1">
        <f t="array" ref="K799">_xlfn.UNIQUE(_xlfn._xlws.FILTER(ARQUIVOS[DATA RECEBIMENTO],(ARQUIVOS[DOCUMENTO]=LD_01[[#This Row],[DOCUMENTO]])*(ARQUIVOS[REVISÃO]=LD_01[[#This Row],[REVISÃO]])))</f>
        <v>45838</v>
      </c>
      <c r="L7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M799" s="6" t="str">
        <f>LD_01[[#This Row],[PASTA]]&amp;"/"&amp;LD_01[[#This Row],[ARQUIVO]]</f>
        <v>MSV-163MS-626-628/32.TE/MSV-163MS-626-628-ACA-EXE-MC-G1-001-R06.pdf</v>
      </c>
    </row>
    <row r="800" spans="1:13" ht="28.8" hidden="1" x14ac:dyDescent="0.3">
      <c r="A800" s="6" t="s">
        <v>3549</v>
      </c>
      <c r="B800" s="6" t="str">
        <f>VLOOKUP(LD_01[[#This Row],[DOCUMENTO]],_xlfn.SORTBY(ARQUIVOS_RECEBIDOS!$E$2:$F$5010,ARQUIVOS_RECEBIDOS!$F$2:$F$5010,-1),2,)</f>
        <v>R03</v>
      </c>
      <c r="C800" s="15" t="s">
        <v>5987</v>
      </c>
      <c r="D800" s="6" t="s">
        <v>4318</v>
      </c>
      <c r="E800" s="8" t="s">
        <v>4081</v>
      </c>
      <c r="F800" s="8" t="s">
        <v>4142</v>
      </c>
      <c r="G800" s="6" t="str">
        <f>_xlfn.XLOOKUP(LD_01[[#This Row],[DISCIPLINA]],'CLASSES DE PROJETOS'!$F$3:$F$37,'CLASSES DE PROJETOS'!$C$3:$C$37)</f>
        <v>DR</v>
      </c>
      <c r="H800" t="str">
        <f>_xlfn.TEXTJOIN("/",TRUE,"MSV-163MS-"&amp;LD_01[[#This Row],[TRECHO]],_xlfn.XLOOKUP(LD_01[[#This Row],[SIGLA]],'CLASSES DE PROJETOS'!$C$3:$C$37,'CLASSES DE PROJETOS'!$E$3:$E$37))</f>
        <v>MSV-163MS-626-628/10.DR</v>
      </c>
      <c r="I800" s="6" t="str" cm="1">
        <f t="array" ref="I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J800" s="6" t="str" cm="1">
        <f t="array" ref="J800">_xlfn.TEXTJOIN(", ",TRUE,_xlfn.UNIQUE(_xlfn._xlws.FILTER(ARQUIVOS_RECEBIDOS!$F$2:$F$5010,ARQUIVOS_RECEBIDOS!$E$2:$E$5010=LD_01[[#This Row],[DOCUMENTO]])))</f>
        <v>R03</v>
      </c>
      <c r="K800" s="12" cm="1">
        <f t="array" ref="K800">_xlfn.UNIQUE(_xlfn._xlws.FILTER(ARQUIVOS[DATA RECEBIMENTO],(ARQUIVOS[DOCUMENTO]=LD_01[[#This Row],[DOCUMENTO]])*(ARQUIVOS[REVISÃO]=LD_01[[#This Row],[REVISÃO]])))</f>
        <v>45838</v>
      </c>
      <c r="L8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M800" s="6" t="str">
        <f>LD_01[[#This Row],[PASTA]]&amp;"/"&amp;LD_01[[#This Row],[ARQUIVO]]</f>
        <v>MSV-163MS-626-628/10.DR/MSV-163MS-626-628-ACA-EXE-MC-H2-001-R03.pdf</v>
      </c>
    </row>
    <row r="801" spans="1:13" ht="43.2" hidden="1" x14ac:dyDescent="0.3">
      <c r="A801" s="6" t="s">
        <v>3572</v>
      </c>
      <c r="B801" s="6" t="str">
        <f>VLOOKUP(LD_01[[#This Row],[DOCUMENTO]],_xlfn.SORTBY(ARQUIVOS_RECEBIDOS!$E$2:$F$5010,ARQUIVOS_RECEBIDOS!$F$2:$F$5010,-1),2,)</f>
        <v>R03</v>
      </c>
      <c r="C801" s="15" t="s">
        <v>5987</v>
      </c>
      <c r="D801" s="6" t="s">
        <v>4318</v>
      </c>
      <c r="E801" s="8" t="s">
        <v>4995</v>
      </c>
      <c r="F801" s="8" t="s">
        <v>4337</v>
      </c>
      <c r="G801" s="6" t="str">
        <f>_xlfn.XLOOKUP(LD_01[[#This Row],[DISCIPLINA]],'CLASSES DE PROJETOS'!$F$3:$F$37,'CLASSES DE PROJETOS'!$C$3:$C$37)</f>
        <v>EL</v>
      </c>
      <c r="H801" t="str">
        <f>_xlfn.TEXTJOIN("/",TRUE,"MSV-163MS-"&amp;LD_01[[#This Row],[TRECHO]],_xlfn.XLOOKUP(LD_01[[#This Row],[SIGLA]],'CLASSES DE PROJETOS'!$C$3:$C$37,'CLASSES DE PROJETOS'!$E$3:$E$37))</f>
        <v>MSV-163MS-626-628/14.EL</v>
      </c>
      <c r="I801" s="6" t="str" cm="1">
        <f t="array" ref="I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J801" s="6" t="str" cm="1">
        <f t="array" ref="J801">_xlfn.TEXTJOIN(", ",TRUE,_xlfn.UNIQUE(_xlfn._xlws.FILTER(ARQUIVOS_RECEBIDOS!$F$2:$F$5010,ARQUIVOS_RECEBIDOS!$E$2:$E$5010=LD_01[[#This Row],[DOCUMENTO]])))</f>
        <v>R03</v>
      </c>
      <c r="K801" s="12" cm="1">
        <f t="array" ref="K801">_xlfn.UNIQUE(_xlfn._xlws.FILTER(ARQUIVOS[DATA RECEBIMENTO],(ARQUIVOS[DOCUMENTO]=LD_01[[#This Row],[DOCUMENTO]])*(ARQUIVOS[REVISÃO]=LD_01[[#This Row],[REVISÃO]])))</f>
        <v>45838</v>
      </c>
      <c r="L8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M801" s="6" t="str">
        <f>LD_01[[#This Row],[PASTA]]&amp;"/"&amp;LD_01[[#This Row],[ARQUIVO]]</f>
        <v>MSV-163MS-626-628/14.EL/MSV-163MS-626-628-ACA-EXE-MC-K2-001-R03.pdf</v>
      </c>
    </row>
    <row r="802" spans="1:13" ht="43.2" hidden="1" x14ac:dyDescent="0.3">
      <c r="A802" s="6" t="s">
        <v>3573</v>
      </c>
      <c r="B802" s="6" t="str">
        <f>VLOOKUP(LD_01[[#This Row],[DOCUMENTO]],_xlfn.SORTBY(ARQUIVOS_RECEBIDOS!$E$2:$F$5010,ARQUIVOS_RECEBIDOS!$F$2:$F$5010,-1),2,)</f>
        <v>R02</v>
      </c>
      <c r="C802" s="15" t="s">
        <v>5987</v>
      </c>
      <c r="D802" s="6" t="s">
        <v>4318</v>
      </c>
      <c r="E802" s="8" t="s">
        <v>4996</v>
      </c>
      <c r="F802" s="8" t="s">
        <v>4337</v>
      </c>
      <c r="G802" s="6" t="str">
        <f>_xlfn.XLOOKUP(LD_01[[#This Row],[DISCIPLINA]],'CLASSES DE PROJETOS'!$F$3:$F$37,'CLASSES DE PROJETOS'!$C$3:$C$37)</f>
        <v>EL</v>
      </c>
      <c r="H802" t="str">
        <f>_xlfn.TEXTJOIN("/",TRUE,"MSV-163MS-"&amp;LD_01[[#This Row],[TRECHO]],_xlfn.XLOOKUP(LD_01[[#This Row],[SIGLA]],'CLASSES DE PROJETOS'!$C$3:$C$37,'CLASSES DE PROJETOS'!$E$3:$E$37))</f>
        <v>MSV-163MS-626-628/14.EL</v>
      </c>
      <c r="I802" s="6" t="str" cm="1">
        <f t="array" ref="I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J802" s="6" t="str" cm="1">
        <f t="array" ref="J802">_xlfn.TEXTJOIN(", ",TRUE,_xlfn.UNIQUE(_xlfn._xlws.FILTER(ARQUIVOS_RECEBIDOS!$F$2:$F$5010,ARQUIVOS_RECEBIDOS!$E$2:$E$5010=LD_01[[#This Row],[DOCUMENTO]])))</f>
        <v>R02</v>
      </c>
      <c r="K802" s="12" cm="1">
        <f t="array" ref="K802">_xlfn.UNIQUE(_xlfn._xlws.FILTER(ARQUIVOS[DATA RECEBIMENTO],(ARQUIVOS[DOCUMENTO]=LD_01[[#This Row],[DOCUMENTO]])*(ARQUIVOS[REVISÃO]=LD_01[[#This Row],[REVISÃO]])))</f>
        <v>45838</v>
      </c>
      <c r="L8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M802" s="6" t="str">
        <f>LD_01[[#This Row],[PASTA]]&amp;"/"&amp;LD_01[[#This Row],[ARQUIVO]]</f>
        <v>MSV-163MS-626-628/14.EL/MSV-163MS-626-628-ACA-EXE-MC-K2-002-R02.pdf</v>
      </c>
    </row>
    <row r="803" spans="1:13" ht="28.8" hidden="1" x14ac:dyDescent="0.3">
      <c r="A803" s="6" t="s">
        <v>3550</v>
      </c>
      <c r="B803" s="6" t="str">
        <f>VLOOKUP(LD_01[[#This Row],[DOCUMENTO]],_xlfn.SORTBY(ARQUIVOS_RECEBIDOS!$E$2:$F$5010,ARQUIVOS_RECEBIDOS!$F$2:$F$5010,-1),2,)</f>
        <v>R01</v>
      </c>
      <c r="C803" s="15" t="s">
        <v>5987</v>
      </c>
      <c r="D803" s="6" t="s">
        <v>4318</v>
      </c>
      <c r="E803" s="8" t="s">
        <v>4082</v>
      </c>
      <c r="F803" s="8" t="s">
        <v>4142</v>
      </c>
      <c r="G803" s="6" t="str">
        <f>_xlfn.XLOOKUP(LD_01[[#This Row],[DISCIPLINA]],'CLASSES DE PROJETOS'!$F$3:$F$37,'CLASSES DE PROJETOS'!$C$3:$C$37)</f>
        <v>DR</v>
      </c>
      <c r="H803" t="str">
        <f>_xlfn.TEXTJOIN("/",TRUE,"MSV-163MS-"&amp;LD_01[[#This Row],[TRECHO]],_xlfn.XLOOKUP(LD_01[[#This Row],[SIGLA]],'CLASSES DE PROJETOS'!$C$3:$C$37,'CLASSES DE PROJETOS'!$E$3:$E$37))</f>
        <v>MSV-163MS-626-628/10.DR</v>
      </c>
      <c r="I803" s="6" t="str" cm="1">
        <f t="array" ref="I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J803" s="6" t="str" cm="1">
        <f t="array" ref="J803">_xlfn.TEXTJOIN(", ",TRUE,_xlfn.UNIQUE(_xlfn._xlws.FILTER(ARQUIVOS_RECEBIDOS!$F$2:$F$5010,ARQUIVOS_RECEBIDOS!$E$2:$E$5010=LD_01[[#This Row],[DOCUMENTO]])))</f>
        <v>R01</v>
      </c>
      <c r="K803" s="12" cm="1">
        <f t="array" ref="K803">_xlfn.UNIQUE(_xlfn._xlws.FILTER(ARQUIVOS[DATA RECEBIMENTO],(ARQUIVOS[DOCUMENTO]=LD_01[[#This Row],[DOCUMENTO]])*(ARQUIVOS[REVISÃO]=LD_01[[#This Row],[REVISÃO]])))</f>
        <v>45838</v>
      </c>
      <c r="L8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M803" s="6" t="str">
        <f>LD_01[[#This Row],[PASTA]]&amp;"/"&amp;LD_01[[#This Row],[ARQUIVO]]</f>
        <v>MSV-163MS-626-628/10.DR/MSV-163MS-626-628-ACA-EXE-MD-H1-001-R01.pdf</v>
      </c>
    </row>
    <row r="804" spans="1:13" hidden="1" x14ac:dyDescent="0.3">
      <c r="A804" s="6" t="s">
        <v>3565</v>
      </c>
      <c r="B804" s="6" t="str">
        <f>VLOOKUP(LD_01[[#This Row],[DOCUMENTO]],_xlfn.SORTBY(ARQUIVOS_RECEBIDOS!$E$2:$F$5010,ARQUIVOS_RECEBIDOS!$F$2:$F$5010,-1),2,)</f>
        <v>R04</v>
      </c>
      <c r="C804" s="15" t="s">
        <v>5987</v>
      </c>
      <c r="D804" s="6" t="s">
        <v>4318</v>
      </c>
      <c r="E804" s="8" t="s">
        <v>4090</v>
      </c>
      <c r="F804" s="8" t="s">
        <v>4143</v>
      </c>
      <c r="G804" s="6" t="str">
        <f>_xlfn.XLOOKUP(LD_01[[#This Row],[DISCIPLINA]],'CLASSES DE PROJETOS'!$F$3:$F$37,'CLASSES DE PROJETOS'!$C$3:$C$37)</f>
        <v>PV</v>
      </c>
      <c r="H804" t="str">
        <f>_xlfn.TEXTJOIN("/",TRUE,"MSV-163MS-"&amp;LD_01[[#This Row],[TRECHO]],_xlfn.XLOOKUP(LD_01[[#This Row],[SIGLA]],'CLASSES DE PROJETOS'!$C$3:$C$37,'CLASSES DE PROJETOS'!$E$3:$E$37))</f>
        <v>MSV-163MS-626-628/28.PV</v>
      </c>
      <c r="I804" s="6" t="str" cm="1">
        <f t="array" ref="I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J804" s="6" t="str" cm="1">
        <f t="array" ref="J804">_xlfn.TEXTJOIN(", ",TRUE,_xlfn.UNIQUE(_xlfn._xlws.FILTER(ARQUIVOS_RECEBIDOS!$F$2:$F$5010,ARQUIVOS_RECEBIDOS!$E$2:$E$5010=LD_01[[#This Row],[DOCUMENTO]])))</f>
        <v>R04</v>
      </c>
      <c r="K804" s="12" cm="1">
        <f t="array" ref="K804">_xlfn.UNIQUE(_xlfn._xlws.FILTER(ARQUIVOS[DATA RECEBIMENTO],(ARQUIVOS[DOCUMENTO]=LD_01[[#This Row],[DOCUMENTO]])*(ARQUIVOS[REVISÃO]=LD_01[[#This Row],[REVISÃO]])))</f>
        <v>45838</v>
      </c>
      <c r="L8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M804" s="6" t="str">
        <f>LD_01[[#This Row],[PASTA]]&amp;"/"&amp;LD_01[[#This Row],[ARQUIVO]]</f>
        <v>MSV-163MS-626-628/28.PV/MSV-163MS-626-628-ACA-EXE-MD-I2-001-R04.pdf</v>
      </c>
    </row>
    <row r="805" spans="1:13" ht="28.8" hidden="1" x14ac:dyDescent="0.3">
      <c r="A805" s="6" t="s">
        <v>4071</v>
      </c>
      <c r="B805" s="6" t="str">
        <f>VLOOKUP(LD_01[[#This Row],[DOCUMENTO]],_xlfn.SORTBY(ARQUIVOS_RECEBIDOS!$E$2:$F$5010,ARQUIVOS_RECEBIDOS!$F$2:$F$5010,-1),2,)</f>
        <v>R00</v>
      </c>
      <c r="C805" s="15" t="s">
        <v>5987</v>
      </c>
      <c r="D805" s="6" t="s">
        <v>4318</v>
      </c>
      <c r="E805" s="8" t="s">
        <v>4169</v>
      </c>
      <c r="F805" s="8" t="s">
        <v>4331</v>
      </c>
      <c r="G805" s="6" t="str">
        <f>_xlfn.XLOOKUP(LD_01[[#This Row],[DISCIPLINA]],'CLASSES DE PROJETOS'!$F$3:$F$37,'CLASSES DE PROJETOS'!$C$3:$C$37)</f>
        <v>SI</v>
      </c>
      <c r="H805" t="str">
        <f>_xlfn.TEXTJOIN("/",TRUE,"MSV-163MS-"&amp;LD_01[[#This Row],[TRECHO]],_xlfn.XLOOKUP(LD_01[[#This Row],[SIGLA]],'CLASSES DE PROJETOS'!$C$3:$C$37,'CLASSES DE PROJETOS'!$E$3:$E$37))</f>
        <v>MSV-163MS-626-628/31.SI</v>
      </c>
      <c r="I805" s="6" t="str" cm="1">
        <f t="array" ref="I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J805" s="6" t="str" cm="1">
        <f t="array" ref="J805">_xlfn.TEXTJOIN(", ",TRUE,_xlfn.UNIQUE(_xlfn._xlws.FILTER(ARQUIVOS_RECEBIDOS!$F$2:$F$5010,ARQUIVOS_RECEBIDOS!$E$2:$E$5010=LD_01[[#This Row],[DOCUMENTO]])))</f>
        <v>R00</v>
      </c>
      <c r="K805" s="12" cm="1">
        <f t="array" ref="K805">_xlfn.UNIQUE(_xlfn._xlws.FILTER(ARQUIVOS[DATA RECEBIMENTO],(ARQUIVOS[DOCUMENTO]=LD_01[[#This Row],[DOCUMENTO]])*(ARQUIVOS[REVISÃO]=LD_01[[#This Row],[REVISÃO]])))</f>
        <v>45895</v>
      </c>
      <c r="L8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M805" s="6" t="str">
        <f>LD_01[[#This Row],[PASTA]]&amp;"/"&amp;LD_01[[#This Row],[ARQUIVO]]</f>
        <v>MSV-163MS-626-628/31.SI/MSV-163MS-626-628-ACA-EXE-MD-J1-001-R00.pdf</v>
      </c>
    </row>
    <row r="806" spans="1:13" ht="43.2" hidden="1" x14ac:dyDescent="0.3">
      <c r="A806" s="6" t="s">
        <v>3574</v>
      </c>
      <c r="B806" s="6" t="str">
        <f>VLOOKUP(LD_01[[#This Row],[DOCUMENTO]],_xlfn.SORTBY(ARQUIVOS_RECEBIDOS!$E$2:$F$5010,ARQUIVOS_RECEBIDOS!$F$2:$F$5010,-1),2,)</f>
        <v>R06</v>
      </c>
      <c r="C806" s="15" t="s">
        <v>5987</v>
      </c>
      <c r="D806" s="6" t="s">
        <v>4318</v>
      </c>
      <c r="E806" s="8" t="s">
        <v>4997</v>
      </c>
      <c r="F806" s="8" t="s">
        <v>4337</v>
      </c>
      <c r="G806" s="6" t="str">
        <f>_xlfn.XLOOKUP(LD_01[[#This Row],[DISCIPLINA]],'CLASSES DE PROJETOS'!$F$3:$F$37,'CLASSES DE PROJETOS'!$C$3:$C$37)</f>
        <v>EL</v>
      </c>
      <c r="H806" t="str">
        <f>_xlfn.TEXTJOIN("/",TRUE,"MSV-163MS-"&amp;LD_01[[#This Row],[TRECHO]],_xlfn.XLOOKUP(LD_01[[#This Row],[SIGLA]],'CLASSES DE PROJETOS'!$C$3:$C$37,'CLASSES DE PROJETOS'!$E$3:$E$37))</f>
        <v>MSV-163MS-626-628/14.EL</v>
      </c>
      <c r="I806" s="6" t="str" cm="1">
        <f t="array" ref="I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J806" s="6" t="str" cm="1">
        <f t="array" ref="J806">_xlfn.TEXTJOIN(", ",TRUE,_xlfn.UNIQUE(_xlfn._xlws.FILTER(ARQUIVOS_RECEBIDOS!$F$2:$F$5010,ARQUIVOS_RECEBIDOS!$E$2:$E$5010=LD_01[[#This Row],[DOCUMENTO]])))</f>
        <v>R03, R04, R06</v>
      </c>
      <c r="K806" s="12" cm="1">
        <f t="array" ref="K806">_xlfn.UNIQUE(_xlfn._xlws.FILTER(ARQUIVOS[DATA RECEBIMENTO],(ARQUIVOS[DOCUMENTO]=LD_01[[#This Row],[DOCUMENTO]])*(ARQUIVOS[REVISÃO]=LD_01[[#This Row],[REVISÃO]])))</f>
        <v>45946</v>
      </c>
      <c r="L8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M806" s="6" t="str">
        <f>LD_01[[#This Row],[PASTA]]&amp;"/"&amp;LD_01[[#This Row],[ARQUIVO]]</f>
        <v>MSV-163MS-626-628/14.EL/MSV-163MS-626-628-ACA-EXE-MD-K2-001-R06.pdf</v>
      </c>
    </row>
    <row r="807" spans="1:13" hidden="1" x14ac:dyDescent="0.3">
      <c r="A807" s="6" t="s">
        <v>3600</v>
      </c>
      <c r="B807" s="6" t="str">
        <f>VLOOKUP(LD_01[[#This Row],[DOCUMENTO]],_xlfn.SORTBY(ARQUIVOS_RECEBIDOS!$E$2:$F$5010,ARQUIVOS_RECEBIDOS!$F$2:$F$5010,-1),2,)</f>
        <v>R00</v>
      </c>
      <c r="C807" s="15" t="s">
        <v>5987</v>
      </c>
      <c r="D807" s="6" t="s">
        <v>4318</v>
      </c>
      <c r="E807" s="8" t="s">
        <v>4087</v>
      </c>
      <c r="F807" s="8" t="s">
        <v>4334</v>
      </c>
      <c r="G807" s="6" t="str">
        <f>_xlfn.XLOOKUP(LD_01[[#This Row],[DISCIPLINA]],'CLASSES DE PROJETOS'!$F$3:$F$37,'CLASSES DE PROJETOS'!$C$3:$C$37)</f>
        <v>PA</v>
      </c>
      <c r="H807" t="str">
        <f>_xlfn.TEXTJOIN("/",TRUE,"MSV-163MS-"&amp;LD_01[[#This Row],[TRECHO]],_xlfn.XLOOKUP(LD_01[[#This Row],[SIGLA]],'CLASSES DE PROJETOS'!$C$3:$C$37,'CLASSES DE PROJETOS'!$E$3:$E$37))</f>
        <v>MSV-163MS-626-628/27.PA</v>
      </c>
      <c r="I807" s="6" t="str" cm="1">
        <f t="array" ref="I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J807" s="6" t="str" cm="1">
        <f t="array" ref="J807">_xlfn.TEXTJOIN(", ",TRUE,_xlfn.UNIQUE(_xlfn._xlws.FILTER(ARQUIVOS_RECEBIDOS!$F$2:$F$5010,ARQUIVOS_RECEBIDOS!$E$2:$E$5010=LD_01[[#This Row],[DOCUMENTO]])))</f>
        <v>R00</v>
      </c>
      <c r="K807" s="12" cm="1">
        <f t="array" ref="K807">_xlfn.UNIQUE(_xlfn._xlws.FILTER(ARQUIVOS[DATA RECEBIMENTO],(ARQUIVOS[DOCUMENTO]=LD_01[[#This Row],[DOCUMENTO]])*(ARQUIVOS[REVISÃO]=LD_01[[#This Row],[REVISÃO]])))</f>
        <v>45838</v>
      </c>
      <c r="L8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M807" s="6" t="str">
        <f>LD_01[[#This Row],[PASTA]]&amp;"/"&amp;LD_01[[#This Row],[ARQUIVO]]</f>
        <v>MSV-163MS-626-628/27.PA/MSV-163MS-626-628-ACA-EXE-MD-N2-001-R00.pdf</v>
      </c>
    </row>
    <row r="808" spans="1:13" ht="28.8" hidden="1" x14ac:dyDescent="0.3">
      <c r="A808" s="6" t="s">
        <v>3596</v>
      </c>
      <c r="B808" s="6" t="str">
        <f>VLOOKUP(LD_01[[#This Row],[DOCUMENTO]],_xlfn.SORTBY(ARQUIVOS_RECEBIDOS!$E$2:$F$5010,ARQUIVOS_RECEBIDOS!$F$2:$F$5010,-1),2,)</f>
        <v>R00</v>
      </c>
      <c r="C808" s="15" t="s">
        <v>5987</v>
      </c>
      <c r="D808" s="6" t="s">
        <v>4318</v>
      </c>
      <c r="E808" s="8" t="s">
        <v>4992</v>
      </c>
      <c r="F808" s="8" t="s">
        <v>4144</v>
      </c>
      <c r="G808" s="6" t="str">
        <f>_xlfn.XLOOKUP(LD_01[[#This Row],[DISCIPLINA]],'CLASSES DE PROJETOS'!$F$3:$F$37,'CLASSES DE PROJETOS'!$C$3:$C$37)</f>
        <v>DV</v>
      </c>
      <c r="H808" t="str">
        <f>_xlfn.TEXTJOIN("/",TRUE,"MSV-163MS-"&amp;LD_01[[#This Row],[TRECHO]],_xlfn.XLOOKUP(LD_01[[#This Row],[SIGLA]],'CLASSES DE PROJETOS'!$C$3:$C$37,'CLASSES DE PROJETOS'!$E$3:$E$37))</f>
        <v>MSV-163MS-626-628/12.DV</v>
      </c>
      <c r="I808" s="6" t="str" cm="1">
        <f t="array" ref="I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J808" s="6" t="str" cm="1">
        <f t="array" ref="J808">_xlfn.TEXTJOIN(", ",TRUE,_xlfn.UNIQUE(_xlfn._xlws.FILTER(ARQUIVOS_RECEBIDOS!$F$2:$F$5010,ARQUIVOS_RECEBIDOS!$E$2:$E$5010=LD_01[[#This Row],[DOCUMENTO]])))</f>
        <v>R00</v>
      </c>
      <c r="K808" s="12" cm="1">
        <f t="array" ref="K808">_xlfn.UNIQUE(_xlfn._xlws.FILTER(ARQUIVOS[DATA RECEBIMENTO],(ARQUIVOS[DOCUMENTO]=LD_01[[#This Row],[DOCUMENTO]])*(ARQUIVOS[REVISÃO]=LD_01[[#This Row],[REVISÃO]])))</f>
        <v>45838</v>
      </c>
      <c r="L8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M808" s="6" t="str">
        <f>LD_01[[#This Row],[PASTA]]&amp;"/"&amp;LD_01[[#This Row],[ARQUIVO]]</f>
        <v>MSV-163MS-626-628/12.DV/MSV-163MS-626-628-ACA-EXE-MD-O2-001-R00.pdf</v>
      </c>
    </row>
    <row r="809" spans="1:13" hidden="1" x14ac:dyDescent="0.3">
      <c r="A809" s="6" t="s">
        <v>3566</v>
      </c>
      <c r="B809" s="6" t="str">
        <f>VLOOKUP(LD_01[[#This Row],[DOCUMENTO]],_xlfn.SORTBY(ARQUIVOS_RECEBIDOS!$E$2:$F$5010,ARQUIVOS_RECEBIDOS!$F$2:$F$5010,-1),2,)</f>
        <v>R03</v>
      </c>
      <c r="C809" s="15" t="s">
        <v>5987</v>
      </c>
      <c r="D809" s="6" t="s">
        <v>4318</v>
      </c>
      <c r="E809" s="8" t="s">
        <v>4091</v>
      </c>
      <c r="F809" s="8" t="s">
        <v>4143</v>
      </c>
      <c r="G809" s="6" t="str">
        <f>_xlfn.XLOOKUP(LD_01[[#This Row],[DISCIPLINA]],'CLASSES DE PROJETOS'!$F$3:$F$37,'CLASSES DE PROJETOS'!$C$3:$C$37)</f>
        <v>PV</v>
      </c>
      <c r="H809" t="str">
        <f>_xlfn.TEXTJOIN("/",TRUE,"MSV-163MS-"&amp;LD_01[[#This Row],[TRECHO]],_xlfn.XLOOKUP(LD_01[[#This Row],[SIGLA]],'CLASSES DE PROJETOS'!$C$3:$C$37,'CLASSES DE PROJETOS'!$E$3:$E$37))</f>
        <v>MSV-163MS-626-628/28.PV</v>
      </c>
      <c r="I809" s="6" t="str" cm="1">
        <f t="array" ref="I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J809" s="6" t="str" cm="1">
        <f t="array" ref="J809">_xlfn.TEXTJOIN(", ",TRUE,_xlfn.UNIQUE(_xlfn._xlws.FILTER(ARQUIVOS_RECEBIDOS!$F$2:$F$5010,ARQUIVOS_RECEBIDOS!$E$2:$E$5010=LD_01[[#This Row],[DOCUMENTO]])))</f>
        <v>R02, R03</v>
      </c>
      <c r="K809" s="12" cm="1">
        <f t="array" ref="K809">_xlfn.UNIQUE(_xlfn._xlws.FILTER(ARQUIVOS[DATA RECEBIMENTO],(ARQUIVOS[DOCUMENTO]=LD_01[[#This Row],[DOCUMENTO]])*(ARQUIVOS[REVISÃO]=LD_01[[#This Row],[REVISÃO]])))</f>
        <v>45946</v>
      </c>
      <c r="L8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M809" s="6" t="str">
        <f>LD_01[[#This Row],[PASTA]]&amp;"/"&amp;LD_01[[#This Row],[ARQUIVO]]</f>
        <v>MSV-163MS-626-628/28.PV/MSV-163MS-626-628-ACA-EXE-NS-C3-001-R03.pdf</v>
      </c>
    </row>
    <row r="810" spans="1:13" hidden="1" x14ac:dyDescent="0.3">
      <c r="A810" s="6" t="s">
        <v>3520</v>
      </c>
      <c r="B810" s="6" t="str">
        <f>VLOOKUP(LD_01[[#This Row],[DOCUMENTO]],_xlfn.SORTBY(ARQUIVOS_RECEBIDOS!$E$2:$F$5010,ARQUIVOS_RECEBIDOS!$F$2:$F$5010,-1),2,)</f>
        <v>R01</v>
      </c>
      <c r="C810" s="15" t="s">
        <v>5987</v>
      </c>
      <c r="D810" s="6" t="s">
        <v>4318</v>
      </c>
      <c r="E810" s="8" t="s">
        <v>4165</v>
      </c>
      <c r="F810" s="8" t="s">
        <v>4163</v>
      </c>
      <c r="G810" s="6" t="str">
        <f>_xlfn.XLOOKUP(LD_01[[#This Row],[DISCIPLINA]],'CLASSES DE PROJETOS'!$F$3:$F$37,'CLASSES DE PROJETOS'!$C$3:$C$37)</f>
        <v>TO</v>
      </c>
      <c r="H810" t="str">
        <f>_xlfn.TEXTJOIN("/",TRUE,"MSV-163MS-"&amp;LD_01[[#This Row],[TRECHO]],_xlfn.XLOOKUP(LD_01[[#This Row],[SIGLA]],'CLASSES DE PROJETOS'!$C$3:$C$37,'CLASSES DE PROJETOS'!$E$3:$E$37))</f>
        <v>MSV-163MS-626-628/33.TO</v>
      </c>
      <c r="I810" s="6" t="str" cm="1">
        <f t="array" ref="I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J810" s="6" t="str" cm="1">
        <f t="array" ref="J810">_xlfn.TEXTJOIN(", ",TRUE,_xlfn.UNIQUE(_xlfn._xlws.FILTER(ARQUIVOS_RECEBIDOS!$F$2:$F$5010,ARQUIVOS_RECEBIDOS!$E$2:$E$5010=LD_01[[#This Row],[DOCUMENTO]])))</f>
        <v>R01</v>
      </c>
      <c r="K810" s="12" cm="1">
        <f t="array" ref="K810">_xlfn.UNIQUE(_xlfn._xlws.FILTER(ARQUIVOS[DATA RECEBIMENTO],(ARQUIVOS[DOCUMENTO]=LD_01[[#This Row],[DOCUMENTO]])*(ARQUIVOS[REVISÃO]=LD_01[[#This Row],[REVISÃO]])))</f>
        <v>45838</v>
      </c>
      <c r="L8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M810" s="6" t="str">
        <f>LD_01[[#This Row],[PASTA]]&amp;"/"&amp;LD_01[[#This Row],[ARQUIVO]]</f>
        <v>MSV-163MS-626-628/33.TO/MSV-163MS-626-628-ACA-EXE-RT-C1-001-R01.pdf</v>
      </c>
    </row>
    <row r="811" spans="1:13" ht="28.8" hidden="1" x14ac:dyDescent="0.3">
      <c r="A811" s="6" t="s">
        <v>3581</v>
      </c>
      <c r="B811" s="6" t="str">
        <f>VLOOKUP(LD_01[[#This Row],[DOCUMENTO]],_xlfn.SORTBY(ARQUIVOS_RECEBIDOS!$E$2:$F$5010,ARQUIVOS_RECEBIDOS!$F$2:$F$5010,-1),2,)</f>
        <v>R02</v>
      </c>
      <c r="C811" s="15" t="s">
        <v>5987</v>
      </c>
      <c r="D811" s="6" t="s">
        <v>4318</v>
      </c>
      <c r="E811" s="8" t="s">
        <v>4092</v>
      </c>
      <c r="F811" s="8" t="s">
        <v>4332</v>
      </c>
      <c r="G811" s="6" t="str">
        <f>_xlfn.XLOOKUP(LD_01[[#This Row],[DISCIPLINA]],'CLASSES DE PROJETOS'!$F$3:$F$37,'CLASSES DE PROJETOS'!$C$3:$C$37)</f>
        <v>GG</v>
      </c>
      <c r="H811" t="str">
        <f>_xlfn.TEXTJOIN("/",TRUE,"MSV-163MS-"&amp;LD_01[[#This Row],[TRECHO]],_xlfn.XLOOKUP(LD_01[[#This Row],[SIGLA]],'CLASSES DE PROJETOS'!$C$3:$C$37,'CLASSES DE PROJETOS'!$E$3:$E$37))</f>
        <v>MSV-163MS-626-628/19.GG</v>
      </c>
      <c r="I811" s="6" t="str" cm="1">
        <f t="array" ref="I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J811" s="6" t="str" cm="1">
        <f t="array" ref="J811">_xlfn.TEXTJOIN(", ",TRUE,_xlfn.UNIQUE(_xlfn._xlws.FILTER(ARQUIVOS_RECEBIDOS!$F$2:$F$5010,ARQUIVOS_RECEBIDOS!$E$2:$E$5010=LD_01[[#This Row],[DOCUMENTO]])))</f>
        <v>R02</v>
      </c>
      <c r="K811" s="12" cm="1">
        <f t="array" ref="K811">_xlfn.UNIQUE(_xlfn._xlws.FILTER(ARQUIVOS[DATA RECEBIMENTO],(ARQUIVOS[DOCUMENTO]=LD_01[[#This Row],[DOCUMENTO]])*(ARQUIVOS[REVISÃO]=LD_01[[#This Row],[REVISÃO]])))</f>
        <v>45838</v>
      </c>
      <c r="L8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M811" s="6" t="str">
        <f>LD_01[[#This Row],[PASTA]]&amp;"/"&amp;LD_01[[#This Row],[ARQUIVO]]</f>
        <v>MSV-163MS-626-628/19.GG/MSV-163MS-626-628-ACA-EXE-RT-D3-001-R02.pdf</v>
      </c>
    </row>
    <row r="812" spans="1:13" ht="28.8" hidden="1" x14ac:dyDescent="0.3">
      <c r="A812" s="6" t="s">
        <v>3582</v>
      </c>
      <c r="B812" s="6" t="str">
        <f>VLOOKUP(LD_01[[#This Row],[DOCUMENTO]],_xlfn.SORTBY(ARQUIVOS_RECEBIDOS!$E$2:$F$5010,ARQUIVOS_RECEBIDOS!$F$2:$F$5010,-1),2,)</f>
        <v>R00</v>
      </c>
      <c r="C812" s="15" t="s">
        <v>5987</v>
      </c>
      <c r="D812" s="6" t="s">
        <v>4318</v>
      </c>
      <c r="E812" s="8" t="s">
        <v>4092</v>
      </c>
      <c r="F812" s="8" t="s">
        <v>4332</v>
      </c>
      <c r="G812" s="6" t="str">
        <f>_xlfn.XLOOKUP(LD_01[[#This Row],[DISCIPLINA]],'CLASSES DE PROJETOS'!$F$3:$F$37,'CLASSES DE PROJETOS'!$C$3:$C$37)</f>
        <v>GG</v>
      </c>
      <c r="H812" t="str">
        <f>_xlfn.TEXTJOIN("/",TRUE,"MSV-163MS-"&amp;LD_01[[#This Row],[TRECHO]],_xlfn.XLOOKUP(LD_01[[#This Row],[SIGLA]],'CLASSES DE PROJETOS'!$C$3:$C$37,'CLASSES DE PROJETOS'!$E$3:$E$37))</f>
        <v>MSV-163MS-626-628/19.GG</v>
      </c>
      <c r="I812" s="6" t="str" cm="1">
        <f t="array" ref="I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J812" s="6" t="str" cm="1">
        <f t="array" ref="J812">_xlfn.TEXTJOIN(", ",TRUE,_xlfn.UNIQUE(_xlfn._xlws.FILTER(ARQUIVOS_RECEBIDOS!$F$2:$F$5010,ARQUIVOS_RECEBIDOS!$E$2:$E$5010=LD_01[[#This Row],[DOCUMENTO]])))</f>
        <v>R00</v>
      </c>
      <c r="K812" s="12" cm="1">
        <f t="array" ref="K812">_xlfn.UNIQUE(_xlfn._xlws.FILTER(ARQUIVOS[DATA RECEBIMENTO],(ARQUIVOS[DOCUMENTO]=LD_01[[#This Row],[DOCUMENTO]])*(ARQUIVOS[REVISÃO]=LD_01[[#This Row],[REVISÃO]])))</f>
        <v>45838</v>
      </c>
      <c r="L8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M812" s="6" t="str">
        <f>LD_01[[#This Row],[PASTA]]&amp;"/"&amp;LD_01[[#This Row],[ARQUIVO]]</f>
        <v>MSV-163MS-626-628/19.GG/MSV-163MS-626-628-ACA-EXE-RT-D3-002-R00.pdf</v>
      </c>
    </row>
    <row r="813" spans="1:13" ht="28.8" hidden="1" x14ac:dyDescent="0.3">
      <c r="A813" s="6" t="s">
        <v>3583</v>
      </c>
      <c r="B813" s="6" t="str">
        <f>VLOOKUP(LD_01[[#This Row],[DOCUMENTO]],_xlfn.SORTBY(ARQUIVOS_RECEBIDOS!$E$2:$F$5010,ARQUIVOS_RECEBIDOS!$F$2:$F$5010,-1),2,)</f>
        <v>R00</v>
      </c>
      <c r="C813" s="15" t="s">
        <v>5987</v>
      </c>
      <c r="D813" s="6" t="s">
        <v>4318</v>
      </c>
      <c r="E813" s="8" t="s">
        <v>4103</v>
      </c>
      <c r="F813" s="8" t="s">
        <v>4332</v>
      </c>
      <c r="G813" s="6" t="str">
        <f>_xlfn.XLOOKUP(LD_01[[#This Row],[DISCIPLINA]],'CLASSES DE PROJETOS'!$F$3:$F$37,'CLASSES DE PROJETOS'!$C$3:$C$37)</f>
        <v>GG</v>
      </c>
      <c r="H813" t="str">
        <f>_xlfn.TEXTJOIN("/",TRUE,"MSV-163MS-"&amp;LD_01[[#This Row],[TRECHO]],_xlfn.XLOOKUP(LD_01[[#This Row],[SIGLA]],'CLASSES DE PROJETOS'!$C$3:$C$37,'CLASSES DE PROJETOS'!$E$3:$E$37))</f>
        <v>MSV-163MS-626-628/19.GG</v>
      </c>
      <c r="I813" s="6" t="str" cm="1">
        <f t="array" ref="I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J813" s="6" t="str" cm="1">
        <f t="array" ref="J813">_xlfn.TEXTJOIN(", ",TRUE,_xlfn.UNIQUE(_xlfn._xlws.FILTER(ARQUIVOS_RECEBIDOS!$F$2:$F$5010,ARQUIVOS_RECEBIDOS!$E$2:$E$5010=LD_01[[#This Row],[DOCUMENTO]])))</f>
        <v>R00</v>
      </c>
      <c r="K813" s="12" cm="1">
        <f t="array" ref="K813">_xlfn.UNIQUE(_xlfn._xlws.FILTER(ARQUIVOS[DATA RECEBIMENTO],(ARQUIVOS[DOCUMENTO]=LD_01[[#This Row],[DOCUMENTO]])*(ARQUIVOS[REVISÃO]=LD_01[[#This Row],[REVISÃO]])))</f>
        <v>45838</v>
      </c>
      <c r="L8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M813" s="6" t="str">
        <f>LD_01[[#This Row],[PASTA]]&amp;"/"&amp;LD_01[[#This Row],[ARQUIVO]]</f>
        <v>MSV-163MS-626-628/19.GG/MSV-163MS-626-628-ACA-EXE-RT-D3-101-R00.pdf</v>
      </c>
    </row>
    <row r="814" spans="1:13" ht="28.8" hidden="1" x14ac:dyDescent="0.3">
      <c r="A814" s="6" t="s">
        <v>3584</v>
      </c>
      <c r="B814" s="6" t="str">
        <f>VLOOKUP(LD_01[[#This Row],[DOCUMENTO]],_xlfn.SORTBY(ARQUIVOS_RECEBIDOS!$E$2:$F$5010,ARQUIVOS_RECEBIDOS!$F$2:$F$5010,-1),2,)</f>
        <v>R00</v>
      </c>
      <c r="C814" s="15" t="s">
        <v>5987</v>
      </c>
      <c r="D814" s="6" t="s">
        <v>4318</v>
      </c>
      <c r="E814" s="8" t="s">
        <v>4076</v>
      </c>
      <c r="F814" s="8" t="s">
        <v>4332</v>
      </c>
      <c r="G814" s="6" t="str">
        <f>_xlfn.XLOOKUP(LD_01[[#This Row],[DISCIPLINA]],'CLASSES DE PROJETOS'!$F$3:$F$37,'CLASSES DE PROJETOS'!$C$3:$C$37)</f>
        <v>GG</v>
      </c>
      <c r="H814" t="str">
        <f>_xlfn.TEXTJOIN("/",TRUE,"MSV-163MS-"&amp;LD_01[[#This Row],[TRECHO]],_xlfn.XLOOKUP(LD_01[[#This Row],[SIGLA]],'CLASSES DE PROJETOS'!$C$3:$C$37,'CLASSES DE PROJETOS'!$E$3:$E$37))</f>
        <v>MSV-163MS-626-628/19.GG</v>
      </c>
      <c r="I814" s="6" t="str" cm="1">
        <f t="array" ref="I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J814" s="6" t="str" cm="1">
        <f t="array" ref="J814">_xlfn.TEXTJOIN(", ",TRUE,_xlfn.UNIQUE(_xlfn._xlws.FILTER(ARQUIVOS_RECEBIDOS!$F$2:$F$5010,ARQUIVOS_RECEBIDOS!$E$2:$E$5010=LD_01[[#This Row],[DOCUMENTO]])))</f>
        <v>R00</v>
      </c>
      <c r="K814" s="12" cm="1">
        <f t="array" ref="K814">_xlfn.UNIQUE(_xlfn._xlws.FILTER(ARQUIVOS[DATA RECEBIMENTO],(ARQUIVOS[DOCUMENTO]=LD_01[[#This Row],[DOCUMENTO]])*(ARQUIVOS[REVISÃO]=LD_01[[#This Row],[REVISÃO]])))</f>
        <v>45838</v>
      </c>
      <c r="L8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M814" s="6" t="str">
        <f>LD_01[[#This Row],[PASTA]]&amp;"/"&amp;LD_01[[#This Row],[ARQUIVO]]</f>
        <v>MSV-163MS-626-628/19.GG/MSV-163MS-626-628-ACA-EXE-RT-D3-201-R00.pdf</v>
      </c>
    </row>
    <row r="815" spans="1:13" ht="28.8" hidden="1" x14ac:dyDescent="0.3">
      <c r="A815" s="6" t="s">
        <v>3601</v>
      </c>
      <c r="B815" s="6" t="str">
        <f>VLOOKUP(LD_01[[#This Row],[DOCUMENTO]],_xlfn.SORTBY(ARQUIVOS_RECEBIDOS!$E$2:$F$5010,ARQUIVOS_RECEBIDOS!$F$2:$F$5010,-1),2,)</f>
        <v>R00</v>
      </c>
      <c r="C815" s="15" t="s">
        <v>5987</v>
      </c>
      <c r="D815" s="6" t="s">
        <v>4318</v>
      </c>
      <c r="E815" s="8" t="s">
        <v>4173</v>
      </c>
      <c r="F815" s="8" t="s">
        <v>4335</v>
      </c>
      <c r="G815" s="6" t="str">
        <f>_xlfn.XLOOKUP(LD_01[[#This Row],[DISCIPLINA]],'CLASSES DE PROJETOS'!$F$3:$F$37,'CLASSES DE PROJETOS'!$C$3:$C$37)</f>
        <v>TR</v>
      </c>
      <c r="H815" t="str">
        <f>_xlfn.TEXTJOIN("/",TRUE,"MSV-163MS-"&amp;LD_01[[#This Row],[TRECHO]],_xlfn.XLOOKUP(LD_01[[#This Row],[SIGLA]],'CLASSES DE PROJETOS'!$C$3:$C$37,'CLASSES DE PROJETOS'!$E$3:$E$37))</f>
        <v>MSV-163MS-626-628/34.TR</v>
      </c>
      <c r="I815" s="6" t="str" cm="1">
        <f t="array" ref="I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J815" s="6" t="str" cm="1">
        <f t="array" ref="J815">_xlfn.TEXTJOIN(", ",TRUE,_xlfn.UNIQUE(_xlfn._xlws.FILTER(ARQUIVOS_RECEBIDOS!$F$2:$F$5010,ARQUIVOS_RECEBIDOS!$E$2:$E$5010=LD_01[[#This Row],[DOCUMENTO]])))</f>
        <v>R00</v>
      </c>
      <c r="K815" s="12" cm="1">
        <f t="array" ref="K815">_xlfn.UNIQUE(_xlfn._xlws.FILTER(ARQUIVOS[DATA RECEBIMENTO],(ARQUIVOS[DOCUMENTO]=LD_01[[#This Row],[DOCUMENTO]])*(ARQUIVOS[REVISÃO]=LD_01[[#This Row],[REVISÃO]])))</f>
        <v>45838</v>
      </c>
      <c r="L8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M815" s="6" t="str">
        <f>LD_01[[#This Row],[PASTA]]&amp;"/"&amp;LD_01[[#This Row],[ARQUIVO]]</f>
        <v>MSV-163MS-626-628/34.TR/MSV-163MS-626-628-ACA-EXE-RT-E1-001-R00.pdf</v>
      </c>
    </row>
    <row r="816" spans="1:13" ht="28.8" hidden="1" x14ac:dyDescent="0.3">
      <c r="A816" s="6" t="s">
        <v>3528</v>
      </c>
      <c r="B816" s="6" t="str">
        <f>VLOOKUP(LD_01[[#This Row],[DOCUMENTO]],_xlfn.SORTBY(ARQUIVOS_RECEBIDOS!$E$2:$F$5010,ARQUIVOS_RECEBIDOS!$F$2:$F$5010,-1),2,)</f>
        <v>R04</v>
      </c>
      <c r="C816" s="15" t="s">
        <v>5987</v>
      </c>
      <c r="D816" s="6" t="s">
        <v>4318</v>
      </c>
      <c r="E816" s="8" t="s">
        <v>4259</v>
      </c>
      <c r="F816" s="8" t="s">
        <v>4141</v>
      </c>
      <c r="G816" s="6" t="str">
        <f>_xlfn.XLOOKUP(LD_01[[#This Row],[DISCIPLINA]],'CLASSES DE PROJETOS'!$F$3:$F$37,'CLASSES DE PROJETOS'!$C$3:$C$37)</f>
        <v>GE</v>
      </c>
      <c r="H816" t="str">
        <f>_xlfn.TEXTJOIN("/",TRUE,"MSV-163MS-"&amp;LD_01[[#This Row],[TRECHO]],_xlfn.XLOOKUP(LD_01[[#This Row],[SIGLA]],'CLASSES DE PROJETOS'!$C$3:$C$37,'CLASSES DE PROJETOS'!$E$3:$E$37))</f>
        <v>MSV-163MS-626-628/18.GE</v>
      </c>
      <c r="I816" s="6" t="str" cm="1">
        <f t="array" ref="I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J816" s="6" t="str" cm="1">
        <f t="array" ref="J816">_xlfn.TEXTJOIN(", ",TRUE,_xlfn.UNIQUE(_xlfn._xlws.FILTER(ARQUIVOS_RECEBIDOS!$F$2:$F$5010,ARQUIVOS_RECEBIDOS!$E$2:$E$5010=LD_01[[#This Row],[DOCUMENTO]])))</f>
        <v>R03, R04</v>
      </c>
      <c r="K816" s="12" cm="1">
        <f t="array" ref="K816">_xlfn.UNIQUE(_xlfn._xlws.FILTER(ARQUIVOS[DATA RECEBIMENTO],(ARQUIVOS[DOCUMENTO]=LD_01[[#This Row],[DOCUMENTO]])*(ARQUIVOS[REVISÃO]=LD_01[[#This Row],[REVISÃO]])))</f>
        <v>45946</v>
      </c>
      <c r="L8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M816" s="6" t="str">
        <f>LD_01[[#This Row],[PASTA]]&amp;"/"&amp;LD_01[[#This Row],[ARQUIVO]]</f>
        <v>MSV-163MS-626-628/18.GE/MSV-163MS-626-628-ACA-EXE-RT-F1-001-R04.pdf</v>
      </c>
    </row>
    <row r="817" spans="1:13" ht="43.2" hidden="1" x14ac:dyDescent="0.3">
      <c r="A817" s="6" t="s">
        <v>3588</v>
      </c>
      <c r="B817" s="6" t="str">
        <f>VLOOKUP(LD_01[[#This Row],[DOCUMENTO]],_xlfn.SORTBY(ARQUIVOS_RECEBIDOS!$E$2:$F$5010,ARQUIVOS_RECEBIDOS!$F$2:$F$5010,-1),2,)</f>
        <v>R00</v>
      </c>
      <c r="C817" s="15" t="s">
        <v>5987</v>
      </c>
      <c r="D817" s="6" t="s">
        <v>4318</v>
      </c>
      <c r="E817" s="8" t="s">
        <v>4087</v>
      </c>
      <c r="F817" s="8" t="s">
        <v>4333</v>
      </c>
      <c r="G817" s="6" t="str">
        <f>_xlfn.XLOOKUP(LD_01[[#This Row],[DISCIPLINA]],'CLASSES DE PROJETOS'!$F$3:$F$37,'CLASSES DE PROJETOS'!$C$3:$C$37)</f>
        <v>IN</v>
      </c>
      <c r="H817" t="str">
        <f>_xlfn.TEXTJOIN("/",TRUE,"MSV-163MS-"&amp;LD_01[[#This Row],[TRECHO]],_xlfn.XLOOKUP(LD_01[[#This Row],[SIGLA]],'CLASSES DE PROJETOS'!$C$3:$C$37,'CLASSES DE PROJETOS'!$E$3:$E$37))</f>
        <v>MSV-163MS-626-628/23.IN</v>
      </c>
      <c r="I817" s="6" t="str" cm="1">
        <f t="array" ref="I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J817" s="6" t="str" cm="1">
        <f t="array" ref="J817">_xlfn.TEXTJOIN(", ",TRUE,_xlfn.UNIQUE(_xlfn._xlws.FILTER(ARQUIVOS_RECEBIDOS!$F$2:$F$5010,ARQUIVOS_RECEBIDOS!$E$2:$E$5010=LD_01[[#This Row],[DOCUMENTO]])))</f>
        <v>R00</v>
      </c>
      <c r="K817" s="12" cm="1">
        <f t="array" ref="K817">_xlfn.UNIQUE(_xlfn._xlws.FILTER(ARQUIVOS[DATA RECEBIMENTO],(ARQUIVOS[DOCUMENTO]=LD_01[[#This Row],[DOCUMENTO]])*(ARQUIVOS[REVISÃO]=LD_01[[#This Row],[REVISÃO]])))</f>
        <v>45838</v>
      </c>
      <c r="L8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M817" s="6" t="str">
        <f>LD_01[[#This Row],[PASTA]]&amp;"/"&amp;LD_01[[#This Row],[ARQUIVO]]</f>
        <v>MSV-163MS-626-628/23.IN/MSV-163MS-626-628-ACA-EXE-RT-M1-001-R00.pdf</v>
      </c>
    </row>
    <row r="818" spans="1:13" hidden="1" x14ac:dyDescent="0.3">
      <c r="A818" s="6" t="s">
        <v>3602</v>
      </c>
      <c r="B818" s="6" t="str">
        <f>VLOOKUP(LD_01[[#This Row],[DOCUMENTO]],_xlfn.SORTBY(ARQUIVOS_RECEBIDOS!$E$2:$F$5010,ARQUIVOS_RECEBIDOS!$F$2:$F$5010,-1),2,)</f>
        <v>R00</v>
      </c>
      <c r="C818" s="15" t="s">
        <v>5987</v>
      </c>
      <c r="D818" s="6" t="s">
        <v>4319</v>
      </c>
      <c r="E818" s="8" t="s">
        <v>4242</v>
      </c>
      <c r="F818" s="8" t="s">
        <v>4163</v>
      </c>
      <c r="G818" s="6" t="str">
        <f>_xlfn.XLOOKUP(LD_01[[#This Row],[DISCIPLINA]],'CLASSES DE PROJETOS'!$F$3:$F$37,'CLASSES DE PROJETOS'!$C$3:$C$37)</f>
        <v>TO</v>
      </c>
      <c r="H818" t="str">
        <f>_xlfn.TEXTJOIN("/",TRUE,"MSV-163MS-"&amp;LD_01[[#This Row],[TRECHO]],_xlfn.XLOOKUP(LD_01[[#This Row],[SIGLA]],'CLASSES DE PROJETOS'!$C$3:$C$37,'CLASSES DE PROJETOS'!$E$3:$E$37))</f>
        <v>MSV-163MS-634-RET/33.TO</v>
      </c>
      <c r="I818" s="6" t="str" cm="1">
        <f t="array" ref="I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J818" s="6" t="str" cm="1">
        <f t="array" ref="J818">_xlfn.TEXTJOIN(", ",TRUE,_xlfn.UNIQUE(_xlfn._xlws.FILTER(ARQUIVOS_RECEBIDOS!$F$2:$F$5010,ARQUIVOS_RECEBIDOS!$E$2:$E$5010=LD_01[[#This Row],[DOCUMENTO]])))</f>
        <v>R00</v>
      </c>
      <c r="K818" s="12" cm="1">
        <f t="array" ref="K818">_xlfn.UNIQUE(_xlfn._xlws.FILTER(ARQUIVOS[DATA RECEBIMENTO],(ARQUIVOS[DOCUMENTO]=LD_01[[#This Row],[DOCUMENTO]])*(ARQUIVOS[REVISÃO]=LD_01[[#This Row],[REVISÃO]])))</f>
        <v>45838</v>
      </c>
      <c r="L8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M818" s="6" t="str">
        <f>LD_01[[#This Row],[PASTA]]&amp;"/"&amp;LD_01[[#This Row],[ARQUIVO]]</f>
        <v>MSV-163MS-634-RET/33.TO/MSV-163MS-634+900-RET-EXE-DE-C1-001-R00.pdf</v>
      </c>
    </row>
    <row r="819" spans="1:13" hidden="1" x14ac:dyDescent="0.3">
      <c r="A819" s="6" t="s">
        <v>3603</v>
      </c>
      <c r="B819" s="6" t="str">
        <f>VLOOKUP(LD_01[[#This Row],[DOCUMENTO]],_xlfn.SORTBY(ARQUIVOS_RECEBIDOS!$E$2:$F$5010,ARQUIVOS_RECEBIDOS!$F$2:$F$5010,-1),2,)</f>
        <v>R00</v>
      </c>
      <c r="C819" s="15" t="s">
        <v>5987</v>
      </c>
      <c r="D819" s="6" t="s">
        <v>4319</v>
      </c>
      <c r="E819" s="8" t="s">
        <v>4242</v>
      </c>
      <c r="F819" s="8" t="s">
        <v>4163</v>
      </c>
      <c r="G819" s="6" t="str">
        <f>_xlfn.XLOOKUP(LD_01[[#This Row],[DISCIPLINA]],'CLASSES DE PROJETOS'!$F$3:$F$37,'CLASSES DE PROJETOS'!$C$3:$C$37)</f>
        <v>TO</v>
      </c>
      <c r="H819" t="str">
        <f>_xlfn.TEXTJOIN("/",TRUE,"MSV-163MS-"&amp;LD_01[[#This Row],[TRECHO]],_xlfn.XLOOKUP(LD_01[[#This Row],[SIGLA]],'CLASSES DE PROJETOS'!$C$3:$C$37,'CLASSES DE PROJETOS'!$E$3:$E$37))</f>
        <v>MSV-163MS-634-RET/33.TO</v>
      </c>
      <c r="I819" s="6" t="str" cm="1">
        <f t="array" ref="I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J819" s="6" t="str" cm="1">
        <f t="array" ref="J819">_xlfn.TEXTJOIN(", ",TRUE,_xlfn.UNIQUE(_xlfn._xlws.FILTER(ARQUIVOS_RECEBIDOS!$F$2:$F$5010,ARQUIVOS_RECEBIDOS!$E$2:$E$5010=LD_01[[#This Row],[DOCUMENTO]])))</f>
        <v>R00</v>
      </c>
      <c r="K819" s="12" cm="1">
        <f t="array" ref="K819">_xlfn.UNIQUE(_xlfn._xlws.FILTER(ARQUIVOS[DATA RECEBIMENTO],(ARQUIVOS[DOCUMENTO]=LD_01[[#This Row],[DOCUMENTO]])*(ARQUIVOS[REVISÃO]=LD_01[[#This Row],[REVISÃO]])))</f>
        <v>45838</v>
      </c>
      <c r="L8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M819" s="6" t="str">
        <f>LD_01[[#This Row],[PASTA]]&amp;"/"&amp;LD_01[[#This Row],[ARQUIVO]]</f>
        <v>MSV-163MS-634-RET/33.TO/MSV-163MS-634+900-RET-EXE-DE-C1-002-R00.pdf</v>
      </c>
    </row>
    <row r="820" spans="1:13" ht="28.8" hidden="1" x14ac:dyDescent="0.3">
      <c r="A820" s="6" t="s">
        <v>3660</v>
      </c>
      <c r="B820" s="6" t="str">
        <f>VLOOKUP(LD_01[[#This Row],[DOCUMENTO]],_xlfn.SORTBY(ARQUIVOS_RECEBIDOS!$E$2:$F$5010,ARQUIVOS_RECEBIDOS!$F$2:$F$5010,-1),2,)</f>
        <v>R01</v>
      </c>
      <c r="C820" s="15" t="s">
        <v>5987</v>
      </c>
      <c r="D820" s="6" t="s">
        <v>4319</v>
      </c>
      <c r="E820" s="8" t="s">
        <v>4961</v>
      </c>
      <c r="F820" s="8" t="s">
        <v>4332</v>
      </c>
      <c r="G820" s="6" t="str">
        <f>_xlfn.XLOOKUP(LD_01[[#This Row],[DISCIPLINA]],'CLASSES DE PROJETOS'!$F$3:$F$37,'CLASSES DE PROJETOS'!$C$3:$C$37)</f>
        <v>GG</v>
      </c>
      <c r="H820" t="str">
        <f>_xlfn.TEXTJOIN("/",TRUE,"MSV-163MS-"&amp;LD_01[[#This Row],[TRECHO]],_xlfn.XLOOKUP(LD_01[[#This Row],[SIGLA]],'CLASSES DE PROJETOS'!$C$3:$C$37,'CLASSES DE PROJETOS'!$E$3:$E$37))</f>
        <v>MSV-163MS-634-RET/19.GG</v>
      </c>
      <c r="I820" s="6" t="str" cm="1">
        <f t="array" ref="I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J820" s="6" t="str" cm="1">
        <f t="array" ref="J820">_xlfn.TEXTJOIN(", ",TRUE,_xlfn.UNIQUE(_xlfn._xlws.FILTER(ARQUIVOS_RECEBIDOS!$F$2:$F$5010,ARQUIVOS_RECEBIDOS!$E$2:$E$5010=LD_01[[#This Row],[DOCUMENTO]])))</f>
        <v>R01</v>
      </c>
      <c r="K820" s="12" cm="1">
        <f t="array" ref="K820">_xlfn.UNIQUE(_xlfn._xlws.FILTER(ARQUIVOS[DATA RECEBIMENTO],(ARQUIVOS[DOCUMENTO]=LD_01[[#This Row],[DOCUMENTO]])*(ARQUIVOS[REVISÃO]=LD_01[[#This Row],[REVISÃO]])))</f>
        <v>45838</v>
      </c>
      <c r="L8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M820" s="6" t="str">
        <f>LD_01[[#This Row],[PASTA]]&amp;"/"&amp;LD_01[[#This Row],[ARQUIVO]]</f>
        <v>MSV-163MS-634-RET/19.GG/MSV-163MS-634+900-RET-EXE-DE-D3-001-R01.pdf</v>
      </c>
    </row>
    <row r="821" spans="1:13" ht="28.8" hidden="1" x14ac:dyDescent="0.3">
      <c r="A821" s="6" t="s">
        <v>3661</v>
      </c>
      <c r="B821" s="6" t="str">
        <f>VLOOKUP(LD_01[[#This Row],[DOCUMENTO]],_xlfn.SORTBY(ARQUIVOS_RECEBIDOS!$E$2:$F$5010,ARQUIVOS_RECEBIDOS!$F$2:$F$5010,-1),2,)</f>
        <v>R01</v>
      </c>
      <c r="C821" s="15" t="s">
        <v>5987</v>
      </c>
      <c r="D821" s="6" t="s">
        <v>4319</v>
      </c>
      <c r="E821" s="8" t="s">
        <v>4961</v>
      </c>
      <c r="F821" s="8" t="s">
        <v>4332</v>
      </c>
      <c r="G821" s="6" t="str">
        <f>_xlfn.XLOOKUP(LD_01[[#This Row],[DISCIPLINA]],'CLASSES DE PROJETOS'!$F$3:$F$37,'CLASSES DE PROJETOS'!$C$3:$C$37)</f>
        <v>GG</v>
      </c>
      <c r="H821" t="str">
        <f>_xlfn.TEXTJOIN("/",TRUE,"MSV-163MS-"&amp;LD_01[[#This Row],[TRECHO]],_xlfn.XLOOKUP(LD_01[[#This Row],[SIGLA]],'CLASSES DE PROJETOS'!$C$3:$C$37,'CLASSES DE PROJETOS'!$E$3:$E$37))</f>
        <v>MSV-163MS-634-RET/19.GG</v>
      </c>
      <c r="I821" s="6" t="str" cm="1">
        <f t="array" ref="I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J821" s="6" t="str" cm="1">
        <f t="array" ref="J821">_xlfn.TEXTJOIN(", ",TRUE,_xlfn.UNIQUE(_xlfn._xlws.FILTER(ARQUIVOS_RECEBIDOS!$F$2:$F$5010,ARQUIVOS_RECEBIDOS!$E$2:$E$5010=LD_01[[#This Row],[DOCUMENTO]])))</f>
        <v>R01</v>
      </c>
      <c r="K821" s="12" cm="1">
        <f t="array" ref="K821">_xlfn.UNIQUE(_xlfn._xlws.FILTER(ARQUIVOS[DATA RECEBIMENTO],(ARQUIVOS[DOCUMENTO]=LD_01[[#This Row],[DOCUMENTO]])*(ARQUIVOS[REVISÃO]=LD_01[[#This Row],[REVISÃO]])))</f>
        <v>45838</v>
      </c>
      <c r="L8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M821" s="6" t="str">
        <f>LD_01[[#This Row],[PASTA]]&amp;"/"&amp;LD_01[[#This Row],[ARQUIVO]]</f>
        <v>MSV-163MS-634-RET/19.GG/MSV-163MS-634+900-RET-EXE-DE-D3-002-R01.pdf</v>
      </c>
    </row>
    <row r="822" spans="1:13" ht="28.8" hidden="1" x14ac:dyDescent="0.3">
      <c r="A822" s="6" t="s">
        <v>3662</v>
      </c>
      <c r="B822" s="6" t="str">
        <f>VLOOKUP(LD_01[[#This Row],[DOCUMENTO]],_xlfn.SORTBY(ARQUIVOS_RECEBIDOS!$E$2:$F$5010,ARQUIVOS_RECEBIDOS!$F$2:$F$5010,-1),2,)</f>
        <v>R01</v>
      </c>
      <c r="C822" s="15" t="s">
        <v>5987</v>
      </c>
      <c r="D822" s="6" t="s">
        <v>4319</v>
      </c>
      <c r="E822" s="8" t="s">
        <v>4961</v>
      </c>
      <c r="F822" s="8" t="s">
        <v>4332</v>
      </c>
      <c r="G822" s="6" t="str">
        <f>_xlfn.XLOOKUP(LD_01[[#This Row],[DISCIPLINA]],'CLASSES DE PROJETOS'!$F$3:$F$37,'CLASSES DE PROJETOS'!$C$3:$C$37)</f>
        <v>GG</v>
      </c>
      <c r="H822" t="str">
        <f>_xlfn.TEXTJOIN("/",TRUE,"MSV-163MS-"&amp;LD_01[[#This Row],[TRECHO]],_xlfn.XLOOKUP(LD_01[[#This Row],[SIGLA]],'CLASSES DE PROJETOS'!$C$3:$C$37,'CLASSES DE PROJETOS'!$E$3:$E$37))</f>
        <v>MSV-163MS-634-RET/19.GG</v>
      </c>
      <c r="I822" s="6" t="str" cm="1">
        <f t="array" ref="I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J822" s="6" t="str" cm="1">
        <f t="array" ref="J822">_xlfn.TEXTJOIN(", ",TRUE,_xlfn.UNIQUE(_xlfn._xlws.FILTER(ARQUIVOS_RECEBIDOS!$F$2:$F$5010,ARQUIVOS_RECEBIDOS!$E$2:$E$5010=LD_01[[#This Row],[DOCUMENTO]])))</f>
        <v>R01</v>
      </c>
      <c r="K822" s="12" cm="1">
        <f t="array" ref="K822">_xlfn.UNIQUE(_xlfn._xlws.FILTER(ARQUIVOS[DATA RECEBIMENTO],(ARQUIVOS[DOCUMENTO]=LD_01[[#This Row],[DOCUMENTO]])*(ARQUIVOS[REVISÃO]=LD_01[[#This Row],[REVISÃO]])))</f>
        <v>45838</v>
      </c>
      <c r="L8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M822" s="6" t="str">
        <f>LD_01[[#This Row],[PASTA]]&amp;"/"&amp;LD_01[[#This Row],[ARQUIVO]]</f>
        <v>MSV-163MS-634-RET/19.GG/MSV-163MS-634+900-RET-EXE-DE-D3-003-R01.pdf</v>
      </c>
    </row>
    <row r="823" spans="1:13" hidden="1" x14ac:dyDescent="0.3">
      <c r="A823" s="6" t="s">
        <v>3605</v>
      </c>
      <c r="B823" s="6" t="str">
        <f>VLOOKUP(LD_01[[#This Row],[DOCUMENTO]],_xlfn.SORTBY(ARQUIVOS_RECEBIDOS!$E$2:$F$5010,ARQUIVOS_RECEBIDOS!$F$2:$F$5010,-1),2,)</f>
        <v>R03</v>
      </c>
      <c r="C823" s="15" t="s">
        <v>5987</v>
      </c>
      <c r="D823" s="6" t="s">
        <v>4319</v>
      </c>
      <c r="E823" s="8" t="s">
        <v>4964</v>
      </c>
      <c r="F823" s="8" t="s">
        <v>4141</v>
      </c>
      <c r="G823" s="6" t="str">
        <f>_xlfn.XLOOKUP(LD_01[[#This Row],[DISCIPLINA]],'CLASSES DE PROJETOS'!$F$3:$F$37,'CLASSES DE PROJETOS'!$C$3:$C$37)</f>
        <v>GE</v>
      </c>
      <c r="H823" t="str">
        <f>_xlfn.TEXTJOIN("/",TRUE,"MSV-163MS-"&amp;LD_01[[#This Row],[TRECHO]],_xlfn.XLOOKUP(LD_01[[#This Row],[SIGLA]],'CLASSES DE PROJETOS'!$C$3:$C$37,'CLASSES DE PROJETOS'!$E$3:$E$37))</f>
        <v>MSV-163MS-634-RET/18.GE</v>
      </c>
      <c r="I823" s="6" t="str" cm="1">
        <f t="array" ref="I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J823" s="6" t="str" cm="1">
        <f t="array" ref="J823">_xlfn.TEXTJOIN(", ",TRUE,_xlfn.UNIQUE(_xlfn._xlws.FILTER(ARQUIVOS_RECEBIDOS!$F$2:$F$5010,ARQUIVOS_RECEBIDOS!$E$2:$E$5010=LD_01[[#This Row],[DOCUMENTO]])))</f>
        <v>R02, R03</v>
      </c>
      <c r="K823" s="12" cm="1">
        <f t="array" ref="K823">_xlfn.UNIQUE(_xlfn._xlws.FILTER(ARQUIVOS[DATA RECEBIMENTO],(ARQUIVOS[DOCUMENTO]=LD_01[[#This Row],[DOCUMENTO]])*(ARQUIVOS[REVISÃO]=LD_01[[#This Row],[REVISÃO]])))</f>
        <v>45859</v>
      </c>
      <c r="L8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M823" s="6" t="str">
        <f>LD_01[[#This Row],[PASTA]]&amp;"/"&amp;LD_01[[#This Row],[ARQUIVO]]</f>
        <v>MSV-163MS-634-RET/18.GE/MSV-163MS-634+900-RET-EXE-DE-F1-001-R03.pdf</v>
      </c>
    </row>
    <row r="824" spans="1:13" hidden="1" x14ac:dyDescent="0.3">
      <c r="A824" s="6" t="s">
        <v>3606</v>
      </c>
      <c r="B824" s="6" t="str">
        <f>VLOOKUP(LD_01[[#This Row],[DOCUMENTO]],_xlfn.SORTBY(ARQUIVOS_RECEBIDOS!$E$2:$F$5010,ARQUIVOS_RECEBIDOS!$F$2:$F$5010,-1),2,)</f>
        <v>R04</v>
      </c>
      <c r="C824" s="15" t="s">
        <v>5987</v>
      </c>
      <c r="D824" s="6" t="s">
        <v>4319</v>
      </c>
      <c r="E824" s="8" t="s">
        <v>4965</v>
      </c>
      <c r="F824" s="8" t="s">
        <v>4141</v>
      </c>
      <c r="G824" s="6" t="str">
        <f>_xlfn.XLOOKUP(LD_01[[#This Row],[DISCIPLINA]],'CLASSES DE PROJETOS'!$F$3:$F$37,'CLASSES DE PROJETOS'!$C$3:$C$37)</f>
        <v>GE</v>
      </c>
      <c r="H824" t="str">
        <f>_xlfn.TEXTJOIN("/",TRUE,"MSV-163MS-"&amp;LD_01[[#This Row],[TRECHO]],_xlfn.XLOOKUP(LD_01[[#This Row],[SIGLA]],'CLASSES DE PROJETOS'!$C$3:$C$37,'CLASSES DE PROJETOS'!$E$3:$E$37))</f>
        <v>MSV-163MS-634-RET/18.GE</v>
      </c>
      <c r="I824" s="6" t="str" cm="1">
        <f t="array" ref="I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J824" s="6" t="str" cm="1">
        <f t="array" ref="J824">_xlfn.TEXTJOIN(", ",TRUE,_xlfn.UNIQUE(_xlfn._xlws.FILTER(ARQUIVOS_RECEBIDOS!$F$2:$F$5010,ARQUIVOS_RECEBIDOS!$E$2:$E$5010=LD_01[[#This Row],[DOCUMENTO]])))</f>
        <v>R02, R04</v>
      </c>
      <c r="K824" s="12" cm="1">
        <f t="array" ref="K824">_xlfn.UNIQUE(_xlfn._xlws.FILTER(ARQUIVOS[DATA RECEBIMENTO],(ARQUIVOS[DOCUMENTO]=LD_01[[#This Row],[DOCUMENTO]])*(ARQUIVOS[REVISÃO]=LD_01[[#This Row],[REVISÃO]])))</f>
        <v>45859</v>
      </c>
      <c r="L8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M824" s="6" t="str">
        <f>LD_01[[#This Row],[PASTA]]&amp;"/"&amp;LD_01[[#This Row],[ARQUIVO]]</f>
        <v>MSV-163MS-634-RET/18.GE/MSV-163MS-634+900-RET-EXE-DE-F1-002-R04.pdf</v>
      </c>
    </row>
    <row r="825" spans="1:13" hidden="1" x14ac:dyDescent="0.3">
      <c r="A825" s="6" t="s">
        <v>3607</v>
      </c>
      <c r="B825" s="6" t="str">
        <f>VLOOKUP(LD_01[[#This Row],[DOCUMENTO]],_xlfn.SORTBY(ARQUIVOS_RECEBIDOS!$E$2:$F$5010,ARQUIVOS_RECEBIDOS!$F$2:$F$5010,-1),2,)</f>
        <v>R04</v>
      </c>
      <c r="C825" s="15" t="s">
        <v>5987</v>
      </c>
      <c r="D825" s="6" t="s">
        <v>4319</v>
      </c>
      <c r="E825" s="8" t="s">
        <v>4966</v>
      </c>
      <c r="F825" s="8" t="s">
        <v>4141</v>
      </c>
      <c r="G825" s="6" t="str">
        <f>_xlfn.XLOOKUP(LD_01[[#This Row],[DISCIPLINA]],'CLASSES DE PROJETOS'!$F$3:$F$37,'CLASSES DE PROJETOS'!$C$3:$C$37)</f>
        <v>GE</v>
      </c>
      <c r="H825" t="str">
        <f>_xlfn.TEXTJOIN("/",TRUE,"MSV-163MS-"&amp;LD_01[[#This Row],[TRECHO]],_xlfn.XLOOKUP(LD_01[[#This Row],[SIGLA]],'CLASSES DE PROJETOS'!$C$3:$C$37,'CLASSES DE PROJETOS'!$E$3:$E$37))</f>
        <v>MSV-163MS-634-RET/18.GE</v>
      </c>
      <c r="I825" s="6" t="str" cm="1">
        <f t="array" ref="I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J825" s="6" t="str" cm="1">
        <f t="array" ref="J825">_xlfn.TEXTJOIN(", ",TRUE,_xlfn.UNIQUE(_xlfn._xlws.FILTER(ARQUIVOS_RECEBIDOS!$F$2:$F$5010,ARQUIVOS_RECEBIDOS!$E$2:$E$5010=LD_01[[#This Row],[DOCUMENTO]])))</f>
        <v>R02, R04</v>
      </c>
      <c r="K825" s="12" cm="1">
        <f t="array" ref="K825">_xlfn.UNIQUE(_xlfn._xlws.FILTER(ARQUIVOS[DATA RECEBIMENTO],(ARQUIVOS[DOCUMENTO]=LD_01[[#This Row],[DOCUMENTO]])*(ARQUIVOS[REVISÃO]=LD_01[[#This Row],[REVISÃO]])))</f>
        <v>45859</v>
      </c>
      <c r="L8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M825" s="6" t="str">
        <f>LD_01[[#This Row],[PASTA]]&amp;"/"&amp;LD_01[[#This Row],[ARQUIVO]]</f>
        <v>MSV-163MS-634-RET/18.GE/MSV-163MS-634+900-RET-EXE-DE-F1-003-R04.pdf</v>
      </c>
    </row>
    <row r="826" spans="1:13" hidden="1" x14ac:dyDescent="0.3">
      <c r="A826" s="6" t="s">
        <v>3608</v>
      </c>
      <c r="B826" s="6" t="str">
        <f>VLOOKUP(LD_01[[#This Row],[DOCUMENTO]],_xlfn.SORTBY(ARQUIVOS_RECEBIDOS!$E$2:$F$5010,ARQUIVOS_RECEBIDOS!$F$2:$F$5010,-1),2,)</f>
        <v>R03</v>
      </c>
      <c r="C826" s="15" t="s">
        <v>5987</v>
      </c>
      <c r="D826" s="6" t="s">
        <v>4319</v>
      </c>
      <c r="E826" s="8" t="s">
        <v>4966</v>
      </c>
      <c r="F826" s="8" t="s">
        <v>4141</v>
      </c>
      <c r="G826" s="6" t="str">
        <f>_xlfn.XLOOKUP(LD_01[[#This Row],[DISCIPLINA]],'CLASSES DE PROJETOS'!$F$3:$F$37,'CLASSES DE PROJETOS'!$C$3:$C$37)</f>
        <v>GE</v>
      </c>
      <c r="H826" t="str">
        <f>_xlfn.TEXTJOIN("/",TRUE,"MSV-163MS-"&amp;LD_01[[#This Row],[TRECHO]],_xlfn.XLOOKUP(LD_01[[#This Row],[SIGLA]],'CLASSES DE PROJETOS'!$C$3:$C$37,'CLASSES DE PROJETOS'!$E$3:$E$37))</f>
        <v>MSV-163MS-634-RET/18.GE</v>
      </c>
      <c r="I826" s="6" t="str" cm="1">
        <f t="array" ref="I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J826" s="6" t="str" cm="1">
        <f t="array" ref="J826">_xlfn.TEXTJOIN(", ",TRUE,_xlfn.UNIQUE(_xlfn._xlws.FILTER(ARQUIVOS_RECEBIDOS!$F$2:$F$5010,ARQUIVOS_RECEBIDOS!$E$2:$E$5010=LD_01[[#This Row],[DOCUMENTO]])))</f>
        <v>R02, R03</v>
      </c>
      <c r="K826" s="12" cm="1">
        <f t="array" ref="K826">_xlfn.UNIQUE(_xlfn._xlws.FILTER(ARQUIVOS[DATA RECEBIMENTO],(ARQUIVOS[DOCUMENTO]=LD_01[[#This Row],[DOCUMENTO]])*(ARQUIVOS[REVISÃO]=LD_01[[#This Row],[REVISÃO]])))</f>
        <v>45859</v>
      </c>
      <c r="L8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M826" s="6" t="str">
        <f>LD_01[[#This Row],[PASTA]]&amp;"/"&amp;LD_01[[#This Row],[ARQUIVO]]</f>
        <v>MSV-163MS-634-RET/18.GE/MSV-163MS-634+900-RET-EXE-DE-F1-004-R03.pdf</v>
      </c>
    </row>
    <row r="827" spans="1:13" hidden="1" x14ac:dyDescent="0.3">
      <c r="A827" s="6" t="s">
        <v>3609</v>
      </c>
      <c r="B827" s="6" t="str">
        <f>VLOOKUP(LD_01[[#This Row],[DOCUMENTO]],_xlfn.SORTBY(ARQUIVOS_RECEBIDOS!$E$2:$F$5010,ARQUIVOS_RECEBIDOS!$F$2:$F$5010,-1),2,)</f>
        <v>R03</v>
      </c>
      <c r="C827" s="15" t="s">
        <v>5987</v>
      </c>
      <c r="D827" s="6" t="s">
        <v>4319</v>
      </c>
      <c r="E827" s="8" t="s">
        <v>4966</v>
      </c>
      <c r="F827" s="8" t="s">
        <v>4141</v>
      </c>
      <c r="G827" s="6" t="str">
        <f>_xlfn.XLOOKUP(LD_01[[#This Row],[DISCIPLINA]],'CLASSES DE PROJETOS'!$F$3:$F$37,'CLASSES DE PROJETOS'!$C$3:$C$37)</f>
        <v>GE</v>
      </c>
      <c r="H827" t="str">
        <f>_xlfn.TEXTJOIN("/",TRUE,"MSV-163MS-"&amp;LD_01[[#This Row],[TRECHO]],_xlfn.XLOOKUP(LD_01[[#This Row],[SIGLA]],'CLASSES DE PROJETOS'!$C$3:$C$37,'CLASSES DE PROJETOS'!$E$3:$E$37))</f>
        <v>MSV-163MS-634-RET/18.GE</v>
      </c>
      <c r="I827" s="6" t="str" cm="1">
        <f t="array" ref="I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J827" s="6" t="str" cm="1">
        <f t="array" ref="J827">_xlfn.TEXTJOIN(", ",TRUE,_xlfn.UNIQUE(_xlfn._xlws.FILTER(ARQUIVOS_RECEBIDOS!$F$2:$F$5010,ARQUIVOS_RECEBIDOS!$E$2:$E$5010=LD_01[[#This Row],[DOCUMENTO]])))</f>
        <v>R02, R03</v>
      </c>
      <c r="K827" s="12" cm="1">
        <f t="array" ref="K827">_xlfn.UNIQUE(_xlfn._xlws.FILTER(ARQUIVOS[DATA RECEBIMENTO],(ARQUIVOS[DOCUMENTO]=LD_01[[#This Row],[DOCUMENTO]])*(ARQUIVOS[REVISÃO]=LD_01[[#This Row],[REVISÃO]])))</f>
        <v>45859</v>
      </c>
      <c r="L8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M827" s="6" t="str">
        <f>LD_01[[#This Row],[PASTA]]&amp;"/"&amp;LD_01[[#This Row],[ARQUIVO]]</f>
        <v>MSV-163MS-634-RET/18.GE/MSV-163MS-634+900-RET-EXE-DE-F1-005-R03.pdf</v>
      </c>
    </row>
    <row r="828" spans="1:13" hidden="1" x14ac:dyDescent="0.3">
      <c r="A828" s="6" t="s">
        <v>3610</v>
      </c>
      <c r="B828" s="6" t="str">
        <f>VLOOKUP(LD_01[[#This Row],[DOCUMENTO]],_xlfn.SORTBY(ARQUIVOS_RECEBIDOS!$E$2:$F$5010,ARQUIVOS_RECEBIDOS!$F$2:$F$5010,-1),2,)</f>
        <v>R03</v>
      </c>
      <c r="C828" s="15" t="s">
        <v>5987</v>
      </c>
      <c r="D828" s="6" t="s">
        <v>4319</v>
      </c>
      <c r="E828" s="8" t="s">
        <v>4967</v>
      </c>
      <c r="F828" s="8" t="s">
        <v>4141</v>
      </c>
      <c r="G828" s="6" t="str">
        <f>_xlfn.XLOOKUP(LD_01[[#This Row],[DISCIPLINA]],'CLASSES DE PROJETOS'!$F$3:$F$37,'CLASSES DE PROJETOS'!$C$3:$C$37)</f>
        <v>GE</v>
      </c>
      <c r="H828" t="str">
        <f>_xlfn.TEXTJOIN("/",TRUE,"MSV-163MS-"&amp;LD_01[[#This Row],[TRECHO]],_xlfn.XLOOKUP(LD_01[[#This Row],[SIGLA]],'CLASSES DE PROJETOS'!$C$3:$C$37,'CLASSES DE PROJETOS'!$E$3:$E$37))</f>
        <v>MSV-163MS-634-RET/18.GE</v>
      </c>
      <c r="I828" s="6" t="str" cm="1">
        <f t="array" ref="I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J828" s="6" t="str" cm="1">
        <f t="array" ref="J828">_xlfn.TEXTJOIN(", ",TRUE,_xlfn.UNIQUE(_xlfn._xlws.FILTER(ARQUIVOS_RECEBIDOS!$F$2:$F$5010,ARQUIVOS_RECEBIDOS!$E$2:$E$5010=LD_01[[#This Row],[DOCUMENTO]])))</f>
        <v>R02, R03</v>
      </c>
      <c r="K828" s="12" cm="1">
        <f t="array" ref="K828">_xlfn.UNIQUE(_xlfn._xlws.FILTER(ARQUIVOS[DATA RECEBIMENTO],(ARQUIVOS[DOCUMENTO]=LD_01[[#This Row],[DOCUMENTO]])*(ARQUIVOS[REVISÃO]=LD_01[[#This Row],[REVISÃO]])))</f>
        <v>45859</v>
      </c>
      <c r="L8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M828" s="6" t="str">
        <f>LD_01[[#This Row],[PASTA]]&amp;"/"&amp;LD_01[[#This Row],[ARQUIVO]]</f>
        <v>MSV-163MS-634-RET/18.GE/MSV-163MS-634+900-RET-EXE-DE-F1-006-R03.pdf</v>
      </c>
    </row>
    <row r="829" spans="1:13" ht="28.8" hidden="1" x14ac:dyDescent="0.3">
      <c r="A829" s="6" t="s">
        <v>3611</v>
      </c>
      <c r="B829" s="6" t="str">
        <f>VLOOKUP(LD_01[[#This Row],[DOCUMENTO]],_xlfn.SORTBY(ARQUIVOS_RECEBIDOS!$E$2:$F$5010,ARQUIVOS_RECEBIDOS!$F$2:$F$5010,-1),2,)</f>
        <v>R03</v>
      </c>
      <c r="C829" s="15" t="s">
        <v>5987</v>
      </c>
      <c r="D829" s="6" t="s">
        <v>4319</v>
      </c>
      <c r="E829" s="8" t="s">
        <v>4968</v>
      </c>
      <c r="F829" s="8" t="s">
        <v>4141</v>
      </c>
      <c r="G829" s="6" t="str">
        <f>_xlfn.XLOOKUP(LD_01[[#This Row],[DISCIPLINA]],'CLASSES DE PROJETOS'!$F$3:$F$37,'CLASSES DE PROJETOS'!$C$3:$C$37)</f>
        <v>GE</v>
      </c>
      <c r="H829" t="str">
        <f>_xlfn.TEXTJOIN("/",TRUE,"MSV-163MS-"&amp;LD_01[[#This Row],[TRECHO]],_xlfn.XLOOKUP(LD_01[[#This Row],[SIGLA]],'CLASSES DE PROJETOS'!$C$3:$C$37,'CLASSES DE PROJETOS'!$E$3:$E$37))</f>
        <v>MSV-163MS-634-RET/18.GE</v>
      </c>
      <c r="I829" s="6" t="str" cm="1">
        <f t="array" ref="I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J829" s="6" t="str" cm="1">
        <f t="array" ref="J829">_xlfn.TEXTJOIN(", ",TRUE,_xlfn.UNIQUE(_xlfn._xlws.FILTER(ARQUIVOS_RECEBIDOS!$F$2:$F$5010,ARQUIVOS_RECEBIDOS!$E$2:$E$5010=LD_01[[#This Row],[DOCUMENTO]])))</f>
        <v>R02, R03</v>
      </c>
      <c r="K829" s="12" cm="1">
        <f t="array" ref="K829">_xlfn.UNIQUE(_xlfn._xlws.FILTER(ARQUIVOS[DATA RECEBIMENTO],(ARQUIVOS[DOCUMENTO]=LD_01[[#This Row],[DOCUMENTO]])*(ARQUIVOS[REVISÃO]=LD_01[[#This Row],[REVISÃO]])))</f>
        <v>45859</v>
      </c>
      <c r="L8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M829" s="6" t="str">
        <f>LD_01[[#This Row],[PASTA]]&amp;"/"&amp;LD_01[[#This Row],[ARQUIVO]]</f>
        <v>MSV-163MS-634-RET/18.GE/MSV-163MS-634+900-RET-EXE-DE-F1-007-R03.pdf</v>
      </c>
    </row>
    <row r="830" spans="1:13" ht="28.8" hidden="1" x14ac:dyDescent="0.3">
      <c r="A830" s="6" t="s">
        <v>3613</v>
      </c>
      <c r="B830" s="6" t="str">
        <f>VLOOKUP(LD_01[[#This Row],[DOCUMENTO]],_xlfn.SORTBY(ARQUIVOS_RECEBIDOS!$E$2:$F$5010,ARQUIVOS_RECEBIDOS!$F$2:$F$5010,-1),2,)</f>
        <v>R01</v>
      </c>
      <c r="C830" s="15" t="s">
        <v>5987</v>
      </c>
      <c r="D830" s="6" t="s">
        <v>4319</v>
      </c>
      <c r="E830" s="8" t="s">
        <v>4969</v>
      </c>
      <c r="F830" s="8" t="s">
        <v>4330</v>
      </c>
      <c r="G830" s="6" t="str">
        <f>_xlfn.XLOOKUP(LD_01[[#This Row],[DISCIPLINA]],'CLASSES DE PROJETOS'!$F$3:$F$37,'CLASSES DE PROJETOS'!$C$3:$C$37)</f>
        <v>TE</v>
      </c>
      <c r="H830" t="str">
        <f>_xlfn.TEXTJOIN("/",TRUE,"MSV-163MS-"&amp;LD_01[[#This Row],[TRECHO]],_xlfn.XLOOKUP(LD_01[[#This Row],[SIGLA]],'CLASSES DE PROJETOS'!$C$3:$C$37,'CLASSES DE PROJETOS'!$E$3:$E$37))</f>
        <v>MSV-163MS-634-RET/32.TE</v>
      </c>
      <c r="I830" s="6" t="str" cm="1">
        <f t="array" ref="I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J830" s="6" t="str" cm="1">
        <f t="array" ref="J830">_xlfn.TEXTJOIN(", ",TRUE,_xlfn.UNIQUE(_xlfn._xlws.FILTER(ARQUIVOS_RECEBIDOS!$F$2:$F$5010,ARQUIVOS_RECEBIDOS!$E$2:$E$5010=LD_01[[#This Row],[DOCUMENTO]])))</f>
        <v>R00, R01</v>
      </c>
      <c r="K830" s="12" cm="1">
        <f t="array" ref="K830">_xlfn.UNIQUE(_xlfn._xlws.FILTER(ARQUIVOS[DATA RECEBIMENTO],(ARQUIVOS[DOCUMENTO]=LD_01[[#This Row],[DOCUMENTO]])*(ARQUIVOS[REVISÃO]=LD_01[[#This Row],[REVISÃO]])))</f>
        <v>45859</v>
      </c>
      <c r="L8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M830" s="6" t="str">
        <f>LD_01[[#This Row],[PASTA]]&amp;"/"&amp;LD_01[[#This Row],[ARQUIVO]]</f>
        <v>MSV-163MS-634-RET/32.TE/MSV-163MS-634+900-RET-EXE-DE-G1-001-R01.pdf</v>
      </c>
    </row>
    <row r="831" spans="1:13" ht="28.8" hidden="1" x14ac:dyDescent="0.3">
      <c r="A831" s="6" t="s">
        <v>3614</v>
      </c>
      <c r="B831" s="6" t="str">
        <f>VLOOKUP(LD_01[[#This Row],[DOCUMENTO]],_xlfn.SORTBY(ARQUIVOS_RECEBIDOS!$E$2:$F$5010,ARQUIVOS_RECEBIDOS!$F$2:$F$5010,-1),2,)</f>
        <v>R01</v>
      </c>
      <c r="C831" s="15" t="s">
        <v>5987</v>
      </c>
      <c r="D831" s="6" t="s">
        <v>4319</v>
      </c>
      <c r="E831" s="8" t="s">
        <v>4969</v>
      </c>
      <c r="F831" s="8" t="s">
        <v>4330</v>
      </c>
      <c r="G831" s="6" t="str">
        <f>_xlfn.XLOOKUP(LD_01[[#This Row],[DISCIPLINA]],'CLASSES DE PROJETOS'!$F$3:$F$37,'CLASSES DE PROJETOS'!$C$3:$C$37)</f>
        <v>TE</v>
      </c>
      <c r="H831" t="str">
        <f>_xlfn.TEXTJOIN("/",TRUE,"MSV-163MS-"&amp;LD_01[[#This Row],[TRECHO]],_xlfn.XLOOKUP(LD_01[[#This Row],[SIGLA]],'CLASSES DE PROJETOS'!$C$3:$C$37,'CLASSES DE PROJETOS'!$E$3:$E$37))</f>
        <v>MSV-163MS-634-RET/32.TE</v>
      </c>
      <c r="I831" s="6" t="str" cm="1">
        <f t="array" ref="I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J831" s="6" t="str" cm="1">
        <f t="array" ref="J831">_xlfn.TEXTJOIN(", ",TRUE,_xlfn.UNIQUE(_xlfn._xlws.FILTER(ARQUIVOS_RECEBIDOS!$F$2:$F$5010,ARQUIVOS_RECEBIDOS!$E$2:$E$5010=LD_01[[#This Row],[DOCUMENTO]])))</f>
        <v>R00, R01</v>
      </c>
      <c r="K831" s="12" cm="1">
        <f t="array" ref="K831">_xlfn.UNIQUE(_xlfn._xlws.FILTER(ARQUIVOS[DATA RECEBIMENTO],(ARQUIVOS[DOCUMENTO]=LD_01[[#This Row],[DOCUMENTO]])*(ARQUIVOS[REVISÃO]=LD_01[[#This Row],[REVISÃO]])))</f>
        <v>45859</v>
      </c>
      <c r="L8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M831" s="6" t="str">
        <f>LD_01[[#This Row],[PASTA]]&amp;"/"&amp;LD_01[[#This Row],[ARQUIVO]]</f>
        <v>MSV-163MS-634-RET/32.TE/MSV-163MS-634+900-RET-EXE-DE-G1-002-R01.pdf</v>
      </c>
    </row>
    <row r="832" spans="1:13" ht="28.8" hidden="1" x14ac:dyDescent="0.3">
      <c r="A832" s="6" t="s">
        <v>3615</v>
      </c>
      <c r="B832" s="6" t="str">
        <f>VLOOKUP(LD_01[[#This Row],[DOCUMENTO]],_xlfn.SORTBY(ARQUIVOS_RECEBIDOS!$E$2:$F$5010,ARQUIVOS_RECEBIDOS!$F$2:$F$5010,-1),2,)</f>
        <v>R01</v>
      </c>
      <c r="C832" s="15" t="s">
        <v>5987</v>
      </c>
      <c r="D832" s="6" t="s">
        <v>4319</v>
      </c>
      <c r="E832" s="8" t="s">
        <v>4969</v>
      </c>
      <c r="F832" s="8" t="s">
        <v>4330</v>
      </c>
      <c r="G832" s="6" t="str">
        <f>_xlfn.XLOOKUP(LD_01[[#This Row],[DISCIPLINA]],'CLASSES DE PROJETOS'!$F$3:$F$37,'CLASSES DE PROJETOS'!$C$3:$C$37)</f>
        <v>TE</v>
      </c>
      <c r="H832" t="str">
        <f>_xlfn.TEXTJOIN("/",TRUE,"MSV-163MS-"&amp;LD_01[[#This Row],[TRECHO]],_xlfn.XLOOKUP(LD_01[[#This Row],[SIGLA]],'CLASSES DE PROJETOS'!$C$3:$C$37,'CLASSES DE PROJETOS'!$E$3:$E$37))</f>
        <v>MSV-163MS-634-RET/32.TE</v>
      </c>
      <c r="I832" s="6" t="str" cm="1">
        <f t="array" ref="I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J832" s="6" t="str" cm="1">
        <f t="array" ref="J832">_xlfn.TEXTJOIN(", ",TRUE,_xlfn.UNIQUE(_xlfn._xlws.FILTER(ARQUIVOS_RECEBIDOS!$F$2:$F$5010,ARQUIVOS_RECEBIDOS!$E$2:$E$5010=LD_01[[#This Row],[DOCUMENTO]])))</f>
        <v>R00, R01</v>
      </c>
      <c r="K832" s="12" cm="1">
        <f t="array" ref="K832">_xlfn.UNIQUE(_xlfn._xlws.FILTER(ARQUIVOS[DATA RECEBIMENTO],(ARQUIVOS[DOCUMENTO]=LD_01[[#This Row],[DOCUMENTO]])*(ARQUIVOS[REVISÃO]=LD_01[[#This Row],[REVISÃO]])))</f>
        <v>45859</v>
      </c>
      <c r="L8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M832" s="6" t="str">
        <f>LD_01[[#This Row],[PASTA]]&amp;"/"&amp;LD_01[[#This Row],[ARQUIVO]]</f>
        <v>MSV-163MS-634-RET/32.TE/MSV-163MS-634+900-RET-EXE-DE-G1-003-R01.pdf</v>
      </c>
    </row>
    <row r="833" spans="1:13" ht="28.8" hidden="1" x14ac:dyDescent="0.3">
      <c r="A833" s="6" t="s">
        <v>3616</v>
      </c>
      <c r="B833" s="6" t="str">
        <f>VLOOKUP(LD_01[[#This Row],[DOCUMENTO]],_xlfn.SORTBY(ARQUIVOS_RECEBIDOS!$E$2:$F$5010,ARQUIVOS_RECEBIDOS!$F$2:$F$5010,-1),2,)</f>
        <v>R02</v>
      </c>
      <c r="C833" s="15" t="s">
        <v>5987</v>
      </c>
      <c r="D833" s="6" t="s">
        <v>4319</v>
      </c>
      <c r="E833" s="8" t="s">
        <v>4970</v>
      </c>
      <c r="F833" s="8" t="s">
        <v>4330</v>
      </c>
      <c r="G833" s="6" t="str">
        <f>_xlfn.XLOOKUP(LD_01[[#This Row],[DISCIPLINA]],'CLASSES DE PROJETOS'!$F$3:$F$37,'CLASSES DE PROJETOS'!$C$3:$C$37)</f>
        <v>TE</v>
      </c>
      <c r="H833" t="str">
        <f>_xlfn.TEXTJOIN("/",TRUE,"MSV-163MS-"&amp;LD_01[[#This Row],[TRECHO]],_xlfn.XLOOKUP(LD_01[[#This Row],[SIGLA]],'CLASSES DE PROJETOS'!$C$3:$C$37,'CLASSES DE PROJETOS'!$E$3:$E$37))</f>
        <v>MSV-163MS-634-RET/32.TE</v>
      </c>
      <c r="I833" s="6" t="str" cm="1">
        <f t="array" ref="I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J833" s="6" t="str" cm="1">
        <f t="array" ref="J833">_xlfn.TEXTJOIN(", ",TRUE,_xlfn.UNIQUE(_xlfn._xlws.FILTER(ARQUIVOS_RECEBIDOS!$F$2:$F$5010,ARQUIVOS_RECEBIDOS!$E$2:$E$5010=LD_01[[#This Row],[DOCUMENTO]])))</f>
        <v>R01, R02</v>
      </c>
      <c r="K833" s="12" cm="1">
        <f t="array" ref="K833">_xlfn.UNIQUE(_xlfn._xlws.FILTER(ARQUIVOS[DATA RECEBIMENTO],(ARQUIVOS[DOCUMENTO]=LD_01[[#This Row],[DOCUMENTO]])*(ARQUIVOS[REVISÃO]=LD_01[[#This Row],[REVISÃO]])))</f>
        <v>45859</v>
      </c>
      <c r="L8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M833" s="6" t="str">
        <f>LD_01[[#This Row],[PASTA]]&amp;"/"&amp;LD_01[[#This Row],[ARQUIVO]]</f>
        <v>MSV-163MS-634-RET/32.TE/MSV-163MS-634+900-RET-EXE-DE-G1-004-R02.pdf</v>
      </c>
    </row>
    <row r="834" spans="1:13" ht="28.8" hidden="1" x14ac:dyDescent="0.3">
      <c r="A834" s="6" t="s">
        <v>3617</v>
      </c>
      <c r="B834" s="6" t="str">
        <f>VLOOKUP(LD_01[[#This Row],[DOCUMENTO]],_xlfn.SORTBY(ARQUIVOS_RECEBIDOS!$E$2:$F$5010,ARQUIVOS_RECEBIDOS!$F$2:$F$5010,-1),2,)</f>
        <v>R02</v>
      </c>
      <c r="C834" s="15" t="s">
        <v>5987</v>
      </c>
      <c r="D834" s="6" t="s">
        <v>4319</v>
      </c>
      <c r="E834" s="8" t="s">
        <v>4970</v>
      </c>
      <c r="F834" s="8" t="s">
        <v>4330</v>
      </c>
      <c r="G834" s="6" t="str">
        <f>_xlfn.XLOOKUP(LD_01[[#This Row],[DISCIPLINA]],'CLASSES DE PROJETOS'!$F$3:$F$37,'CLASSES DE PROJETOS'!$C$3:$C$37)</f>
        <v>TE</v>
      </c>
      <c r="H834" t="str">
        <f>_xlfn.TEXTJOIN("/",TRUE,"MSV-163MS-"&amp;LD_01[[#This Row],[TRECHO]],_xlfn.XLOOKUP(LD_01[[#This Row],[SIGLA]],'CLASSES DE PROJETOS'!$C$3:$C$37,'CLASSES DE PROJETOS'!$E$3:$E$37))</f>
        <v>MSV-163MS-634-RET/32.TE</v>
      </c>
      <c r="I834" s="6" t="str" cm="1">
        <f t="array" ref="I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J834" s="6" t="str" cm="1">
        <f t="array" ref="J834">_xlfn.TEXTJOIN(", ",TRUE,_xlfn.UNIQUE(_xlfn._xlws.FILTER(ARQUIVOS_RECEBIDOS!$F$2:$F$5010,ARQUIVOS_RECEBIDOS!$E$2:$E$5010=LD_01[[#This Row],[DOCUMENTO]])))</f>
        <v>R01, R02</v>
      </c>
      <c r="K834" s="12" cm="1">
        <f t="array" ref="K834">_xlfn.UNIQUE(_xlfn._xlws.FILTER(ARQUIVOS[DATA RECEBIMENTO],(ARQUIVOS[DOCUMENTO]=LD_01[[#This Row],[DOCUMENTO]])*(ARQUIVOS[REVISÃO]=LD_01[[#This Row],[REVISÃO]])))</f>
        <v>45859</v>
      </c>
      <c r="L8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M834" s="6" t="str">
        <f>LD_01[[#This Row],[PASTA]]&amp;"/"&amp;LD_01[[#This Row],[ARQUIVO]]</f>
        <v>MSV-163MS-634-RET/32.TE/MSV-163MS-634+900-RET-EXE-DE-G1-005-R02.pdf</v>
      </c>
    </row>
    <row r="835" spans="1:13" ht="28.8" hidden="1" x14ac:dyDescent="0.3">
      <c r="A835" s="6" t="s">
        <v>3618</v>
      </c>
      <c r="B835" s="6" t="str">
        <f>VLOOKUP(LD_01[[#This Row],[DOCUMENTO]],_xlfn.SORTBY(ARQUIVOS_RECEBIDOS!$E$2:$F$5010,ARQUIVOS_RECEBIDOS!$F$2:$F$5010,-1),2,)</f>
        <v>R02</v>
      </c>
      <c r="C835" s="15" t="s">
        <v>5987</v>
      </c>
      <c r="D835" s="6" t="s">
        <v>4319</v>
      </c>
      <c r="E835" s="8" t="s">
        <v>4970</v>
      </c>
      <c r="F835" s="8" t="s">
        <v>4330</v>
      </c>
      <c r="G835" s="6" t="str">
        <f>_xlfn.XLOOKUP(LD_01[[#This Row],[DISCIPLINA]],'CLASSES DE PROJETOS'!$F$3:$F$37,'CLASSES DE PROJETOS'!$C$3:$C$37)</f>
        <v>TE</v>
      </c>
      <c r="H835" t="str">
        <f>_xlfn.TEXTJOIN("/",TRUE,"MSV-163MS-"&amp;LD_01[[#This Row],[TRECHO]],_xlfn.XLOOKUP(LD_01[[#This Row],[SIGLA]],'CLASSES DE PROJETOS'!$C$3:$C$37,'CLASSES DE PROJETOS'!$E$3:$E$37))</f>
        <v>MSV-163MS-634-RET/32.TE</v>
      </c>
      <c r="I835" s="6" t="str" cm="1">
        <f t="array" ref="I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J835" s="6" t="str" cm="1">
        <f t="array" ref="J835">_xlfn.TEXTJOIN(", ",TRUE,_xlfn.UNIQUE(_xlfn._xlws.FILTER(ARQUIVOS_RECEBIDOS!$F$2:$F$5010,ARQUIVOS_RECEBIDOS!$E$2:$E$5010=LD_01[[#This Row],[DOCUMENTO]])))</f>
        <v>R01, R02</v>
      </c>
      <c r="K835" s="12" cm="1">
        <f t="array" ref="K835">_xlfn.UNIQUE(_xlfn._xlws.FILTER(ARQUIVOS[DATA RECEBIMENTO],(ARQUIVOS[DOCUMENTO]=LD_01[[#This Row],[DOCUMENTO]])*(ARQUIVOS[REVISÃO]=LD_01[[#This Row],[REVISÃO]])))</f>
        <v>45859</v>
      </c>
      <c r="L8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M835" s="6" t="str">
        <f>LD_01[[#This Row],[PASTA]]&amp;"/"&amp;LD_01[[#This Row],[ARQUIVO]]</f>
        <v>MSV-163MS-634-RET/32.TE/MSV-163MS-634+900-RET-EXE-DE-G1-006-R02.pdf</v>
      </c>
    </row>
    <row r="836" spans="1:13" ht="28.8" hidden="1" x14ac:dyDescent="0.3">
      <c r="A836" s="6" t="s">
        <v>3619</v>
      </c>
      <c r="B836" s="6" t="str">
        <f>VLOOKUP(LD_01[[#This Row],[DOCUMENTO]],_xlfn.SORTBY(ARQUIVOS_RECEBIDOS!$E$2:$F$5010,ARQUIVOS_RECEBIDOS!$F$2:$F$5010,-1),2,)</f>
        <v>R02</v>
      </c>
      <c r="C836" s="15" t="s">
        <v>5987</v>
      </c>
      <c r="D836" s="6" t="s">
        <v>4319</v>
      </c>
      <c r="E836" s="8" t="s">
        <v>4970</v>
      </c>
      <c r="F836" s="8" t="s">
        <v>4330</v>
      </c>
      <c r="G836" s="6" t="str">
        <f>_xlfn.XLOOKUP(LD_01[[#This Row],[DISCIPLINA]],'CLASSES DE PROJETOS'!$F$3:$F$37,'CLASSES DE PROJETOS'!$C$3:$C$37)</f>
        <v>TE</v>
      </c>
      <c r="H836" t="str">
        <f>_xlfn.TEXTJOIN("/",TRUE,"MSV-163MS-"&amp;LD_01[[#This Row],[TRECHO]],_xlfn.XLOOKUP(LD_01[[#This Row],[SIGLA]],'CLASSES DE PROJETOS'!$C$3:$C$37,'CLASSES DE PROJETOS'!$E$3:$E$37))</f>
        <v>MSV-163MS-634-RET/32.TE</v>
      </c>
      <c r="I836" s="6" t="str" cm="1">
        <f t="array" ref="I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J836" s="6" t="str" cm="1">
        <f t="array" ref="J836">_xlfn.TEXTJOIN(", ",TRUE,_xlfn.UNIQUE(_xlfn._xlws.FILTER(ARQUIVOS_RECEBIDOS!$F$2:$F$5010,ARQUIVOS_RECEBIDOS!$E$2:$E$5010=LD_01[[#This Row],[DOCUMENTO]])))</f>
        <v>R01, R02</v>
      </c>
      <c r="K836" s="12" cm="1">
        <f t="array" ref="K836">_xlfn.UNIQUE(_xlfn._xlws.FILTER(ARQUIVOS[DATA RECEBIMENTO],(ARQUIVOS[DOCUMENTO]=LD_01[[#This Row],[DOCUMENTO]])*(ARQUIVOS[REVISÃO]=LD_01[[#This Row],[REVISÃO]])))</f>
        <v>45859</v>
      </c>
      <c r="L8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M836" s="6" t="str">
        <f>LD_01[[#This Row],[PASTA]]&amp;"/"&amp;LD_01[[#This Row],[ARQUIVO]]</f>
        <v>MSV-163MS-634-RET/32.TE/MSV-163MS-634+900-RET-EXE-DE-G1-007-R02.pdf</v>
      </c>
    </row>
    <row r="837" spans="1:13" ht="28.8" hidden="1" x14ac:dyDescent="0.3">
      <c r="A837" s="6" t="s">
        <v>3620</v>
      </c>
      <c r="B837" s="6" t="str">
        <f>VLOOKUP(LD_01[[#This Row],[DOCUMENTO]],_xlfn.SORTBY(ARQUIVOS_RECEBIDOS!$E$2:$F$5010,ARQUIVOS_RECEBIDOS!$F$2:$F$5010,-1),2,)</f>
        <v>R02</v>
      </c>
      <c r="C837" s="15" t="s">
        <v>5987</v>
      </c>
      <c r="D837" s="6" t="s">
        <v>4319</v>
      </c>
      <c r="E837" s="8" t="s">
        <v>4971</v>
      </c>
      <c r="F837" s="8" t="s">
        <v>4330</v>
      </c>
      <c r="G837" s="6" t="str">
        <f>_xlfn.XLOOKUP(LD_01[[#This Row],[DISCIPLINA]],'CLASSES DE PROJETOS'!$F$3:$F$37,'CLASSES DE PROJETOS'!$C$3:$C$37)</f>
        <v>TE</v>
      </c>
      <c r="H837" t="str">
        <f>_xlfn.TEXTJOIN("/",TRUE,"MSV-163MS-"&amp;LD_01[[#This Row],[TRECHO]],_xlfn.XLOOKUP(LD_01[[#This Row],[SIGLA]],'CLASSES DE PROJETOS'!$C$3:$C$37,'CLASSES DE PROJETOS'!$E$3:$E$37))</f>
        <v>MSV-163MS-634-RET/32.TE</v>
      </c>
      <c r="I837" s="6" t="str" cm="1">
        <f t="array" ref="I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J837" s="6" t="str" cm="1">
        <f t="array" ref="J837">_xlfn.TEXTJOIN(", ",TRUE,_xlfn.UNIQUE(_xlfn._xlws.FILTER(ARQUIVOS_RECEBIDOS!$F$2:$F$5010,ARQUIVOS_RECEBIDOS!$E$2:$E$5010=LD_01[[#This Row],[DOCUMENTO]])))</f>
        <v>R01, R02</v>
      </c>
      <c r="K837" s="12" cm="1">
        <f t="array" ref="K837">_xlfn.UNIQUE(_xlfn._xlws.FILTER(ARQUIVOS[DATA RECEBIMENTO],(ARQUIVOS[DOCUMENTO]=LD_01[[#This Row],[DOCUMENTO]])*(ARQUIVOS[REVISÃO]=LD_01[[#This Row],[REVISÃO]])))</f>
        <v>45859</v>
      </c>
      <c r="L8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M837" s="6" t="str">
        <f>LD_01[[#This Row],[PASTA]]&amp;"/"&amp;LD_01[[#This Row],[ARQUIVO]]</f>
        <v>MSV-163MS-634-RET/32.TE/MSV-163MS-634+900-RET-EXE-DE-G1-008-R02.pdf</v>
      </c>
    </row>
    <row r="838" spans="1:13" ht="28.8" hidden="1" x14ac:dyDescent="0.3">
      <c r="A838" s="6" t="s">
        <v>3621</v>
      </c>
      <c r="B838" s="6" t="str">
        <f>VLOOKUP(LD_01[[#This Row],[DOCUMENTO]],_xlfn.SORTBY(ARQUIVOS_RECEBIDOS!$E$2:$F$5010,ARQUIVOS_RECEBIDOS!$F$2:$F$5010,-1),2,)</f>
        <v>R00</v>
      </c>
      <c r="C838" s="15" t="s">
        <v>5987</v>
      </c>
      <c r="D838" s="6" t="s">
        <v>4319</v>
      </c>
      <c r="E838" s="8" t="s">
        <v>4972</v>
      </c>
      <c r="F838" s="8" t="s">
        <v>4330</v>
      </c>
      <c r="G838" s="6" t="str">
        <f>_xlfn.XLOOKUP(LD_01[[#This Row],[DISCIPLINA]],'CLASSES DE PROJETOS'!$F$3:$F$37,'CLASSES DE PROJETOS'!$C$3:$C$37)</f>
        <v>TE</v>
      </c>
      <c r="H838" t="str">
        <f>_xlfn.TEXTJOIN("/",TRUE,"MSV-163MS-"&amp;LD_01[[#This Row],[TRECHO]],_xlfn.XLOOKUP(LD_01[[#This Row],[SIGLA]],'CLASSES DE PROJETOS'!$C$3:$C$37,'CLASSES DE PROJETOS'!$E$3:$E$37))</f>
        <v>MSV-163MS-634-RET/32.TE</v>
      </c>
      <c r="I838" s="6" t="str" cm="1">
        <f t="array" ref="I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J838" s="6" t="str" cm="1">
        <f t="array" ref="J838">_xlfn.TEXTJOIN(", ",TRUE,_xlfn.UNIQUE(_xlfn._xlws.FILTER(ARQUIVOS_RECEBIDOS!$F$2:$F$5010,ARQUIVOS_RECEBIDOS!$E$2:$E$5010=LD_01[[#This Row],[DOCUMENTO]])))</f>
        <v>R00</v>
      </c>
      <c r="K838" s="12" cm="1">
        <f t="array" ref="K838">_xlfn.UNIQUE(_xlfn._xlws.FILTER(ARQUIVOS[DATA RECEBIMENTO],(ARQUIVOS[DOCUMENTO]=LD_01[[#This Row],[DOCUMENTO]])*(ARQUIVOS[REVISÃO]=LD_01[[#This Row],[REVISÃO]])))</f>
        <v>45838</v>
      </c>
      <c r="L8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M838" s="6" t="str">
        <f>LD_01[[#This Row],[PASTA]]&amp;"/"&amp;LD_01[[#This Row],[ARQUIVO]]</f>
        <v>MSV-163MS-634-RET/32.TE/MSV-163MS-634+900-RET-EXE-DE-G1-009-R00.pdf</v>
      </c>
    </row>
    <row r="839" spans="1:13" ht="28.8" hidden="1" x14ac:dyDescent="0.3">
      <c r="A839" s="6" t="s">
        <v>3622</v>
      </c>
      <c r="B839" s="6" t="str">
        <f>VLOOKUP(LD_01[[#This Row],[DOCUMENTO]],_xlfn.SORTBY(ARQUIVOS_RECEBIDOS!$E$2:$F$5010,ARQUIVOS_RECEBIDOS!$F$2:$F$5010,-1),2,)</f>
        <v>R00</v>
      </c>
      <c r="C839" s="15" t="s">
        <v>5987</v>
      </c>
      <c r="D839" s="6" t="s">
        <v>4319</v>
      </c>
      <c r="E839" s="8" t="s">
        <v>4972</v>
      </c>
      <c r="F839" s="8" t="s">
        <v>4330</v>
      </c>
      <c r="G839" s="6" t="str">
        <f>_xlfn.XLOOKUP(LD_01[[#This Row],[DISCIPLINA]],'CLASSES DE PROJETOS'!$F$3:$F$37,'CLASSES DE PROJETOS'!$C$3:$C$37)</f>
        <v>TE</v>
      </c>
      <c r="H839" t="str">
        <f>_xlfn.TEXTJOIN("/",TRUE,"MSV-163MS-"&amp;LD_01[[#This Row],[TRECHO]],_xlfn.XLOOKUP(LD_01[[#This Row],[SIGLA]],'CLASSES DE PROJETOS'!$C$3:$C$37,'CLASSES DE PROJETOS'!$E$3:$E$37))</f>
        <v>MSV-163MS-634-RET/32.TE</v>
      </c>
      <c r="I839" s="6" t="str" cm="1">
        <f t="array" ref="I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J839" s="6" t="str" cm="1">
        <f t="array" ref="J839">_xlfn.TEXTJOIN(", ",TRUE,_xlfn.UNIQUE(_xlfn._xlws.FILTER(ARQUIVOS_RECEBIDOS!$F$2:$F$5010,ARQUIVOS_RECEBIDOS!$E$2:$E$5010=LD_01[[#This Row],[DOCUMENTO]])))</f>
        <v>R00</v>
      </c>
      <c r="K839" s="12" cm="1">
        <f t="array" ref="K839">_xlfn.UNIQUE(_xlfn._xlws.FILTER(ARQUIVOS[DATA RECEBIMENTO],(ARQUIVOS[DOCUMENTO]=LD_01[[#This Row],[DOCUMENTO]])*(ARQUIVOS[REVISÃO]=LD_01[[#This Row],[REVISÃO]])))</f>
        <v>45838</v>
      </c>
      <c r="L8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M839" s="6" t="str">
        <f>LD_01[[#This Row],[PASTA]]&amp;"/"&amp;LD_01[[#This Row],[ARQUIVO]]</f>
        <v>MSV-163MS-634-RET/32.TE/MSV-163MS-634+900-RET-EXE-DE-G1-010-R00.pdf</v>
      </c>
    </row>
    <row r="840" spans="1:13" ht="28.8" hidden="1" x14ac:dyDescent="0.3">
      <c r="A840" s="6" t="s">
        <v>4054</v>
      </c>
      <c r="B840" s="6" t="str">
        <f>VLOOKUP(LD_01[[#This Row],[DOCUMENTO]],_xlfn.SORTBY(ARQUIVOS_RECEBIDOS!$E$2:$F$5010,ARQUIVOS_RECEBIDOS!$F$2:$F$5010,-1),2,)</f>
        <v>R00</v>
      </c>
      <c r="C840" s="15" t="s">
        <v>5987</v>
      </c>
      <c r="D840" s="6" t="s">
        <v>4319</v>
      </c>
      <c r="E840" s="8" t="s">
        <v>4973</v>
      </c>
      <c r="F840" s="8" t="s">
        <v>4330</v>
      </c>
      <c r="G840" s="6" t="str">
        <f>_xlfn.XLOOKUP(LD_01[[#This Row],[DISCIPLINA]],'CLASSES DE PROJETOS'!$F$3:$F$37,'CLASSES DE PROJETOS'!$C$3:$C$37)</f>
        <v>TE</v>
      </c>
      <c r="H840" t="str">
        <f>_xlfn.TEXTJOIN("/",TRUE,"MSV-163MS-"&amp;LD_01[[#This Row],[TRECHO]],_xlfn.XLOOKUP(LD_01[[#This Row],[SIGLA]],'CLASSES DE PROJETOS'!$C$3:$C$37,'CLASSES DE PROJETOS'!$E$3:$E$37))</f>
        <v>MSV-163MS-634-RET/32.TE</v>
      </c>
      <c r="I840" s="6" t="str" cm="1">
        <f t="array" ref="I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J840" s="6" t="str" cm="1">
        <f t="array" ref="J840">_xlfn.TEXTJOIN(", ",TRUE,_xlfn.UNIQUE(_xlfn._xlws.FILTER(ARQUIVOS_RECEBIDOS!$F$2:$F$5010,ARQUIVOS_RECEBIDOS!$E$2:$E$5010=LD_01[[#This Row],[DOCUMENTO]])))</f>
        <v>R00</v>
      </c>
      <c r="K840" s="12" cm="1">
        <f t="array" ref="K840">_xlfn.UNIQUE(_xlfn._xlws.FILTER(ARQUIVOS[DATA RECEBIMENTO],(ARQUIVOS[DOCUMENTO]=LD_01[[#This Row],[DOCUMENTO]])*(ARQUIVOS[REVISÃO]=LD_01[[#This Row],[REVISÃO]])))</f>
        <v>45859</v>
      </c>
      <c r="L8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M840" s="6" t="str">
        <f>LD_01[[#This Row],[PASTA]]&amp;"/"&amp;LD_01[[#This Row],[ARQUIVO]]</f>
        <v>MSV-163MS-634-RET/32.TE/MSV-163MS-634+900-RET-EXE-DE-G1-011-R00.pdf</v>
      </c>
    </row>
    <row r="841" spans="1:13" hidden="1" x14ac:dyDescent="0.3">
      <c r="A841" s="6" t="s">
        <v>3626</v>
      </c>
      <c r="B841" s="6" t="str">
        <f>VLOOKUP(LD_01[[#This Row],[DOCUMENTO]],_xlfn.SORTBY(ARQUIVOS_RECEBIDOS!$E$2:$F$5010,ARQUIVOS_RECEBIDOS!$F$2:$F$5010,-1),2,)</f>
        <v>R00</v>
      </c>
      <c r="C841" s="15" t="s">
        <v>5987</v>
      </c>
      <c r="D841" s="6" t="s">
        <v>4319</v>
      </c>
      <c r="E841" s="8" t="s">
        <v>4998</v>
      </c>
      <c r="F841" s="8" t="s">
        <v>4142</v>
      </c>
      <c r="G841" s="6" t="str">
        <f>_xlfn.XLOOKUP(LD_01[[#This Row],[DISCIPLINA]],'CLASSES DE PROJETOS'!$F$3:$F$37,'CLASSES DE PROJETOS'!$C$3:$C$37)</f>
        <v>DR</v>
      </c>
      <c r="H841" t="str">
        <f>_xlfn.TEXTJOIN("/",TRUE,"MSV-163MS-"&amp;LD_01[[#This Row],[TRECHO]],_xlfn.XLOOKUP(LD_01[[#This Row],[SIGLA]],'CLASSES DE PROJETOS'!$C$3:$C$37,'CLASSES DE PROJETOS'!$E$3:$E$37))</f>
        <v>MSV-163MS-634-RET/10.DR</v>
      </c>
      <c r="I841" s="6" t="str" cm="1">
        <f t="array" ref="I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J841" s="6" t="str" cm="1">
        <f t="array" ref="J841">_xlfn.TEXTJOIN(", ",TRUE,_xlfn.UNIQUE(_xlfn._xlws.FILTER(ARQUIVOS_RECEBIDOS!$F$2:$F$5010,ARQUIVOS_RECEBIDOS!$E$2:$E$5010=LD_01[[#This Row],[DOCUMENTO]])))</f>
        <v>R00</v>
      </c>
      <c r="K841" s="12" cm="1">
        <f t="array" ref="K841">_xlfn.UNIQUE(_xlfn._xlws.FILTER(ARQUIVOS[DATA RECEBIMENTO],(ARQUIVOS[DOCUMENTO]=LD_01[[#This Row],[DOCUMENTO]])*(ARQUIVOS[REVISÃO]=LD_01[[#This Row],[REVISÃO]])))</f>
        <v>45838</v>
      </c>
      <c r="L8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M841" s="6" t="str">
        <f>LD_01[[#This Row],[PASTA]]&amp;"/"&amp;LD_01[[#This Row],[ARQUIVO]]</f>
        <v>MSV-163MS-634-RET/10.DR/MSV-163MS-634+900-RET-EXE-DE-H1-001-R00.pdf</v>
      </c>
    </row>
    <row r="842" spans="1:13" hidden="1" x14ac:dyDescent="0.3">
      <c r="A842" s="6" t="s">
        <v>3627</v>
      </c>
      <c r="B842" s="6" t="str">
        <f>VLOOKUP(LD_01[[#This Row],[DOCUMENTO]],_xlfn.SORTBY(ARQUIVOS_RECEBIDOS!$E$2:$F$5010,ARQUIVOS_RECEBIDOS!$F$2:$F$5010,-1),2,)</f>
        <v>R03</v>
      </c>
      <c r="C842" s="15" t="s">
        <v>5987</v>
      </c>
      <c r="D842" s="6" t="s">
        <v>4319</v>
      </c>
      <c r="E842" s="8" t="s">
        <v>4961</v>
      </c>
      <c r="F842" s="8" t="s">
        <v>4142</v>
      </c>
      <c r="G842" s="6" t="str">
        <f>_xlfn.XLOOKUP(LD_01[[#This Row],[DISCIPLINA]],'CLASSES DE PROJETOS'!$F$3:$F$37,'CLASSES DE PROJETOS'!$C$3:$C$37)</f>
        <v>DR</v>
      </c>
      <c r="H842" t="str">
        <f>_xlfn.TEXTJOIN("/",TRUE,"MSV-163MS-"&amp;LD_01[[#This Row],[TRECHO]],_xlfn.XLOOKUP(LD_01[[#This Row],[SIGLA]],'CLASSES DE PROJETOS'!$C$3:$C$37,'CLASSES DE PROJETOS'!$E$3:$E$37))</f>
        <v>MSV-163MS-634-RET/10.DR</v>
      </c>
      <c r="I842" s="6" t="str" cm="1">
        <f t="array" ref="I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J842" s="6" t="str" cm="1">
        <f t="array" ref="J842">_xlfn.TEXTJOIN(", ",TRUE,_xlfn.UNIQUE(_xlfn._xlws.FILTER(ARQUIVOS_RECEBIDOS!$F$2:$F$5010,ARQUIVOS_RECEBIDOS!$E$2:$E$5010=LD_01[[#This Row],[DOCUMENTO]])))</f>
        <v>R02, R03</v>
      </c>
      <c r="K842" s="12" cm="1">
        <f t="array" ref="K842">_xlfn.UNIQUE(_xlfn._xlws.FILTER(ARQUIVOS[DATA RECEBIMENTO],(ARQUIVOS[DOCUMENTO]=LD_01[[#This Row],[DOCUMENTO]])*(ARQUIVOS[REVISÃO]=LD_01[[#This Row],[REVISÃO]])))</f>
        <v>45859</v>
      </c>
      <c r="L8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M842" s="6" t="str">
        <f>LD_01[[#This Row],[PASTA]]&amp;"/"&amp;LD_01[[#This Row],[ARQUIVO]]</f>
        <v>MSV-163MS-634-RET/10.DR/MSV-163MS-634+900-RET-EXE-DE-H2-001-R03.pdf</v>
      </c>
    </row>
    <row r="843" spans="1:13" hidden="1" x14ac:dyDescent="0.3">
      <c r="A843" s="6" t="s">
        <v>3628</v>
      </c>
      <c r="B843" s="6" t="str">
        <f>VLOOKUP(LD_01[[#This Row],[DOCUMENTO]],_xlfn.SORTBY(ARQUIVOS_RECEBIDOS!$E$2:$F$5010,ARQUIVOS_RECEBIDOS!$F$2:$F$5010,-1),2,)</f>
        <v>R03</v>
      </c>
      <c r="C843" s="15" t="s">
        <v>5987</v>
      </c>
      <c r="D843" s="6" t="s">
        <v>4319</v>
      </c>
      <c r="E843" s="8" t="s">
        <v>4961</v>
      </c>
      <c r="F843" s="8" t="s">
        <v>4142</v>
      </c>
      <c r="G843" s="6" t="str">
        <f>_xlfn.XLOOKUP(LD_01[[#This Row],[DISCIPLINA]],'CLASSES DE PROJETOS'!$F$3:$F$37,'CLASSES DE PROJETOS'!$C$3:$C$37)</f>
        <v>DR</v>
      </c>
      <c r="H843" t="str">
        <f>_xlfn.TEXTJOIN("/",TRUE,"MSV-163MS-"&amp;LD_01[[#This Row],[TRECHO]],_xlfn.XLOOKUP(LD_01[[#This Row],[SIGLA]],'CLASSES DE PROJETOS'!$C$3:$C$37,'CLASSES DE PROJETOS'!$E$3:$E$37))</f>
        <v>MSV-163MS-634-RET/10.DR</v>
      </c>
      <c r="I843" s="6" t="str" cm="1">
        <f t="array" ref="I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J843" s="6" t="str" cm="1">
        <f t="array" ref="J843">_xlfn.TEXTJOIN(", ",TRUE,_xlfn.UNIQUE(_xlfn._xlws.FILTER(ARQUIVOS_RECEBIDOS!$F$2:$F$5010,ARQUIVOS_RECEBIDOS!$E$2:$E$5010=LD_01[[#This Row],[DOCUMENTO]])))</f>
        <v>R02, R03</v>
      </c>
      <c r="K843" s="12" cm="1">
        <f t="array" ref="K843">_xlfn.UNIQUE(_xlfn._xlws.FILTER(ARQUIVOS[DATA RECEBIMENTO],(ARQUIVOS[DOCUMENTO]=LD_01[[#This Row],[DOCUMENTO]])*(ARQUIVOS[REVISÃO]=LD_01[[#This Row],[REVISÃO]])))</f>
        <v>45859</v>
      </c>
      <c r="L8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M843" s="6" t="str">
        <f>LD_01[[#This Row],[PASTA]]&amp;"/"&amp;LD_01[[#This Row],[ARQUIVO]]</f>
        <v>MSV-163MS-634-RET/10.DR/MSV-163MS-634+900-RET-EXE-DE-H2-002-R03.pdf</v>
      </c>
    </row>
    <row r="844" spans="1:13" hidden="1" x14ac:dyDescent="0.3">
      <c r="A844" s="6" t="s">
        <v>3629</v>
      </c>
      <c r="B844" s="6" t="str">
        <f>VLOOKUP(LD_01[[#This Row],[DOCUMENTO]],_xlfn.SORTBY(ARQUIVOS_RECEBIDOS!$E$2:$F$5010,ARQUIVOS_RECEBIDOS!$F$2:$F$5010,-1),2,)</f>
        <v>R01</v>
      </c>
      <c r="C844" s="15" t="s">
        <v>5987</v>
      </c>
      <c r="D844" s="6" t="s">
        <v>4319</v>
      </c>
      <c r="E844" s="8" t="s">
        <v>4961</v>
      </c>
      <c r="F844" s="8" t="s">
        <v>4142</v>
      </c>
      <c r="G844" s="6" t="str">
        <f>_xlfn.XLOOKUP(LD_01[[#This Row],[DISCIPLINA]],'CLASSES DE PROJETOS'!$F$3:$F$37,'CLASSES DE PROJETOS'!$C$3:$C$37)</f>
        <v>DR</v>
      </c>
      <c r="H844" t="str">
        <f>_xlfn.TEXTJOIN("/",TRUE,"MSV-163MS-"&amp;LD_01[[#This Row],[TRECHO]],_xlfn.XLOOKUP(LD_01[[#This Row],[SIGLA]],'CLASSES DE PROJETOS'!$C$3:$C$37,'CLASSES DE PROJETOS'!$E$3:$E$37))</f>
        <v>MSV-163MS-634-RET/10.DR</v>
      </c>
      <c r="I844" s="6" t="str" cm="1">
        <f t="array" ref="I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J844" s="6" t="str" cm="1">
        <f t="array" ref="J844">_xlfn.TEXTJOIN(", ",TRUE,_xlfn.UNIQUE(_xlfn._xlws.FILTER(ARQUIVOS_RECEBIDOS!$F$2:$F$5010,ARQUIVOS_RECEBIDOS!$E$2:$E$5010=LD_01[[#This Row],[DOCUMENTO]])))</f>
        <v>R01</v>
      </c>
      <c r="K844" s="12" cm="1">
        <f t="array" ref="K844">_xlfn.UNIQUE(_xlfn._xlws.FILTER(ARQUIVOS[DATA RECEBIMENTO],(ARQUIVOS[DOCUMENTO]=LD_01[[#This Row],[DOCUMENTO]])*(ARQUIVOS[REVISÃO]=LD_01[[#This Row],[REVISÃO]])))</f>
        <v>45838</v>
      </c>
      <c r="L8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M844" s="6" t="str">
        <f>LD_01[[#This Row],[PASTA]]&amp;"/"&amp;LD_01[[#This Row],[ARQUIVO]]</f>
        <v>MSV-163MS-634-RET/10.DR/MSV-163MS-634+900-RET-EXE-DE-H2-003-R01.pdf</v>
      </c>
    </row>
    <row r="845" spans="1:13" hidden="1" x14ac:dyDescent="0.3">
      <c r="A845" s="6" t="s">
        <v>3630</v>
      </c>
      <c r="B845" s="6" t="str">
        <f>VLOOKUP(LD_01[[#This Row],[DOCUMENTO]],_xlfn.SORTBY(ARQUIVOS_RECEBIDOS!$E$2:$F$5010,ARQUIVOS_RECEBIDOS!$F$2:$F$5010,-1),2,)</f>
        <v>R01</v>
      </c>
      <c r="C845" s="15" t="s">
        <v>5987</v>
      </c>
      <c r="D845" s="6" t="s">
        <v>4319</v>
      </c>
      <c r="E845" s="8" t="s">
        <v>4962</v>
      </c>
      <c r="F845" s="8" t="s">
        <v>4142</v>
      </c>
      <c r="G845" s="6" t="str">
        <f>_xlfn.XLOOKUP(LD_01[[#This Row],[DISCIPLINA]],'CLASSES DE PROJETOS'!$F$3:$F$37,'CLASSES DE PROJETOS'!$C$3:$C$37)</f>
        <v>DR</v>
      </c>
      <c r="H845" t="str">
        <f>_xlfn.TEXTJOIN("/",TRUE,"MSV-163MS-"&amp;LD_01[[#This Row],[TRECHO]],_xlfn.XLOOKUP(LD_01[[#This Row],[SIGLA]],'CLASSES DE PROJETOS'!$C$3:$C$37,'CLASSES DE PROJETOS'!$E$3:$E$37))</f>
        <v>MSV-163MS-634-RET/10.DR</v>
      </c>
      <c r="I845" s="6" t="str" cm="1">
        <f t="array" ref="I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J845" s="6" t="str" cm="1">
        <f t="array" ref="J845">_xlfn.TEXTJOIN(", ",TRUE,_xlfn.UNIQUE(_xlfn._xlws.FILTER(ARQUIVOS_RECEBIDOS!$F$2:$F$5010,ARQUIVOS_RECEBIDOS!$E$2:$E$5010=LD_01[[#This Row],[DOCUMENTO]])))</f>
        <v>R01</v>
      </c>
      <c r="K845" s="12" cm="1">
        <f t="array" ref="K845">_xlfn.UNIQUE(_xlfn._xlws.FILTER(ARQUIVOS[DATA RECEBIMENTO],(ARQUIVOS[DOCUMENTO]=LD_01[[#This Row],[DOCUMENTO]])*(ARQUIVOS[REVISÃO]=LD_01[[#This Row],[REVISÃO]])))</f>
        <v>45838</v>
      </c>
      <c r="L8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M845" s="6" t="str">
        <f>LD_01[[#This Row],[PASTA]]&amp;"/"&amp;LD_01[[#This Row],[ARQUIVO]]</f>
        <v>MSV-163MS-634-RET/10.DR/MSV-163MS-634+900-RET-EXE-DE-H2-004-R01.pdf</v>
      </c>
    </row>
    <row r="846" spans="1:13" hidden="1" x14ac:dyDescent="0.3">
      <c r="A846" s="6" t="s">
        <v>3631</v>
      </c>
      <c r="B846" s="6" t="str">
        <f>VLOOKUP(LD_01[[#This Row],[DOCUMENTO]],_xlfn.SORTBY(ARQUIVOS_RECEBIDOS!$E$2:$F$5010,ARQUIVOS_RECEBIDOS!$F$2:$F$5010,-1),2,)</f>
        <v>R01</v>
      </c>
      <c r="C846" s="15" t="s">
        <v>5987</v>
      </c>
      <c r="D846" s="6" t="s">
        <v>4319</v>
      </c>
      <c r="E846" s="8" t="s">
        <v>4962</v>
      </c>
      <c r="F846" s="8" t="s">
        <v>4142</v>
      </c>
      <c r="G846" s="6" t="str">
        <f>_xlfn.XLOOKUP(LD_01[[#This Row],[DISCIPLINA]],'CLASSES DE PROJETOS'!$F$3:$F$37,'CLASSES DE PROJETOS'!$C$3:$C$37)</f>
        <v>DR</v>
      </c>
      <c r="H846" t="str">
        <f>_xlfn.TEXTJOIN("/",TRUE,"MSV-163MS-"&amp;LD_01[[#This Row],[TRECHO]],_xlfn.XLOOKUP(LD_01[[#This Row],[SIGLA]],'CLASSES DE PROJETOS'!$C$3:$C$37,'CLASSES DE PROJETOS'!$E$3:$E$37))</f>
        <v>MSV-163MS-634-RET/10.DR</v>
      </c>
      <c r="I846" s="6" t="str" cm="1">
        <f t="array" ref="I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J846" s="6" t="str" cm="1">
        <f t="array" ref="J846">_xlfn.TEXTJOIN(", ",TRUE,_xlfn.UNIQUE(_xlfn._xlws.FILTER(ARQUIVOS_RECEBIDOS!$F$2:$F$5010,ARQUIVOS_RECEBIDOS!$E$2:$E$5010=LD_01[[#This Row],[DOCUMENTO]])))</f>
        <v>R01</v>
      </c>
      <c r="K846" s="12" cm="1">
        <f t="array" ref="K846">_xlfn.UNIQUE(_xlfn._xlws.FILTER(ARQUIVOS[DATA RECEBIMENTO],(ARQUIVOS[DOCUMENTO]=LD_01[[#This Row],[DOCUMENTO]])*(ARQUIVOS[REVISÃO]=LD_01[[#This Row],[REVISÃO]])))</f>
        <v>45838</v>
      </c>
      <c r="L8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M846" s="6" t="str">
        <f>LD_01[[#This Row],[PASTA]]&amp;"/"&amp;LD_01[[#This Row],[ARQUIVO]]</f>
        <v>MSV-163MS-634-RET/10.DR/MSV-163MS-634+900-RET-EXE-DE-H2-005-R01.pdf</v>
      </c>
    </row>
    <row r="847" spans="1:13" hidden="1" x14ac:dyDescent="0.3">
      <c r="A847" s="6" t="s">
        <v>3632</v>
      </c>
      <c r="B847" s="6" t="str">
        <f>VLOOKUP(LD_01[[#This Row],[DOCUMENTO]],_xlfn.SORTBY(ARQUIVOS_RECEBIDOS!$E$2:$F$5010,ARQUIVOS_RECEBIDOS!$F$2:$F$5010,-1),2,)</f>
        <v>R01</v>
      </c>
      <c r="C847" s="15" t="s">
        <v>5987</v>
      </c>
      <c r="D847" s="6" t="s">
        <v>4319</v>
      </c>
      <c r="E847" s="8" t="s">
        <v>4962</v>
      </c>
      <c r="F847" s="8" t="s">
        <v>4142</v>
      </c>
      <c r="G847" s="6" t="str">
        <f>_xlfn.XLOOKUP(LD_01[[#This Row],[DISCIPLINA]],'CLASSES DE PROJETOS'!$F$3:$F$37,'CLASSES DE PROJETOS'!$C$3:$C$37)</f>
        <v>DR</v>
      </c>
      <c r="H847" t="str">
        <f>_xlfn.TEXTJOIN("/",TRUE,"MSV-163MS-"&amp;LD_01[[#This Row],[TRECHO]],_xlfn.XLOOKUP(LD_01[[#This Row],[SIGLA]],'CLASSES DE PROJETOS'!$C$3:$C$37,'CLASSES DE PROJETOS'!$E$3:$E$37))</f>
        <v>MSV-163MS-634-RET/10.DR</v>
      </c>
      <c r="I847" s="6" t="str" cm="1">
        <f t="array" ref="I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J847" s="6" t="str" cm="1">
        <f t="array" ref="J847">_xlfn.TEXTJOIN(", ",TRUE,_xlfn.UNIQUE(_xlfn._xlws.FILTER(ARQUIVOS_RECEBIDOS!$F$2:$F$5010,ARQUIVOS_RECEBIDOS!$E$2:$E$5010=LD_01[[#This Row],[DOCUMENTO]])))</f>
        <v>R01</v>
      </c>
      <c r="K847" s="12" cm="1">
        <f t="array" ref="K847">_xlfn.UNIQUE(_xlfn._xlws.FILTER(ARQUIVOS[DATA RECEBIMENTO],(ARQUIVOS[DOCUMENTO]=LD_01[[#This Row],[DOCUMENTO]])*(ARQUIVOS[REVISÃO]=LD_01[[#This Row],[REVISÃO]])))</f>
        <v>45838</v>
      </c>
      <c r="L8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M847" s="6" t="str">
        <f>LD_01[[#This Row],[PASTA]]&amp;"/"&amp;LD_01[[#This Row],[ARQUIVO]]</f>
        <v>MSV-163MS-634-RET/10.DR/MSV-163MS-634+900-RET-EXE-DE-H2-006-R01.pdf</v>
      </c>
    </row>
    <row r="848" spans="1:13" hidden="1" x14ac:dyDescent="0.3">
      <c r="A848" s="6" t="s">
        <v>3633</v>
      </c>
      <c r="B848" s="6" t="str">
        <f>VLOOKUP(LD_01[[#This Row],[DOCUMENTO]],_xlfn.SORTBY(ARQUIVOS_RECEBIDOS!$E$2:$F$5010,ARQUIVOS_RECEBIDOS!$F$2:$F$5010,-1),2,)</f>
        <v>R02</v>
      </c>
      <c r="C848" s="15" t="s">
        <v>5987</v>
      </c>
      <c r="D848" s="6" t="s">
        <v>4319</v>
      </c>
      <c r="E848" s="8" t="s">
        <v>4963</v>
      </c>
      <c r="F848" s="8" t="s">
        <v>4142</v>
      </c>
      <c r="G848" s="6" t="str">
        <f>_xlfn.XLOOKUP(LD_01[[#This Row],[DISCIPLINA]],'CLASSES DE PROJETOS'!$F$3:$F$37,'CLASSES DE PROJETOS'!$C$3:$C$37)</f>
        <v>DR</v>
      </c>
      <c r="H848" t="str">
        <f>_xlfn.TEXTJOIN("/",TRUE,"MSV-163MS-"&amp;LD_01[[#This Row],[TRECHO]],_xlfn.XLOOKUP(LD_01[[#This Row],[SIGLA]],'CLASSES DE PROJETOS'!$C$3:$C$37,'CLASSES DE PROJETOS'!$E$3:$E$37))</f>
        <v>MSV-163MS-634-RET/10.DR</v>
      </c>
      <c r="I848" s="6" t="str" cm="1">
        <f t="array" ref="I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J848" s="6" t="str" cm="1">
        <f t="array" ref="J848">_xlfn.TEXTJOIN(", ",TRUE,_xlfn.UNIQUE(_xlfn._xlws.FILTER(ARQUIVOS_RECEBIDOS!$F$2:$F$5010,ARQUIVOS_RECEBIDOS!$E$2:$E$5010=LD_01[[#This Row],[DOCUMENTO]])))</f>
        <v>R01, R02</v>
      </c>
      <c r="K848" s="12" cm="1">
        <f t="array" ref="K848">_xlfn.UNIQUE(_xlfn._xlws.FILTER(ARQUIVOS[DATA RECEBIMENTO],(ARQUIVOS[DOCUMENTO]=LD_01[[#This Row],[DOCUMENTO]])*(ARQUIVOS[REVISÃO]=LD_01[[#This Row],[REVISÃO]])))</f>
        <v>45859</v>
      </c>
      <c r="L8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M848" s="6" t="str">
        <f>LD_01[[#This Row],[PASTA]]&amp;"/"&amp;LD_01[[#This Row],[ARQUIVO]]</f>
        <v>MSV-163MS-634-RET/10.DR/MSV-163MS-634+900-RET-EXE-DE-H2-007-R02.pdf</v>
      </c>
    </row>
    <row r="849" spans="1:13" hidden="1" x14ac:dyDescent="0.3">
      <c r="A849" s="6" t="s">
        <v>3634</v>
      </c>
      <c r="B849" s="6" t="str">
        <f>VLOOKUP(LD_01[[#This Row],[DOCUMENTO]],_xlfn.SORTBY(ARQUIVOS_RECEBIDOS!$E$2:$F$5010,ARQUIVOS_RECEBIDOS!$F$2:$F$5010,-1),2,)</f>
        <v>R02</v>
      </c>
      <c r="C849" s="15" t="s">
        <v>5987</v>
      </c>
      <c r="D849" s="6" t="s">
        <v>4319</v>
      </c>
      <c r="E849" s="8" t="s">
        <v>4963</v>
      </c>
      <c r="F849" s="8" t="s">
        <v>4142</v>
      </c>
      <c r="G849" s="6" t="str">
        <f>_xlfn.XLOOKUP(LD_01[[#This Row],[DISCIPLINA]],'CLASSES DE PROJETOS'!$F$3:$F$37,'CLASSES DE PROJETOS'!$C$3:$C$37)</f>
        <v>DR</v>
      </c>
      <c r="H849" t="str">
        <f>_xlfn.TEXTJOIN("/",TRUE,"MSV-163MS-"&amp;LD_01[[#This Row],[TRECHO]],_xlfn.XLOOKUP(LD_01[[#This Row],[SIGLA]],'CLASSES DE PROJETOS'!$C$3:$C$37,'CLASSES DE PROJETOS'!$E$3:$E$37))</f>
        <v>MSV-163MS-634-RET/10.DR</v>
      </c>
      <c r="I849" s="6" t="str" cm="1">
        <f t="array" ref="I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J849" s="6" t="str" cm="1">
        <f t="array" ref="J849">_xlfn.TEXTJOIN(", ",TRUE,_xlfn.UNIQUE(_xlfn._xlws.FILTER(ARQUIVOS_RECEBIDOS!$F$2:$F$5010,ARQUIVOS_RECEBIDOS!$E$2:$E$5010=LD_01[[#This Row],[DOCUMENTO]])))</f>
        <v>R01, R02</v>
      </c>
      <c r="K849" s="12" cm="1">
        <f t="array" ref="K849">_xlfn.UNIQUE(_xlfn._xlws.FILTER(ARQUIVOS[DATA RECEBIMENTO],(ARQUIVOS[DOCUMENTO]=LD_01[[#This Row],[DOCUMENTO]])*(ARQUIVOS[REVISÃO]=LD_01[[#This Row],[REVISÃO]])))</f>
        <v>45859</v>
      </c>
      <c r="L8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M849" s="6" t="str">
        <f>LD_01[[#This Row],[PASTA]]&amp;"/"&amp;LD_01[[#This Row],[ARQUIVO]]</f>
        <v>MSV-163MS-634-RET/10.DR/MSV-163MS-634+900-RET-EXE-DE-H2-008-R02.pdf</v>
      </c>
    </row>
    <row r="850" spans="1:13" hidden="1" x14ac:dyDescent="0.3">
      <c r="A850" s="6" t="s">
        <v>3648</v>
      </c>
      <c r="B850" s="6" t="str">
        <f>VLOOKUP(LD_01[[#This Row],[DOCUMENTO]],_xlfn.SORTBY(ARQUIVOS_RECEBIDOS!$E$2:$F$5010,ARQUIVOS_RECEBIDOS!$F$2:$F$5010,-1),2,)</f>
        <v>R02</v>
      </c>
      <c r="C850" s="15" t="s">
        <v>5987</v>
      </c>
      <c r="D850" s="6" t="s">
        <v>4319</v>
      </c>
      <c r="E850" s="8" t="s">
        <v>4087</v>
      </c>
      <c r="F850" s="8" t="s">
        <v>4143</v>
      </c>
      <c r="G850" s="6" t="str">
        <f>_xlfn.XLOOKUP(LD_01[[#This Row],[DISCIPLINA]],'CLASSES DE PROJETOS'!$F$3:$F$37,'CLASSES DE PROJETOS'!$C$3:$C$37)</f>
        <v>PV</v>
      </c>
      <c r="H850" t="str">
        <f>_xlfn.TEXTJOIN("/",TRUE,"MSV-163MS-"&amp;LD_01[[#This Row],[TRECHO]],_xlfn.XLOOKUP(LD_01[[#This Row],[SIGLA]],'CLASSES DE PROJETOS'!$C$3:$C$37,'CLASSES DE PROJETOS'!$E$3:$E$37))</f>
        <v>MSV-163MS-634-RET/28.PV</v>
      </c>
      <c r="I850" s="6" t="str" cm="1">
        <f t="array" ref="I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J850" s="6" t="str" cm="1">
        <f t="array" ref="J850">_xlfn.TEXTJOIN(", ",TRUE,_xlfn.UNIQUE(_xlfn._xlws.FILTER(ARQUIVOS_RECEBIDOS!$F$2:$F$5010,ARQUIVOS_RECEBIDOS!$E$2:$E$5010=LD_01[[#This Row],[DOCUMENTO]])))</f>
        <v>R01, R02</v>
      </c>
      <c r="K850" s="12" cm="1">
        <f t="array" ref="K850">_xlfn.UNIQUE(_xlfn._xlws.FILTER(ARQUIVOS[DATA RECEBIMENTO],(ARQUIVOS[DOCUMENTO]=LD_01[[#This Row],[DOCUMENTO]])*(ARQUIVOS[REVISÃO]=LD_01[[#This Row],[REVISÃO]])))</f>
        <v>45859</v>
      </c>
      <c r="L8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M850" s="6" t="str">
        <f>LD_01[[#This Row],[PASTA]]&amp;"/"&amp;LD_01[[#This Row],[ARQUIVO]]</f>
        <v>MSV-163MS-634-RET/28.PV/MSV-163MS-634+900-RET-EXE-DE-I2-001-R02.pdf</v>
      </c>
    </row>
    <row r="851" spans="1:13" hidden="1" x14ac:dyDescent="0.3">
      <c r="A851" s="6" t="s">
        <v>3649</v>
      </c>
      <c r="B851" s="6" t="str">
        <f>VLOOKUP(LD_01[[#This Row],[DOCUMENTO]],_xlfn.SORTBY(ARQUIVOS_RECEBIDOS!$E$2:$F$5010,ARQUIVOS_RECEBIDOS!$F$2:$F$5010,-1),2,)</f>
        <v>R02</v>
      </c>
      <c r="C851" s="15" t="s">
        <v>5987</v>
      </c>
      <c r="D851" s="6" t="s">
        <v>4319</v>
      </c>
      <c r="E851" s="8" t="s">
        <v>4087</v>
      </c>
      <c r="F851" s="8" t="s">
        <v>4143</v>
      </c>
      <c r="G851" s="6" t="str">
        <f>_xlfn.XLOOKUP(LD_01[[#This Row],[DISCIPLINA]],'CLASSES DE PROJETOS'!$F$3:$F$37,'CLASSES DE PROJETOS'!$C$3:$C$37)</f>
        <v>PV</v>
      </c>
      <c r="H851" t="str">
        <f>_xlfn.TEXTJOIN("/",TRUE,"MSV-163MS-"&amp;LD_01[[#This Row],[TRECHO]],_xlfn.XLOOKUP(LD_01[[#This Row],[SIGLA]],'CLASSES DE PROJETOS'!$C$3:$C$37,'CLASSES DE PROJETOS'!$E$3:$E$37))</f>
        <v>MSV-163MS-634-RET/28.PV</v>
      </c>
      <c r="I851" s="6" t="str" cm="1">
        <f t="array" ref="I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J851" s="6" t="str" cm="1">
        <f t="array" ref="J851">_xlfn.TEXTJOIN(", ",TRUE,_xlfn.UNIQUE(_xlfn._xlws.FILTER(ARQUIVOS_RECEBIDOS!$F$2:$F$5010,ARQUIVOS_RECEBIDOS!$E$2:$E$5010=LD_01[[#This Row],[DOCUMENTO]])))</f>
        <v>R01, R02</v>
      </c>
      <c r="K851" s="12" cm="1">
        <f t="array" ref="K851">_xlfn.UNIQUE(_xlfn._xlws.FILTER(ARQUIVOS[DATA RECEBIMENTO],(ARQUIVOS[DOCUMENTO]=LD_01[[#This Row],[DOCUMENTO]])*(ARQUIVOS[REVISÃO]=LD_01[[#This Row],[REVISÃO]])))</f>
        <v>45859</v>
      </c>
      <c r="L8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M851" s="6" t="str">
        <f>LD_01[[#This Row],[PASTA]]&amp;"/"&amp;LD_01[[#This Row],[ARQUIVO]]</f>
        <v>MSV-163MS-634-RET/28.PV/MSV-163MS-634+900-RET-EXE-DE-I2-002-R02.pdf</v>
      </c>
    </row>
    <row r="852" spans="1:13" hidden="1" x14ac:dyDescent="0.3">
      <c r="A852" s="6" t="s">
        <v>3650</v>
      </c>
      <c r="B852" s="6" t="str">
        <f>VLOOKUP(LD_01[[#This Row],[DOCUMENTO]],_xlfn.SORTBY(ARQUIVOS_RECEBIDOS!$E$2:$F$5010,ARQUIVOS_RECEBIDOS!$F$2:$F$5010,-1),2,)</f>
        <v>R02</v>
      </c>
      <c r="C852" s="15" t="s">
        <v>5987</v>
      </c>
      <c r="D852" s="6" t="s">
        <v>4319</v>
      </c>
      <c r="E852" s="8" t="s">
        <v>4087</v>
      </c>
      <c r="F852" s="8" t="s">
        <v>4143</v>
      </c>
      <c r="G852" s="6" t="str">
        <f>_xlfn.XLOOKUP(LD_01[[#This Row],[DISCIPLINA]],'CLASSES DE PROJETOS'!$F$3:$F$37,'CLASSES DE PROJETOS'!$C$3:$C$37)</f>
        <v>PV</v>
      </c>
      <c r="H852" t="str">
        <f>_xlfn.TEXTJOIN("/",TRUE,"MSV-163MS-"&amp;LD_01[[#This Row],[TRECHO]],_xlfn.XLOOKUP(LD_01[[#This Row],[SIGLA]],'CLASSES DE PROJETOS'!$C$3:$C$37,'CLASSES DE PROJETOS'!$E$3:$E$37))</f>
        <v>MSV-163MS-634-RET/28.PV</v>
      </c>
      <c r="I852" s="6" t="str" cm="1">
        <f t="array" ref="I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J852" s="6" t="str" cm="1">
        <f t="array" ref="J852">_xlfn.TEXTJOIN(", ",TRUE,_xlfn.UNIQUE(_xlfn._xlws.FILTER(ARQUIVOS_RECEBIDOS!$F$2:$F$5010,ARQUIVOS_RECEBIDOS!$E$2:$E$5010=LD_01[[#This Row],[DOCUMENTO]])))</f>
        <v>R01, R02</v>
      </c>
      <c r="K852" s="12" cm="1">
        <f t="array" ref="K852">_xlfn.UNIQUE(_xlfn._xlws.FILTER(ARQUIVOS[DATA RECEBIMENTO],(ARQUIVOS[DOCUMENTO]=LD_01[[#This Row],[DOCUMENTO]])*(ARQUIVOS[REVISÃO]=LD_01[[#This Row],[REVISÃO]])))</f>
        <v>45859</v>
      </c>
      <c r="L8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M852" s="6" t="str">
        <f>LD_01[[#This Row],[PASTA]]&amp;"/"&amp;LD_01[[#This Row],[ARQUIVO]]</f>
        <v>MSV-163MS-634-RET/28.PV/MSV-163MS-634+900-RET-EXE-DE-I2-003-R02.pdf</v>
      </c>
    </row>
    <row r="853" spans="1:13" hidden="1" x14ac:dyDescent="0.3">
      <c r="A853" s="6" t="s">
        <v>3651</v>
      </c>
      <c r="B853" s="6" t="str">
        <f>VLOOKUP(LD_01[[#This Row],[DOCUMENTO]],_xlfn.SORTBY(ARQUIVOS_RECEBIDOS!$E$2:$F$5010,ARQUIVOS_RECEBIDOS!$F$2:$F$5010,-1),2,)</f>
        <v>R02</v>
      </c>
      <c r="C853" s="15" t="s">
        <v>5987</v>
      </c>
      <c r="D853" s="6" t="s">
        <v>4319</v>
      </c>
      <c r="E853" s="8" t="s">
        <v>4087</v>
      </c>
      <c r="F853" s="8" t="s">
        <v>4143</v>
      </c>
      <c r="G853" s="6" t="str">
        <f>_xlfn.XLOOKUP(LD_01[[#This Row],[DISCIPLINA]],'CLASSES DE PROJETOS'!$F$3:$F$37,'CLASSES DE PROJETOS'!$C$3:$C$37)</f>
        <v>PV</v>
      </c>
      <c r="H853" t="str">
        <f>_xlfn.TEXTJOIN("/",TRUE,"MSV-163MS-"&amp;LD_01[[#This Row],[TRECHO]],_xlfn.XLOOKUP(LD_01[[#This Row],[SIGLA]],'CLASSES DE PROJETOS'!$C$3:$C$37,'CLASSES DE PROJETOS'!$E$3:$E$37))</f>
        <v>MSV-163MS-634-RET/28.PV</v>
      </c>
      <c r="I853" s="6" t="str" cm="1">
        <f t="array" ref="I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J853" s="6" t="str" cm="1">
        <f t="array" ref="J853">_xlfn.TEXTJOIN(", ",TRUE,_xlfn.UNIQUE(_xlfn._xlws.FILTER(ARQUIVOS_RECEBIDOS!$F$2:$F$5010,ARQUIVOS_RECEBIDOS!$E$2:$E$5010=LD_01[[#This Row],[DOCUMENTO]])))</f>
        <v>R01, R02</v>
      </c>
      <c r="K853" s="12" cm="1">
        <f t="array" ref="K853">_xlfn.UNIQUE(_xlfn._xlws.FILTER(ARQUIVOS[DATA RECEBIMENTO],(ARQUIVOS[DOCUMENTO]=LD_01[[#This Row],[DOCUMENTO]])*(ARQUIVOS[REVISÃO]=LD_01[[#This Row],[REVISÃO]])))</f>
        <v>45859</v>
      </c>
      <c r="L8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M853" s="6" t="str">
        <f>LD_01[[#This Row],[PASTA]]&amp;"/"&amp;LD_01[[#This Row],[ARQUIVO]]</f>
        <v>MSV-163MS-634-RET/28.PV/MSV-163MS-634+900-RET-EXE-DE-I2-004-R02.pdf</v>
      </c>
    </row>
    <row r="854" spans="1:13" hidden="1" x14ac:dyDescent="0.3">
      <c r="A854" s="6" t="s">
        <v>3652</v>
      </c>
      <c r="B854" s="6" t="str">
        <f>VLOOKUP(LD_01[[#This Row],[DOCUMENTO]],_xlfn.SORTBY(ARQUIVOS_RECEBIDOS!$E$2:$F$5010,ARQUIVOS_RECEBIDOS!$F$2:$F$5010,-1),2,)</f>
        <v>R03</v>
      </c>
      <c r="C854" s="15" t="s">
        <v>5987</v>
      </c>
      <c r="D854" s="6" t="s">
        <v>4319</v>
      </c>
      <c r="E854" s="8" t="s">
        <v>4964</v>
      </c>
      <c r="F854" s="8" t="s">
        <v>4143</v>
      </c>
      <c r="G854" s="6" t="str">
        <f>_xlfn.XLOOKUP(LD_01[[#This Row],[DISCIPLINA]],'CLASSES DE PROJETOS'!$F$3:$F$37,'CLASSES DE PROJETOS'!$C$3:$C$37)</f>
        <v>PV</v>
      </c>
      <c r="H854" t="str">
        <f>_xlfn.TEXTJOIN("/",TRUE,"MSV-163MS-"&amp;LD_01[[#This Row],[TRECHO]],_xlfn.XLOOKUP(LD_01[[#This Row],[SIGLA]],'CLASSES DE PROJETOS'!$C$3:$C$37,'CLASSES DE PROJETOS'!$E$3:$E$37))</f>
        <v>MSV-163MS-634-RET/28.PV</v>
      </c>
      <c r="I854" s="6" t="str" cm="1">
        <f t="array" ref="I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J854" s="6" t="str" cm="1">
        <f t="array" ref="J854">_xlfn.TEXTJOIN(", ",TRUE,_xlfn.UNIQUE(_xlfn._xlws.FILTER(ARQUIVOS_RECEBIDOS!$F$2:$F$5010,ARQUIVOS_RECEBIDOS!$E$2:$E$5010=LD_01[[#This Row],[DOCUMENTO]])))</f>
        <v>R01, R03</v>
      </c>
      <c r="K854" s="12" cm="1">
        <f t="array" ref="K854">_xlfn.UNIQUE(_xlfn._xlws.FILTER(ARQUIVOS[DATA RECEBIMENTO],(ARQUIVOS[DOCUMENTO]=LD_01[[#This Row],[DOCUMENTO]])*(ARQUIVOS[REVISÃO]=LD_01[[#This Row],[REVISÃO]])))</f>
        <v>45859</v>
      </c>
      <c r="L8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M854" s="6" t="str">
        <f>LD_01[[#This Row],[PASTA]]&amp;"/"&amp;LD_01[[#This Row],[ARQUIVO]]</f>
        <v>MSV-163MS-634-RET/28.PV/MSV-163MS-634+900-RET-EXE-DE-I2-005-R03.pdf</v>
      </c>
    </row>
    <row r="855" spans="1:13" hidden="1" x14ac:dyDescent="0.3">
      <c r="A855" s="6" t="s">
        <v>3653</v>
      </c>
      <c r="B855" s="6" t="str">
        <f>VLOOKUP(LD_01[[#This Row],[DOCUMENTO]],_xlfn.SORTBY(ARQUIVOS_RECEBIDOS!$E$2:$F$5010,ARQUIVOS_RECEBIDOS!$F$2:$F$5010,-1),2,)</f>
        <v>R03</v>
      </c>
      <c r="C855" s="15" t="s">
        <v>5987</v>
      </c>
      <c r="D855" s="6" t="s">
        <v>4319</v>
      </c>
      <c r="E855" s="8" t="s">
        <v>4964</v>
      </c>
      <c r="F855" s="8" t="s">
        <v>4143</v>
      </c>
      <c r="G855" s="6" t="str">
        <f>_xlfn.XLOOKUP(LD_01[[#This Row],[DISCIPLINA]],'CLASSES DE PROJETOS'!$F$3:$F$37,'CLASSES DE PROJETOS'!$C$3:$C$37)</f>
        <v>PV</v>
      </c>
      <c r="H855" t="str">
        <f>_xlfn.TEXTJOIN("/",TRUE,"MSV-163MS-"&amp;LD_01[[#This Row],[TRECHO]],_xlfn.XLOOKUP(LD_01[[#This Row],[SIGLA]],'CLASSES DE PROJETOS'!$C$3:$C$37,'CLASSES DE PROJETOS'!$E$3:$E$37))</f>
        <v>MSV-163MS-634-RET/28.PV</v>
      </c>
      <c r="I855" s="6" t="str" cm="1">
        <f t="array" ref="I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J855" s="6" t="str" cm="1">
        <f t="array" ref="J855">_xlfn.TEXTJOIN(", ",TRUE,_xlfn.UNIQUE(_xlfn._xlws.FILTER(ARQUIVOS_RECEBIDOS!$F$2:$F$5010,ARQUIVOS_RECEBIDOS!$E$2:$E$5010=LD_01[[#This Row],[DOCUMENTO]])))</f>
        <v>R01, R03</v>
      </c>
      <c r="K855" s="12" cm="1">
        <f t="array" ref="K855">_xlfn.UNIQUE(_xlfn._xlws.FILTER(ARQUIVOS[DATA RECEBIMENTO],(ARQUIVOS[DOCUMENTO]=LD_01[[#This Row],[DOCUMENTO]])*(ARQUIVOS[REVISÃO]=LD_01[[#This Row],[REVISÃO]])))</f>
        <v>45859</v>
      </c>
      <c r="L8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M855" s="6" t="str">
        <f>LD_01[[#This Row],[PASTA]]&amp;"/"&amp;LD_01[[#This Row],[ARQUIVO]]</f>
        <v>MSV-163MS-634-RET/28.PV/MSV-163MS-634+900-RET-EXE-DE-I2-006-R03.pdf</v>
      </c>
    </row>
    <row r="856" spans="1:13" hidden="1" x14ac:dyDescent="0.3">
      <c r="A856" s="6" t="s">
        <v>3654</v>
      </c>
      <c r="B856" s="6" t="str">
        <f>VLOOKUP(LD_01[[#This Row],[DOCUMENTO]],_xlfn.SORTBY(ARQUIVOS_RECEBIDOS!$E$2:$F$5010,ARQUIVOS_RECEBIDOS!$F$2:$F$5010,-1),2,)</f>
        <v>R03</v>
      </c>
      <c r="C856" s="15" t="s">
        <v>5987</v>
      </c>
      <c r="D856" s="6" t="s">
        <v>4319</v>
      </c>
      <c r="E856" s="8" t="s">
        <v>4964</v>
      </c>
      <c r="F856" s="8" t="s">
        <v>4143</v>
      </c>
      <c r="G856" s="6" t="str">
        <f>_xlfn.XLOOKUP(LD_01[[#This Row],[DISCIPLINA]],'CLASSES DE PROJETOS'!$F$3:$F$37,'CLASSES DE PROJETOS'!$C$3:$C$37)</f>
        <v>PV</v>
      </c>
      <c r="H856" t="str">
        <f>_xlfn.TEXTJOIN("/",TRUE,"MSV-163MS-"&amp;LD_01[[#This Row],[TRECHO]],_xlfn.XLOOKUP(LD_01[[#This Row],[SIGLA]],'CLASSES DE PROJETOS'!$C$3:$C$37,'CLASSES DE PROJETOS'!$E$3:$E$37))</f>
        <v>MSV-163MS-634-RET/28.PV</v>
      </c>
      <c r="I856" s="6" t="str" cm="1">
        <f t="array" ref="I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J856" s="6" t="str" cm="1">
        <f t="array" ref="J856">_xlfn.TEXTJOIN(", ",TRUE,_xlfn.UNIQUE(_xlfn._xlws.FILTER(ARQUIVOS_RECEBIDOS!$F$2:$F$5010,ARQUIVOS_RECEBIDOS!$E$2:$E$5010=LD_01[[#This Row],[DOCUMENTO]])))</f>
        <v>R01, R03</v>
      </c>
      <c r="K856" s="12" cm="1">
        <f t="array" ref="K856">_xlfn.UNIQUE(_xlfn._xlws.FILTER(ARQUIVOS[DATA RECEBIMENTO],(ARQUIVOS[DOCUMENTO]=LD_01[[#This Row],[DOCUMENTO]])*(ARQUIVOS[REVISÃO]=LD_01[[#This Row],[REVISÃO]])))</f>
        <v>45859</v>
      </c>
      <c r="L8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M856" s="6" t="str">
        <f>LD_01[[#This Row],[PASTA]]&amp;"/"&amp;LD_01[[#This Row],[ARQUIVO]]</f>
        <v>MSV-163MS-634-RET/28.PV/MSV-163MS-634+900-RET-EXE-DE-I2-007-R03.pdf</v>
      </c>
    </row>
    <row r="857" spans="1:13" hidden="1" x14ac:dyDescent="0.3">
      <c r="A857" s="6" t="s">
        <v>3655</v>
      </c>
      <c r="B857" s="6" t="str">
        <f>VLOOKUP(LD_01[[#This Row],[DOCUMENTO]],_xlfn.SORTBY(ARQUIVOS_RECEBIDOS!$E$2:$F$5010,ARQUIVOS_RECEBIDOS!$F$2:$F$5010,-1),2,)</f>
        <v>R03</v>
      </c>
      <c r="C857" s="15" t="s">
        <v>5987</v>
      </c>
      <c r="D857" s="6" t="s">
        <v>4319</v>
      </c>
      <c r="E857" s="8" t="s">
        <v>4964</v>
      </c>
      <c r="F857" s="8" t="s">
        <v>4143</v>
      </c>
      <c r="G857" s="6" t="str">
        <f>_xlfn.XLOOKUP(LD_01[[#This Row],[DISCIPLINA]],'CLASSES DE PROJETOS'!$F$3:$F$37,'CLASSES DE PROJETOS'!$C$3:$C$37)</f>
        <v>PV</v>
      </c>
      <c r="H857" t="str">
        <f>_xlfn.TEXTJOIN("/",TRUE,"MSV-163MS-"&amp;LD_01[[#This Row],[TRECHO]],_xlfn.XLOOKUP(LD_01[[#This Row],[SIGLA]],'CLASSES DE PROJETOS'!$C$3:$C$37,'CLASSES DE PROJETOS'!$E$3:$E$37))</f>
        <v>MSV-163MS-634-RET/28.PV</v>
      </c>
      <c r="I857" s="6" t="str" cm="1">
        <f t="array" ref="I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J857" s="6" t="str" cm="1">
        <f t="array" ref="J857">_xlfn.TEXTJOIN(", ",TRUE,_xlfn.UNIQUE(_xlfn._xlws.FILTER(ARQUIVOS_RECEBIDOS!$F$2:$F$5010,ARQUIVOS_RECEBIDOS!$E$2:$E$5010=LD_01[[#This Row],[DOCUMENTO]])))</f>
        <v>R01, R03</v>
      </c>
      <c r="K857" s="12" cm="1">
        <f t="array" ref="K857">_xlfn.UNIQUE(_xlfn._xlws.FILTER(ARQUIVOS[DATA RECEBIMENTO],(ARQUIVOS[DOCUMENTO]=LD_01[[#This Row],[DOCUMENTO]])*(ARQUIVOS[REVISÃO]=LD_01[[#This Row],[REVISÃO]])))</f>
        <v>45859</v>
      </c>
      <c r="L8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M857" s="6" t="str">
        <f>LD_01[[#This Row],[PASTA]]&amp;"/"&amp;LD_01[[#This Row],[ARQUIVO]]</f>
        <v>MSV-163MS-634-RET/28.PV/MSV-163MS-634+900-RET-EXE-DE-I2-008-R03.pdf</v>
      </c>
    </row>
    <row r="858" spans="1:13" hidden="1" x14ac:dyDescent="0.3">
      <c r="A858" s="6" t="s">
        <v>3637</v>
      </c>
      <c r="B858" s="6" t="str">
        <f>VLOOKUP(LD_01[[#This Row],[DOCUMENTO]],_xlfn.SORTBY(ARQUIVOS_RECEBIDOS!$E$2:$F$5010,ARQUIVOS_RECEBIDOS!$F$2:$F$5010,-1),2,)</f>
        <v>R02</v>
      </c>
      <c r="C858" s="15" t="s">
        <v>5987</v>
      </c>
      <c r="D858" s="6" t="s">
        <v>4319</v>
      </c>
      <c r="E858" s="8" t="s">
        <v>4087</v>
      </c>
      <c r="F858" s="8" t="s">
        <v>4331</v>
      </c>
      <c r="G858" s="6" t="str">
        <f>_xlfn.XLOOKUP(LD_01[[#This Row],[DISCIPLINA]],'CLASSES DE PROJETOS'!$F$3:$F$37,'CLASSES DE PROJETOS'!$C$3:$C$37)</f>
        <v>SI</v>
      </c>
      <c r="H858" t="str">
        <f>_xlfn.TEXTJOIN("/",TRUE,"MSV-163MS-"&amp;LD_01[[#This Row],[TRECHO]],_xlfn.XLOOKUP(LD_01[[#This Row],[SIGLA]],'CLASSES DE PROJETOS'!$C$3:$C$37,'CLASSES DE PROJETOS'!$E$3:$E$37))</f>
        <v>MSV-163MS-634-RET/31.SI</v>
      </c>
      <c r="I858" s="6" t="str" cm="1">
        <f t="array" ref="I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J858" s="6" t="str" cm="1">
        <f t="array" ref="J858">_xlfn.TEXTJOIN(", ",TRUE,_xlfn.UNIQUE(_xlfn._xlws.FILTER(ARQUIVOS_RECEBIDOS!$F$2:$F$5010,ARQUIVOS_RECEBIDOS!$E$2:$E$5010=LD_01[[#This Row],[DOCUMENTO]])))</f>
        <v>R01, R02</v>
      </c>
      <c r="K858" s="12" cm="1">
        <f t="array" ref="K858">_xlfn.UNIQUE(_xlfn._xlws.FILTER(ARQUIVOS[DATA RECEBIMENTO],(ARQUIVOS[DOCUMENTO]=LD_01[[#This Row],[DOCUMENTO]])*(ARQUIVOS[REVISÃO]=LD_01[[#This Row],[REVISÃO]])))</f>
        <v>45895</v>
      </c>
      <c r="L8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M858" s="6" t="str">
        <f>LD_01[[#This Row],[PASTA]]&amp;"/"&amp;LD_01[[#This Row],[ARQUIVO]]</f>
        <v>MSV-163MS-634-RET/31.SI/MSV-163MS-634+900-RET-EXE-DE-J1-001-R02.pdf</v>
      </c>
    </row>
    <row r="859" spans="1:13" hidden="1" x14ac:dyDescent="0.3">
      <c r="A859" s="6" t="s">
        <v>3638</v>
      </c>
      <c r="B859" s="6" t="str">
        <f>VLOOKUP(LD_01[[#This Row],[DOCUMENTO]],_xlfn.SORTBY(ARQUIVOS_RECEBIDOS!$E$2:$F$5010,ARQUIVOS_RECEBIDOS!$F$2:$F$5010,-1),2,)</f>
        <v>R02</v>
      </c>
      <c r="C859" s="15" t="s">
        <v>5987</v>
      </c>
      <c r="D859" s="6" t="s">
        <v>4319</v>
      </c>
      <c r="E859" s="8" t="s">
        <v>4087</v>
      </c>
      <c r="F859" s="8" t="s">
        <v>4331</v>
      </c>
      <c r="G859" s="6" t="str">
        <f>_xlfn.XLOOKUP(LD_01[[#This Row],[DISCIPLINA]],'CLASSES DE PROJETOS'!$F$3:$F$37,'CLASSES DE PROJETOS'!$C$3:$C$37)</f>
        <v>SI</v>
      </c>
      <c r="H859" t="str">
        <f>_xlfn.TEXTJOIN("/",TRUE,"MSV-163MS-"&amp;LD_01[[#This Row],[TRECHO]],_xlfn.XLOOKUP(LD_01[[#This Row],[SIGLA]],'CLASSES DE PROJETOS'!$C$3:$C$37,'CLASSES DE PROJETOS'!$E$3:$E$37))</f>
        <v>MSV-163MS-634-RET/31.SI</v>
      </c>
      <c r="I859" s="6" t="str" cm="1">
        <f t="array" ref="I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J859" s="6" t="str" cm="1">
        <f t="array" ref="J859">_xlfn.TEXTJOIN(", ",TRUE,_xlfn.UNIQUE(_xlfn._xlws.FILTER(ARQUIVOS_RECEBIDOS!$F$2:$F$5010,ARQUIVOS_RECEBIDOS!$E$2:$E$5010=LD_01[[#This Row],[DOCUMENTO]])))</f>
        <v>R01, R02</v>
      </c>
      <c r="K859" s="12" cm="1">
        <f t="array" ref="K859">_xlfn.UNIQUE(_xlfn._xlws.FILTER(ARQUIVOS[DATA RECEBIMENTO],(ARQUIVOS[DOCUMENTO]=LD_01[[#This Row],[DOCUMENTO]])*(ARQUIVOS[REVISÃO]=LD_01[[#This Row],[REVISÃO]])))</f>
        <v>45895</v>
      </c>
      <c r="L8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M859" s="6" t="str">
        <f>LD_01[[#This Row],[PASTA]]&amp;"/"&amp;LD_01[[#This Row],[ARQUIVO]]</f>
        <v>MSV-163MS-634-RET/31.SI/MSV-163MS-634+900-RET-EXE-DE-J1-002-R02.pdf</v>
      </c>
    </row>
    <row r="860" spans="1:13" hidden="1" x14ac:dyDescent="0.3">
      <c r="A860" s="6" t="s">
        <v>3639</v>
      </c>
      <c r="B860" s="6" t="str">
        <f>VLOOKUP(LD_01[[#This Row],[DOCUMENTO]],_xlfn.SORTBY(ARQUIVOS_RECEBIDOS!$E$2:$F$5010,ARQUIVOS_RECEBIDOS!$F$2:$F$5010,-1),2,)</f>
        <v>R02</v>
      </c>
      <c r="C860" s="15" t="s">
        <v>5987</v>
      </c>
      <c r="D860" s="6" t="s">
        <v>4319</v>
      </c>
      <c r="E860" s="8" t="s">
        <v>4087</v>
      </c>
      <c r="F860" s="8" t="s">
        <v>4331</v>
      </c>
      <c r="G860" s="6" t="str">
        <f>_xlfn.XLOOKUP(LD_01[[#This Row],[DISCIPLINA]],'CLASSES DE PROJETOS'!$F$3:$F$37,'CLASSES DE PROJETOS'!$C$3:$C$37)</f>
        <v>SI</v>
      </c>
      <c r="H860" t="str">
        <f>_xlfn.TEXTJOIN("/",TRUE,"MSV-163MS-"&amp;LD_01[[#This Row],[TRECHO]],_xlfn.XLOOKUP(LD_01[[#This Row],[SIGLA]],'CLASSES DE PROJETOS'!$C$3:$C$37,'CLASSES DE PROJETOS'!$E$3:$E$37))</f>
        <v>MSV-163MS-634-RET/31.SI</v>
      </c>
      <c r="I860" s="6" t="str" cm="1">
        <f t="array" ref="I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J860" s="6" t="str" cm="1">
        <f t="array" ref="J860">_xlfn.TEXTJOIN(", ",TRUE,_xlfn.UNIQUE(_xlfn._xlws.FILTER(ARQUIVOS_RECEBIDOS!$F$2:$F$5010,ARQUIVOS_RECEBIDOS!$E$2:$E$5010=LD_01[[#This Row],[DOCUMENTO]])))</f>
        <v>R01, R02</v>
      </c>
      <c r="K860" s="12" cm="1">
        <f t="array" ref="K860">_xlfn.UNIQUE(_xlfn._xlws.FILTER(ARQUIVOS[DATA RECEBIMENTO],(ARQUIVOS[DOCUMENTO]=LD_01[[#This Row],[DOCUMENTO]])*(ARQUIVOS[REVISÃO]=LD_01[[#This Row],[REVISÃO]])))</f>
        <v>45895</v>
      </c>
      <c r="L8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M860" s="6" t="str">
        <f>LD_01[[#This Row],[PASTA]]&amp;"/"&amp;LD_01[[#This Row],[ARQUIVO]]</f>
        <v>MSV-163MS-634-RET/31.SI/MSV-163MS-634+900-RET-EXE-DE-J1-003-R02.pdf</v>
      </c>
    </row>
    <row r="861" spans="1:13" hidden="1" x14ac:dyDescent="0.3">
      <c r="A861" s="6" t="s">
        <v>3640</v>
      </c>
      <c r="B861" s="6" t="str">
        <f>VLOOKUP(LD_01[[#This Row],[DOCUMENTO]],_xlfn.SORTBY(ARQUIVOS_RECEBIDOS!$E$2:$F$5010,ARQUIVOS_RECEBIDOS!$F$2:$F$5010,-1),2,)</f>
        <v>R02</v>
      </c>
      <c r="C861" s="15" t="s">
        <v>5987</v>
      </c>
      <c r="D861" s="6" t="s">
        <v>4319</v>
      </c>
      <c r="E861" s="8" t="s">
        <v>5009</v>
      </c>
      <c r="F861" s="8" t="s">
        <v>4331</v>
      </c>
      <c r="G861" s="6" t="str">
        <f>_xlfn.XLOOKUP(LD_01[[#This Row],[DISCIPLINA]],'CLASSES DE PROJETOS'!$F$3:$F$37,'CLASSES DE PROJETOS'!$C$3:$C$37)</f>
        <v>SI</v>
      </c>
      <c r="H861" t="str">
        <f>_xlfn.TEXTJOIN("/",TRUE,"MSV-163MS-"&amp;LD_01[[#This Row],[TRECHO]],_xlfn.XLOOKUP(LD_01[[#This Row],[SIGLA]],'CLASSES DE PROJETOS'!$C$3:$C$37,'CLASSES DE PROJETOS'!$E$3:$E$37))</f>
        <v>MSV-163MS-634-RET/31.SI</v>
      </c>
      <c r="I861" s="6" t="str" cm="1">
        <f t="array" ref="I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J861" s="6" t="str" cm="1">
        <f t="array" ref="J861">_xlfn.TEXTJOIN(", ",TRUE,_xlfn.UNIQUE(_xlfn._xlws.FILTER(ARQUIVOS_RECEBIDOS!$F$2:$F$5010,ARQUIVOS_RECEBIDOS!$E$2:$E$5010=LD_01[[#This Row],[DOCUMENTO]])))</f>
        <v>R01, R02</v>
      </c>
      <c r="K861" s="12" cm="1">
        <f t="array" ref="K861">_xlfn.UNIQUE(_xlfn._xlws.FILTER(ARQUIVOS[DATA RECEBIMENTO],(ARQUIVOS[DOCUMENTO]=LD_01[[#This Row],[DOCUMENTO]])*(ARQUIVOS[REVISÃO]=LD_01[[#This Row],[REVISÃO]])))</f>
        <v>45895</v>
      </c>
      <c r="L8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M861" s="6" t="str">
        <f>LD_01[[#This Row],[PASTA]]&amp;"/"&amp;LD_01[[#This Row],[ARQUIVO]]</f>
        <v>MSV-163MS-634-RET/31.SI/MSV-163MS-634+900-RET-EXE-DE-J1-004-R02.pdf</v>
      </c>
    </row>
    <row r="862" spans="1:13" hidden="1" x14ac:dyDescent="0.3">
      <c r="A862" s="6" t="s">
        <v>3641</v>
      </c>
      <c r="B862" s="6" t="str">
        <f>VLOOKUP(LD_01[[#This Row],[DOCUMENTO]],_xlfn.SORTBY(ARQUIVOS_RECEBIDOS!$E$2:$F$5010,ARQUIVOS_RECEBIDOS!$F$2:$F$5010,-1),2,)</f>
        <v>R00</v>
      </c>
      <c r="C862" s="15" t="s">
        <v>5987</v>
      </c>
      <c r="D862" s="6" t="s">
        <v>4319</v>
      </c>
      <c r="E862" s="8" t="s">
        <v>5009</v>
      </c>
      <c r="F862" s="8" t="s">
        <v>4331</v>
      </c>
      <c r="G862" s="6" t="str">
        <f>_xlfn.XLOOKUP(LD_01[[#This Row],[DISCIPLINA]],'CLASSES DE PROJETOS'!$F$3:$F$37,'CLASSES DE PROJETOS'!$C$3:$C$37)</f>
        <v>SI</v>
      </c>
      <c r="H862" t="str">
        <f>_xlfn.TEXTJOIN("/",TRUE,"MSV-163MS-"&amp;LD_01[[#This Row],[TRECHO]],_xlfn.XLOOKUP(LD_01[[#This Row],[SIGLA]],'CLASSES DE PROJETOS'!$C$3:$C$37,'CLASSES DE PROJETOS'!$E$3:$E$37))</f>
        <v>MSV-163MS-634-RET/31.SI</v>
      </c>
      <c r="I862" s="6" t="str" cm="1">
        <f t="array" ref="I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J862" s="6" t="str" cm="1">
        <f t="array" ref="J862">_xlfn.TEXTJOIN(", ",TRUE,_xlfn.UNIQUE(_xlfn._xlws.FILTER(ARQUIVOS_RECEBIDOS!$F$2:$F$5010,ARQUIVOS_RECEBIDOS!$E$2:$E$5010=LD_01[[#This Row],[DOCUMENTO]])))</f>
        <v>R00</v>
      </c>
      <c r="K862" s="12" cm="1">
        <f t="array" ref="K862">_xlfn.UNIQUE(_xlfn._xlws.FILTER(ARQUIVOS[DATA RECEBIMENTO],(ARQUIVOS[DOCUMENTO]=LD_01[[#This Row],[DOCUMENTO]])*(ARQUIVOS[REVISÃO]=LD_01[[#This Row],[REVISÃO]])))</f>
        <v>45838</v>
      </c>
      <c r="L8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M862" s="6" t="str">
        <f>LD_01[[#This Row],[PASTA]]&amp;"/"&amp;LD_01[[#This Row],[ARQUIVO]]</f>
        <v>MSV-163MS-634-RET/31.SI/MSV-163MS-634+900-RET-EXE-DE-J1-005-R00.pdf</v>
      </c>
    </row>
    <row r="863" spans="1:13" hidden="1" x14ac:dyDescent="0.3">
      <c r="A863" s="6" t="s">
        <v>3642</v>
      </c>
      <c r="B863" s="6" t="str">
        <f>VLOOKUP(LD_01[[#This Row],[DOCUMENTO]],_xlfn.SORTBY(ARQUIVOS_RECEBIDOS!$E$2:$F$5010,ARQUIVOS_RECEBIDOS!$F$2:$F$5010,-1),2,)</f>
        <v>R01</v>
      </c>
      <c r="C863" s="15" t="s">
        <v>5987</v>
      </c>
      <c r="D863" s="6" t="s">
        <v>4319</v>
      </c>
      <c r="E863" s="8" t="s">
        <v>5010</v>
      </c>
      <c r="F863" s="8" t="s">
        <v>4331</v>
      </c>
      <c r="G863" s="6" t="str">
        <f>_xlfn.XLOOKUP(LD_01[[#This Row],[DISCIPLINA]],'CLASSES DE PROJETOS'!$F$3:$F$37,'CLASSES DE PROJETOS'!$C$3:$C$37)</f>
        <v>SI</v>
      </c>
      <c r="H863" t="str">
        <f>_xlfn.TEXTJOIN("/",TRUE,"MSV-163MS-"&amp;LD_01[[#This Row],[TRECHO]],_xlfn.XLOOKUP(LD_01[[#This Row],[SIGLA]],'CLASSES DE PROJETOS'!$C$3:$C$37,'CLASSES DE PROJETOS'!$E$3:$E$37))</f>
        <v>MSV-163MS-634-RET/31.SI</v>
      </c>
      <c r="I863" s="6" t="str" cm="1">
        <f t="array" ref="I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J863" s="6" t="str" cm="1">
        <f t="array" ref="J863">_xlfn.TEXTJOIN(", ",TRUE,_xlfn.UNIQUE(_xlfn._xlws.FILTER(ARQUIVOS_RECEBIDOS!$F$2:$F$5010,ARQUIVOS_RECEBIDOS!$E$2:$E$5010=LD_01[[#This Row],[DOCUMENTO]])))</f>
        <v>R01</v>
      </c>
      <c r="K863" s="12" cm="1">
        <f t="array" ref="K863">_xlfn.UNIQUE(_xlfn._xlws.FILTER(ARQUIVOS[DATA RECEBIMENTO],(ARQUIVOS[DOCUMENTO]=LD_01[[#This Row],[DOCUMENTO]])*(ARQUIVOS[REVISÃO]=LD_01[[#This Row],[REVISÃO]])))</f>
        <v>45838</v>
      </c>
      <c r="L8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M863" s="6" t="str">
        <f>LD_01[[#This Row],[PASTA]]&amp;"/"&amp;LD_01[[#This Row],[ARQUIVO]]</f>
        <v>MSV-163MS-634-RET/31.SI/MSV-163MS-634+900-RET-EXE-DE-J1-006-R01.pdf</v>
      </c>
    </row>
    <row r="864" spans="1:13" hidden="1" x14ac:dyDescent="0.3">
      <c r="A864" s="6" t="s">
        <v>3643</v>
      </c>
      <c r="B864" s="6" t="str">
        <f>VLOOKUP(LD_01[[#This Row],[DOCUMENTO]],_xlfn.SORTBY(ARQUIVOS_RECEBIDOS!$E$2:$F$5010,ARQUIVOS_RECEBIDOS!$F$2:$F$5010,-1),2,)</f>
        <v>R00</v>
      </c>
      <c r="C864" s="15" t="s">
        <v>5987</v>
      </c>
      <c r="D864" s="6" t="s">
        <v>4319</v>
      </c>
      <c r="E864" s="8" t="s">
        <v>5011</v>
      </c>
      <c r="F864" s="8" t="s">
        <v>4331</v>
      </c>
      <c r="G864" s="6" t="str">
        <f>_xlfn.XLOOKUP(LD_01[[#This Row],[DISCIPLINA]],'CLASSES DE PROJETOS'!$F$3:$F$37,'CLASSES DE PROJETOS'!$C$3:$C$37)</f>
        <v>SI</v>
      </c>
      <c r="H864" t="str">
        <f>_xlfn.TEXTJOIN("/",TRUE,"MSV-163MS-"&amp;LD_01[[#This Row],[TRECHO]],_xlfn.XLOOKUP(LD_01[[#This Row],[SIGLA]],'CLASSES DE PROJETOS'!$C$3:$C$37,'CLASSES DE PROJETOS'!$E$3:$E$37))</f>
        <v>MSV-163MS-634-RET/31.SI</v>
      </c>
      <c r="I864" s="6" t="str" cm="1">
        <f t="array" ref="I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J864" s="6" t="str" cm="1">
        <f t="array" ref="J864">_xlfn.TEXTJOIN(", ",TRUE,_xlfn.UNIQUE(_xlfn._xlws.FILTER(ARQUIVOS_RECEBIDOS!$F$2:$F$5010,ARQUIVOS_RECEBIDOS!$E$2:$E$5010=LD_01[[#This Row],[DOCUMENTO]])))</f>
        <v>R00</v>
      </c>
      <c r="K864" s="12" cm="1">
        <f t="array" ref="K864">_xlfn.UNIQUE(_xlfn._xlws.FILTER(ARQUIVOS[DATA RECEBIMENTO],(ARQUIVOS[DOCUMENTO]=LD_01[[#This Row],[DOCUMENTO]])*(ARQUIVOS[REVISÃO]=LD_01[[#This Row],[REVISÃO]])))</f>
        <v>45838</v>
      </c>
      <c r="L8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M864" s="6" t="str">
        <f>LD_01[[#This Row],[PASTA]]&amp;"/"&amp;LD_01[[#This Row],[ARQUIVO]]</f>
        <v>MSV-163MS-634-RET/31.SI/MSV-163MS-634+900-RET-EXE-DE-J1-007-R00.pdf</v>
      </c>
    </row>
    <row r="865" spans="1:13" hidden="1" x14ac:dyDescent="0.3">
      <c r="A865" s="6" t="s">
        <v>3644</v>
      </c>
      <c r="B865" s="6" t="str">
        <f>VLOOKUP(LD_01[[#This Row],[DOCUMENTO]],_xlfn.SORTBY(ARQUIVOS_RECEBIDOS!$E$2:$F$5010,ARQUIVOS_RECEBIDOS!$F$2:$F$5010,-1),2,)</f>
        <v>R00</v>
      </c>
      <c r="C865" s="15" t="s">
        <v>5987</v>
      </c>
      <c r="D865" s="6" t="s">
        <v>4319</v>
      </c>
      <c r="E865" s="8" t="s">
        <v>5012</v>
      </c>
      <c r="F865" s="8" t="s">
        <v>4331</v>
      </c>
      <c r="G865" s="6" t="str">
        <f>_xlfn.XLOOKUP(LD_01[[#This Row],[DISCIPLINA]],'CLASSES DE PROJETOS'!$F$3:$F$37,'CLASSES DE PROJETOS'!$C$3:$C$37)</f>
        <v>SI</v>
      </c>
      <c r="H865" t="str">
        <f>_xlfn.TEXTJOIN("/",TRUE,"MSV-163MS-"&amp;LD_01[[#This Row],[TRECHO]],_xlfn.XLOOKUP(LD_01[[#This Row],[SIGLA]],'CLASSES DE PROJETOS'!$C$3:$C$37,'CLASSES DE PROJETOS'!$E$3:$E$37))</f>
        <v>MSV-163MS-634-RET/31.SI</v>
      </c>
      <c r="I865" s="6" t="str" cm="1">
        <f t="array" ref="I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J865" s="6" t="str" cm="1">
        <f t="array" ref="J865">_xlfn.TEXTJOIN(", ",TRUE,_xlfn.UNIQUE(_xlfn._xlws.FILTER(ARQUIVOS_RECEBIDOS!$F$2:$F$5010,ARQUIVOS_RECEBIDOS!$E$2:$E$5010=LD_01[[#This Row],[DOCUMENTO]])))</f>
        <v>R00</v>
      </c>
      <c r="K865" s="12" cm="1">
        <f t="array" ref="K865">_xlfn.UNIQUE(_xlfn._xlws.FILTER(ARQUIVOS[DATA RECEBIMENTO],(ARQUIVOS[DOCUMENTO]=LD_01[[#This Row],[DOCUMENTO]])*(ARQUIVOS[REVISÃO]=LD_01[[#This Row],[REVISÃO]])))</f>
        <v>45838</v>
      </c>
      <c r="L8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M865" s="6" t="str">
        <f>LD_01[[#This Row],[PASTA]]&amp;"/"&amp;LD_01[[#This Row],[ARQUIVO]]</f>
        <v>MSV-163MS-634-RET/31.SI/MSV-163MS-634+900-RET-EXE-DE-J1-008-R00.pdf</v>
      </c>
    </row>
    <row r="866" spans="1:13" hidden="1" x14ac:dyDescent="0.3">
      <c r="A866" s="6" t="s">
        <v>3645</v>
      </c>
      <c r="B866" s="6" t="str">
        <f>VLOOKUP(LD_01[[#This Row],[DOCUMENTO]],_xlfn.SORTBY(ARQUIVOS_RECEBIDOS!$E$2:$F$5010,ARQUIVOS_RECEBIDOS!$F$2:$F$5010,-1),2,)</f>
        <v>R00</v>
      </c>
      <c r="C866" s="15" t="s">
        <v>5987</v>
      </c>
      <c r="D866" s="6" t="s">
        <v>4319</v>
      </c>
      <c r="E866" s="8" t="s">
        <v>5010</v>
      </c>
      <c r="F866" s="8" t="s">
        <v>4331</v>
      </c>
      <c r="G866" s="6" t="str">
        <f>_xlfn.XLOOKUP(LD_01[[#This Row],[DISCIPLINA]],'CLASSES DE PROJETOS'!$F$3:$F$37,'CLASSES DE PROJETOS'!$C$3:$C$37)</f>
        <v>SI</v>
      </c>
      <c r="H866" t="str">
        <f>_xlfn.TEXTJOIN("/",TRUE,"MSV-163MS-"&amp;LD_01[[#This Row],[TRECHO]],_xlfn.XLOOKUP(LD_01[[#This Row],[SIGLA]],'CLASSES DE PROJETOS'!$C$3:$C$37,'CLASSES DE PROJETOS'!$E$3:$E$37))</f>
        <v>MSV-163MS-634-RET/31.SI</v>
      </c>
      <c r="I866" s="6" t="str" cm="1">
        <f t="array" ref="I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J866" s="6" t="str" cm="1">
        <f t="array" ref="J866">_xlfn.TEXTJOIN(", ",TRUE,_xlfn.UNIQUE(_xlfn._xlws.FILTER(ARQUIVOS_RECEBIDOS!$F$2:$F$5010,ARQUIVOS_RECEBIDOS!$E$2:$E$5010=LD_01[[#This Row],[DOCUMENTO]])))</f>
        <v>R00</v>
      </c>
      <c r="K866" s="12" cm="1">
        <f t="array" ref="K866">_xlfn.UNIQUE(_xlfn._xlws.FILTER(ARQUIVOS[DATA RECEBIMENTO],(ARQUIVOS[DOCUMENTO]=LD_01[[#This Row],[DOCUMENTO]])*(ARQUIVOS[REVISÃO]=LD_01[[#This Row],[REVISÃO]])))</f>
        <v>45838</v>
      </c>
      <c r="L8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M866" s="6" t="str">
        <f>LD_01[[#This Row],[PASTA]]&amp;"/"&amp;LD_01[[#This Row],[ARQUIVO]]</f>
        <v>MSV-163MS-634-RET/31.SI/MSV-163MS-634+900-RET-EXE-DE-J1-009-R00.pdf</v>
      </c>
    </row>
    <row r="867" spans="1:13" ht="28.8" hidden="1" x14ac:dyDescent="0.3">
      <c r="A867" s="6" t="s">
        <v>3646</v>
      </c>
      <c r="B867" s="6" t="str">
        <f>VLOOKUP(LD_01[[#This Row],[DOCUMENTO]],_xlfn.SORTBY(ARQUIVOS_RECEBIDOS!$E$2:$F$5010,ARQUIVOS_RECEBIDOS!$F$2:$F$5010,-1),2,)</f>
        <v>R00</v>
      </c>
      <c r="C867" s="15" t="s">
        <v>5987</v>
      </c>
      <c r="D867" s="6" t="s">
        <v>4319</v>
      </c>
      <c r="E867" s="8" t="s">
        <v>5013</v>
      </c>
      <c r="F867" s="8" t="s">
        <v>4331</v>
      </c>
      <c r="G867" s="6" t="str">
        <f>_xlfn.XLOOKUP(LD_01[[#This Row],[DISCIPLINA]],'CLASSES DE PROJETOS'!$F$3:$F$37,'CLASSES DE PROJETOS'!$C$3:$C$37)</f>
        <v>SI</v>
      </c>
      <c r="H867" t="str">
        <f>_xlfn.TEXTJOIN("/",TRUE,"MSV-163MS-"&amp;LD_01[[#This Row],[TRECHO]],_xlfn.XLOOKUP(LD_01[[#This Row],[SIGLA]],'CLASSES DE PROJETOS'!$C$3:$C$37,'CLASSES DE PROJETOS'!$E$3:$E$37))</f>
        <v>MSV-163MS-634-RET/31.SI</v>
      </c>
      <c r="I867" s="6" t="str" cm="1">
        <f t="array" ref="I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J867" s="6" t="str" cm="1">
        <f t="array" ref="J867">_xlfn.TEXTJOIN(", ",TRUE,_xlfn.UNIQUE(_xlfn._xlws.FILTER(ARQUIVOS_RECEBIDOS!$F$2:$F$5010,ARQUIVOS_RECEBIDOS!$E$2:$E$5010=LD_01[[#This Row],[DOCUMENTO]])))</f>
        <v>R00</v>
      </c>
      <c r="K867" s="12" cm="1">
        <f t="array" ref="K867">_xlfn.UNIQUE(_xlfn._xlws.FILTER(ARQUIVOS[DATA RECEBIMENTO],(ARQUIVOS[DOCUMENTO]=LD_01[[#This Row],[DOCUMENTO]])*(ARQUIVOS[REVISÃO]=LD_01[[#This Row],[REVISÃO]])))</f>
        <v>45838</v>
      </c>
      <c r="L8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M867" s="6" t="str">
        <f>LD_01[[#This Row],[PASTA]]&amp;"/"&amp;LD_01[[#This Row],[ARQUIVO]]</f>
        <v>MSV-163MS-634-RET/31.SI/MSV-163MS-634+900-RET-EXE-DE-J1-010-R00.pdf</v>
      </c>
    </row>
    <row r="868" spans="1:13" ht="43.2" hidden="1" x14ac:dyDescent="0.3">
      <c r="A868" s="6" t="s">
        <v>3657</v>
      </c>
      <c r="B868" s="6" t="str">
        <f>VLOOKUP(LD_01[[#This Row],[DOCUMENTO]],_xlfn.SORTBY(ARQUIVOS_RECEBIDOS!$E$2:$F$5010,ARQUIVOS_RECEBIDOS!$F$2:$F$5010,-1),2,)</f>
        <v>R03</v>
      </c>
      <c r="C868" s="15" t="s">
        <v>5987</v>
      </c>
      <c r="D868" s="6" t="s">
        <v>4319</v>
      </c>
      <c r="E868" s="8" t="s">
        <v>5002</v>
      </c>
      <c r="F868" s="8" t="s">
        <v>4337</v>
      </c>
      <c r="G868" s="6" t="str">
        <f>_xlfn.XLOOKUP(LD_01[[#This Row],[DISCIPLINA]],'CLASSES DE PROJETOS'!$F$3:$F$37,'CLASSES DE PROJETOS'!$C$3:$C$37)</f>
        <v>EL</v>
      </c>
      <c r="H868" t="str">
        <f>_xlfn.TEXTJOIN("/",TRUE,"MSV-163MS-"&amp;LD_01[[#This Row],[TRECHO]],_xlfn.XLOOKUP(LD_01[[#This Row],[SIGLA]],'CLASSES DE PROJETOS'!$C$3:$C$37,'CLASSES DE PROJETOS'!$E$3:$E$37))</f>
        <v>MSV-163MS-634-RET/14.EL</v>
      </c>
      <c r="I868" s="6" t="str" cm="1">
        <f t="array" ref="I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J868" s="6" t="str" cm="1">
        <f t="array" ref="J868">_xlfn.TEXTJOIN(", ",TRUE,_xlfn.UNIQUE(_xlfn._xlws.FILTER(ARQUIVOS_RECEBIDOS!$F$2:$F$5010,ARQUIVOS_RECEBIDOS!$E$2:$E$5010=LD_01[[#This Row],[DOCUMENTO]])))</f>
        <v>R01, R02, R03</v>
      </c>
      <c r="K868" s="12" cm="1">
        <f t="array" ref="K868">_xlfn.UNIQUE(_xlfn._xlws.FILTER(ARQUIVOS[DATA RECEBIMENTO],(ARQUIVOS[DOCUMENTO]=LD_01[[#This Row],[DOCUMENTO]])*(ARQUIVOS[REVISÃO]=LD_01[[#This Row],[REVISÃO]])))</f>
        <v>45931</v>
      </c>
      <c r="L8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M868" s="6" t="str">
        <f>LD_01[[#This Row],[PASTA]]&amp;"/"&amp;LD_01[[#This Row],[ARQUIVO]]</f>
        <v>MSV-163MS-634-RET/14.EL/MSV-163MS-634+900-RET-EXE-DE-K2-001-R03.pdf</v>
      </c>
    </row>
    <row r="869" spans="1:13" ht="43.2" hidden="1" x14ac:dyDescent="0.3">
      <c r="A869" s="6" t="s">
        <v>3658</v>
      </c>
      <c r="B869" s="6" t="str">
        <f>VLOOKUP(LD_01[[#This Row],[DOCUMENTO]],_xlfn.SORTBY(ARQUIVOS_RECEBIDOS!$E$2:$F$5010,ARQUIVOS_RECEBIDOS!$F$2:$F$5010,-1),2,)</f>
        <v>R03</v>
      </c>
      <c r="C869" s="15" t="s">
        <v>5987</v>
      </c>
      <c r="D869" s="6" t="s">
        <v>4319</v>
      </c>
      <c r="E869" s="8" t="s">
        <v>5003</v>
      </c>
      <c r="F869" s="8" t="s">
        <v>4337</v>
      </c>
      <c r="G869" s="6" t="str">
        <f>_xlfn.XLOOKUP(LD_01[[#This Row],[DISCIPLINA]],'CLASSES DE PROJETOS'!$F$3:$F$37,'CLASSES DE PROJETOS'!$C$3:$C$37)</f>
        <v>EL</v>
      </c>
      <c r="H869" t="str">
        <f>_xlfn.TEXTJOIN("/",TRUE,"MSV-163MS-"&amp;LD_01[[#This Row],[TRECHO]],_xlfn.XLOOKUP(LD_01[[#This Row],[SIGLA]],'CLASSES DE PROJETOS'!$C$3:$C$37,'CLASSES DE PROJETOS'!$E$3:$E$37))</f>
        <v>MSV-163MS-634-RET/14.EL</v>
      </c>
      <c r="I869" s="6" t="str" cm="1">
        <f t="array" ref="I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J869" s="6" t="str" cm="1">
        <f t="array" ref="J869">_xlfn.TEXTJOIN(", ",TRUE,_xlfn.UNIQUE(_xlfn._xlws.FILTER(ARQUIVOS_RECEBIDOS!$F$2:$F$5010,ARQUIVOS_RECEBIDOS!$E$2:$E$5010=LD_01[[#This Row],[DOCUMENTO]])))</f>
        <v>R01, R02, R03</v>
      </c>
      <c r="K869" s="12" cm="1">
        <f t="array" ref="K869">_xlfn.UNIQUE(_xlfn._xlws.FILTER(ARQUIVOS[DATA RECEBIMENTO],(ARQUIVOS[DOCUMENTO]=LD_01[[#This Row],[DOCUMENTO]])*(ARQUIVOS[REVISÃO]=LD_01[[#This Row],[REVISÃO]])))</f>
        <v>45931</v>
      </c>
      <c r="L8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M869" s="6" t="str">
        <f>LD_01[[#This Row],[PASTA]]&amp;"/"&amp;LD_01[[#This Row],[ARQUIVO]]</f>
        <v>MSV-163MS-634-RET/14.EL/MSV-163MS-634+900-RET-EXE-DE-K2-002-R03.pdf</v>
      </c>
    </row>
    <row r="870" spans="1:13" ht="43.2" hidden="1" x14ac:dyDescent="0.3">
      <c r="A870" s="6" t="s">
        <v>3665</v>
      </c>
      <c r="B870" s="6" t="str">
        <f>VLOOKUP(LD_01[[#This Row],[DOCUMENTO]],_xlfn.SORTBY(ARQUIVOS_RECEBIDOS!$E$2:$F$5010,ARQUIVOS_RECEBIDOS!$F$2:$F$5010,-1),2,)</f>
        <v>R01</v>
      </c>
      <c r="C870" s="15" t="s">
        <v>5987</v>
      </c>
      <c r="D870" s="6" t="s">
        <v>4319</v>
      </c>
      <c r="E870" s="8" t="s">
        <v>4087</v>
      </c>
      <c r="F870" s="8" t="s">
        <v>4333</v>
      </c>
      <c r="G870" s="6" t="str">
        <f>_xlfn.XLOOKUP(LD_01[[#This Row],[DISCIPLINA]],'CLASSES DE PROJETOS'!$F$3:$F$37,'CLASSES DE PROJETOS'!$C$3:$C$37)</f>
        <v>IN</v>
      </c>
      <c r="H870" t="str">
        <f>_xlfn.TEXTJOIN("/",TRUE,"MSV-163MS-"&amp;LD_01[[#This Row],[TRECHO]],_xlfn.XLOOKUP(LD_01[[#This Row],[SIGLA]],'CLASSES DE PROJETOS'!$C$3:$C$37,'CLASSES DE PROJETOS'!$E$3:$E$37))</f>
        <v>MSV-163MS-634-RET/23.IN</v>
      </c>
      <c r="I870" s="6" t="str" cm="1">
        <f t="array" ref="I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J870" s="6" t="str" cm="1">
        <f t="array" ref="J870">_xlfn.TEXTJOIN(", ",TRUE,_xlfn.UNIQUE(_xlfn._xlws.FILTER(ARQUIVOS_RECEBIDOS!$F$2:$F$5010,ARQUIVOS_RECEBIDOS!$E$2:$E$5010=LD_01[[#This Row],[DOCUMENTO]])))</f>
        <v>R01</v>
      </c>
      <c r="K870" s="12" cm="1">
        <f t="array" ref="K870">_xlfn.UNIQUE(_xlfn._xlws.FILTER(ARQUIVOS[DATA RECEBIMENTO],(ARQUIVOS[DOCUMENTO]=LD_01[[#This Row],[DOCUMENTO]])*(ARQUIVOS[REVISÃO]=LD_01[[#This Row],[REVISÃO]])))</f>
        <v>45838</v>
      </c>
      <c r="L8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M870" s="6" t="str">
        <f>LD_01[[#This Row],[PASTA]]&amp;"/"&amp;LD_01[[#This Row],[ARQUIVO]]</f>
        <v>MSV-163MS-634-RET/23.IN/MSV-163MS-634+900-RET-EXE-DE-M1-001-R01.pdf</v>
      </c>
    </row>
    <row r="871" spans="1:13" hidden="1" x14ac:dyDescent="0.3">
      <c r="A871" s="6" t="s">
        <v>3677</v>
      </c>
      <c r="B871" s="6" t="str">
        <f>VLOOKUP(LD_01[[#This Row],[DOCUMENTO]],_xlfn.SORTBY(ARQUIVOS_RECEBIDOS!$E$2:$F$5010,ARQUIVOS_RECEBIDOS!$F$2:$F$5010,-1),2,)</f>
        <v>R03</v>
      </c>
      <c r="C871" s="15" t="s">
        <v>5987</v>
      </c>
      <c r="D871" s="6" t="s">
        <v>4319</v>
      </c>
      <c r="E871" s="8" t="s">
        <v>4962</v>
      </c>
      <c r="F871" s="8" t="s">
        <v>4334</v>
      </c>
      <c r="G871" s="6" t="str">
        <f>_xlfn.XLOOKUP(LD_01[[#This Row],[DISCIPLINA]],'CLASSES DE PROJETOS'!$F$3:$F$37,'CLASSES DE PROJETOS'!$C$3:$C$37)</f>
        <v>PA</v>
      </c>
      <c r="H871" t="str">
        <f>_xlfn.TEXTJOIN("/",TRUE,"MSV-163MS-"&amp;LD_01[[#This Row],[TRECHO]],_xlfn.XLOOKUP(LD_01[[#This Row],[SIGLA]],'CLASSES DE PROJETOS'!$C$3:$C$37,'CLASSES DE PROJETOS'!$E$3:$E$37))</f>
        <v>MSV-163MS-634-RET/27.PA</v>
      </c>
      <c r="I871" s="6" t="str" cm="1">
        <f t="array" ref="I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J871" s="6" t="str" cm="1">
        <f t="array" ref="J871">_xlfn.TEXTJOIN(", ",TRUE,_xlfn.UNIQUE(_xlfn._xlws.FILTER(ARQUIVOS_RECEBIDOS!$F$2:$F$5010,ARQUIVOS_RECEBIDOS!$E$2:$E$5010=LD_01[[#This Row],[DOCUMENTO]])))</f>
        <v>R02, R03</v>
      </c>
      <c r="K871" s="12" cm="1">
        <f t="array" ref="K871">_xlfn.UNIQUE(_xlfn._xlws.FILTER(ARQUIVOS[DATA RECEBIMENTO],(ARQUIVOS[DOCUMENTO]=LD_01[[#This Row],[DOCUMENTO]])*(ARQUIVOS[REVISÃO]=LD_01[[#This Row],[REVISÃO]])))</f>
        <v>45859</v>
      </c>
      <c r="L8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M871" s="6" t="str">
        <f>LD_01[[#This Row],[PASTA]]&amp;"/"&amp;LD_01[[#This Row],[ARQUIVO]]</f>
        <v>MSV-163MS-634-RET/27.PA/MSV-163MS-634+900-RET-EXE-DE-N2-001-R03.pdf</v>
      </c>
    </row>
    <row r="872" spans="1:13" hidden="1" x14ac:dyDescent="0.3">
      <c r="A872" s="6" t="s">
        <v>3678</v>
      </c>
      <c r="B872" s="6" t="str">
        <f>VLOOKUP(LD_01[[#This Row],[DOCUMENTO]],_xlfn.SORTBY(ARQUIVOS_RECEBIDOS!$E$2:$F$5010,ARQUIVOS_RECEBIDOS!$F$2:$F$5010,-1),2,)</f>
        <v>R03</v>
      </c>
      <c r="C872" s="15" t="s">
        <v>5987</v>
      </c>
      <c r="D872" s="6" t="s">
        <v>4319</v>
      </c>
      <c r="E872" s="8" t="s">
        <v>4962</v>
      </c>
      <c r="F872" s="8" t="s">
        <v>4334</v>
      </c>
      <c r="G872" s="6" t="str">
        <f>_xlfn.XLOOKUP(LD_01[[#This Row],[DISCIPLINA]],'CLASSES DE PROJETOS'!$F$3:$F$37,'CLASSES DE PROJETOS'!$C$3:$C$37)</f>
        <v>PA</v>
      </c>
      <c r="H872" t="str">
        <f>_xlfn.TEXTJOIN("/",TRUE,"MSV-163MS-"&amp;LD_01[[#This Row],[TRECHO]],_xlfn.XLOOKUP(LD_01[[#This Row],[SIGLA]],'CLASSES DE PROJETOS'!$C$3:$C$37,'CLASSES DE PROJETOS'!$E$3:$E$37))</f>
        <v>MSV-163MS-634-RET/27.PA</v>
      </c>
      <c r="I872" s="6" t="str" cm="1">
        <f t="array" ref="I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J872" s="6" t="str" cm="1">
        <f t="array" ref="J872">_xlfn.TEXTJOIN(", ",TRUE,_xlfn.UNIQUE(_xlfn._xlws.FILTER(ARQUIVOS_RECEBIDOS!$F$2:$F$5010,ARQUIVOS_RECEBIDOS!$E$2:$E$5010=LD_01[[#This Row],[DOCUMENTO]])))</f>
        <v>R02, R03</v>
      </c>
      <c r="K872" s="12" cm="1">
        <f t="array" ref="K872">_xlfn.UNIQUE(_xlfn._xlws.FILTER(ARQUIVOS[DATA RECEBIMENTO],(ARQUIVOS[DOCUMENTO]=LD_01[[#This Row],[DOCUMENTO]])*(ARQUIVOS[REVISÃO]=LD_01[[#This Row],[REVISÃO]])))</f>
        <v>45859</v>
      </c>
      <c r="L8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M872" s="6" t="str">
        <f>LD_01[[#This Row],[PASTA]]&amp;"/"&amp;LD_01[[#This Row],[ARQUIVO]]</f>
        <v>MSV-163MS-634-RET/27.PA/MSV-163MS-634+900-RET-EXE-DE-N2-002-R03.pdf</v>
      </c>
    </row>
    <row r="873" spans="1:13" hidden="1" x14ac:dyDescent="0.3">
      <c r="A873" s="6" t="s">
        <v>3679</v>
      </c>
      <c r="B873" s="6" t="str">
        <f>VLOOKUP(LD_01[[#This Row],[DOCUMENTO]],_xlfn.SORTBY(ARQUIVOS_RECEBIDOS!$E$2:$F$5010,ARQUIVOS_RECEBIDOS!$F$2:$F$5010,-1),2,)</f>
        <v>R03</v>
      </c>
      <c r="C873" s="15" t="s">
        <v>5987</v>
      </c>
      <c r="D873" s="6" t="s">
        <v>4319</v>
      </c>
      <c r="E873" s="8" t="s">
        <v>4087</v>
      </c>
      <c r="F873" s="8" t="s">
        <v>4334</v>
      </c>
      <c r="G873" s="6" t="str">
        <f>_xlfn.XLOOKUP(LD_01[[#This Row],[DISCIPLINA]],'CLASSES DE PROJETOS'!$F$3:$F$37,'CLASSES DE PROJETOS'!$C$3:$C$37)</f>
        <v>PA</v>
      </c>
      <c r="H873" t="str">
        <f>_xlfn.TEXTJOIN("/",TRUE,"MSV-163MS-"&amp;LD_01[[#This Row],[TRECHO]],_xlfn.XLOOKUP(LD_01[[#This Row],[SIGLA]],'CLASSES DE PROJETOS'!$C$3:$C$37,'CLASSES DE PROJETOS'!$E$3:$E$37))</f>
        <v>MSV-163MS-634-RET/27.PA</v>
      </c>
      <c r="I873" s="6" t="str" cm="1">
        <f t="array" ref="I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J873" s="6" t="str" cm="1">
        <f t="array" ref="J873">_xlfn.TEXTJOIN(", ",TRUE,_xlfn.UNIQUE(_xlfn._xlws.FILTER(ARQUIVOS_RECEBIDOS!$F$2:$F$5010,ARQUIVOS_RECEBIDOS!$E$2:$E$5010=LD_01[[#This Row],[DOCUMENTO]])))</f>
        <v>R02, R03</v>
      </c>
      <c r="K873" s="12" cm="1">
        <f t="array" ref="K873">_xlfn.UNIQUE(_xlfn._xlws.FILTER(ARQUIVOS[DATA RECEBIMENTO],(ARQUIVOS[DOCUMENTO]=LD_01[[#This Row],[DOCUMENTO]])*(ARQUIVOS[REVISÃO]=LD_01[[#This Row],[REVISÃO]])))</f>
        <v>45859</v>
      </c>
      <c r="L8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M873" s="6" t="str">
        <f>LD_01[[#This Row],[PASTA]]&amp;"/"&amp;LD_01[[#This Row],[ARQUIVO]]</f>
        <v>MSV-163MS-634-RET/27.PA/MSV-163MS-634+900-RET-EXE-DE-N2-003-R03.pdf</v>
      </c>
    </row>
    <row r="874" spans="1:13" hidden="1" x14ac:dyDescent="0.3">
      <c r="A874" s="6" t="s">
        <v>3680</v>
      </c>
      <c r="B874" s="6" t="str">
        <f>VLOOKUP(LD_01[[#This Row],[DOCUMENTO]],_xlfn.SORTBY(ARQUIVOS_RECEBIDOS!$E$2:$F$5010,ARQUIVOS_RECEBIDOS!$F$2:$F$5010,-1),2,)</f>
        <v>R03</v>
      </c>
      <c r="C874" s="15" t="s">
        <v>5987</v>
      </c>
      <c r="D874" s="6" t="s">
        <v>4319</v>
      </c>
      <c r="E874" s="8" t="s">
        <v>4087</v>
      </c>
      <c r="F874" s="8" t="s">
        <v>4334</v>
      </c>
      <c r="G874" s="6" t="str">
        <f>_xlfn.XLOOKUP(LD_01[[#This Row],[DISCIPLINA]],'CLASSES DE PROJETOS'!$F$3:$F$37,'CLASSES DE PROJETOS'!$C$3:$C$37)</f>
        <v>PA</v>
      </c>
      <c r="H874" t="str">
        <f>_xlfn.TEXTJOIN("/",TRUE,"MSV-163MS-"&amp;LD_01[[#This Row],[TRECHO]],_xlfn.XLOOKUP(LD_01[[#This Row],[SIGLA]],'CLASSES DE PROJETOS'!$C$3:$C$37,'CLASSES DE PROJETOS'!$E$3:$E$37))</f>
        <v>MSV-163MS-634-RET/27.PA</v>
      </c>
      <c r="I874" s="6" t="str" cm="1">
        <f t="array" ref="I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J874" s="6" t="str" cm="1">
        <f t="array" ref="J874">_xlfn.TEXTJOIN(", ",TRUE,_xlfn.UNIQUE(_xlfn._xlws.FILTER(ARQUIVOS_RECEBIDOS!$F$2:$F$5010,ARQUIVOS_RECEBIDOS!$E$2:$E$5010=LD_01[[#This Row],[DOCUMENTO]])))</f>
        <v>R02, R03</v>
      </c>
      <c r="K874" s="12" cm="1">
        <f t="array" ref="K874">_xlfn.UNIQUE(_xlfn._xlws.FILTER(ARQUIVOS[DATA RECEBIMENTO],(ARQUIVOS[DOCUMENTO]=LD_01[[#This Row],[DOCUMENTO]])*(ARQUIVOS[REVISÃO]=LD_01[[#This Row],[REVISÃO]])))</f>
        <v>45859</v>
      </c>
      <c r="L8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M874" s="6" t="str">
        <f>LD_01[[#This Row],[PASTA]]&amp;"/"&amp;LD_01[[#This Row],[ARQUIVO]]</f>
        <v>MSV-163MS-634-RET/27.PA/MSV-163MS-634+900-RET-EXE-DE-N2-004-R03.pdf</v>
      </c>
    </row>
    <row r="875" spans="1:13" hidden="1" x14ac:dyDescent="0.3">
      <c r="A875" s="6" t="s">
        <v>3681</v>
      </c>
      <c r="B875" s="6" t="str">
        <f>VLOOKUP(LD_01[[#This Row],[DOCUMENTO]],_xlfn.SORTBY(ARQUIVOS_RECEBIDOS!$E$2:$F$5010,ARQUIVOS_RECEBIDOS!$F$2:$F$5010,-1),2,)</f>
        <v>R03</v>
      </c>
      <c r="C875" s="15" t="s">
        <v>5987</v>
      </c>
      <c r="D875" s="6" t="s">
        <v>4319</v>
      </c>
      <c r="E875" s="8" t="s">
        <v>4087</v>
      </c>
      <c r="F875" s="8" t="s">
        <v>4334</v>
      </c>
      <c r="G875" s="6" t="str">
        <f>_xlfn.XLOOKUP(LD_01[[#This Row],[DISCIPLINA]],'CLASSES DE PROJETOS'!$F$3:$F$37,'CLASSES DE PROJETOS'!$C$3:$C$37)</f>
        <v>PA</v>
      </c>
      <c r="H875" t="str">
        <f>_xlfn.TEXTJOIN("/",TRUE,"MSV-163MS-"&amp;LD_01[[#This Row],[TRECHO]],_xlfn.XLOOKUP(LD_01[[#This Row],[SIGLA]],'CLASSES DE PROJETOS'!$C$3:$C$37,'CLASSES DE PROJETOS'!$E$3:$E$37))</f>
        <v>MSV-163MS-634-RET/27.PA</v>
      </c>
      <c r="I875" s="6" t="str" cm="1">
        <f t="array" ref="I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J875" s="6" t="str" cm="1">
        <f t="array" ref="J875">_xlfn.TEXTJOIN(", ",TRUE,_xlfn.UNIQUE(_xlfn._xlws.FILTER(ARQUIVOS_RECEBIDOS!$F$2:$F$5010,ARQUIVOS_RECEBIDOS!$E$2:$E$5010=LD_01[[#This Row],[DOCUMENTO]])))</f>
        <v>R02, R03</v>
      </c>
      <c r="K875" s="12" cm="1">
        <f t="array" ref="K875">_xlfn.UNIQUE(_xlfn._xlws.FILTER(ARQUIVOS[DATA RECEBIMENTO],(ARQUIVOS[DOCUMENTO]=LD_01[[#This Row],[DOCUMENTO]])*(ARQUIVOS[REVISÃO]=LD_01[[#This Row],[REVISÃO]])))</f>
        <v>45859</v>
      </c>
      <c r="L8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M875" s="6" t="str">
        <f>LD_01[[#This Row],[PASTA]]&amp;"/"&amp;LD_01[[#This Row],[ARQUIVO]]</f>
        <v>MSV-163MS-634-RET/27.PA/MSV-163MS-634+900-RET-EXE-DE-N2-005-R03.pdf</v>
      </c>
    </row>
    <row r="876" spans="1:13" ht="28.8" hidden="1" x14ac:dyDescent="0.3">
      <c r="A876" s="6" t="s">
        <v>3667</v>
      </c>
      <c r="B876" s="6" t="str">
        <f>VLOOKUP(LD_01[[#This Row],[DOCUMENTO]],_xlfn.SORTBY(ARQUIVOS_RECEBIDOS!$E$2:$F$5010,ARQUIVOS_RECEBIDOS!$F$2:$F$5010,-1),2,)</f>
        <v>R02</v>
      </c>
      <c r="C876" s="15" t="s">
        <v>5987</v>
      </c>
      <c r="D876" s="6" t="s">
        <v>4319</v>
      </c>
      <c r="E876" s="8" t="s">
        <v>4087</v>
      </c>
      <c r="F876" s="8" t="s">
        <v>4144</v>
      </c>
      <c r="G876" s="6" t="str">
        <f>_xlfn.XLOOKUP(LD_01[[#This Row],[DISCIPLINA]],'CLASSES DE PROJETOS'!$F$3:$F$37,'CLASSES DE PROJETOS'!$C$3:$C$37)</f>
        <v>DV</v>
      </c>
      <c r="H876" t="str">
        <f>_xlfn.TEXTJOIN("/",TRUE,"MSV-163MS-"&amp;LD_01[[#This Row],[TRECHO]],_xlfn.XLOOKUP(LD_01[[#This Row],[SIGLA]],'CLASSES DE PROJETOS'!$C$3:$C$37,'CLASSES DE PROJETOS'!$E$3:$E$37))</f>
        <v>MSV-163MS-634-RET/12.DV</v>
      </c>
      <c r="I876" s="6" t="str" cm="1">
        <f t="array" ref="I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J876" s="6" t="str" cm="1">
        <f t="array" ref="J876">_xlfn.TEXTJOIN(", ",TRUE,_xlfn.UNIQUE(_xlfn._xlws.FILTER(ARQUIVOS_RECEBIDOS!$F$2:$F$5010,ARQUIVOS_RECEBIDOS!$E$2:$E$5010=LD_01[[#This Row],[DOCUMENTO]])))</f>
        <v>R01, R02</v>
      </c>
      <c r="K876" s="12" cm="1">
        <f t="array" ref="K876">_xlfn.UNIQUE(_xlfn._xlws.FILTER(ARQUIVOS[DATA RECEBIMENTO],(ARQUIVOS[DOCUMENTO]=LD_01[[#This Row],[DOCUMENTO]])*(ARQUIVOS[REVISÃO]=LD_01[[#This Row],[REVISÃO]])))</f>
        <v>45859</v>
      </c>
      <c r="L8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M876" s="6" t="str">
        <f>LD_01[[#This Row],[PASTA]]&amp;"/"&amp;LD_01[[#This Row],[ARQUIVO]]</f>
        <v>MSV-163MS-634-RET/12.DV/MSV-163MS-634+900-RET-EXE-DE-O2-001-R02.pdf</v>
      </c>
    </row>
    <row r="877" spans="1:13" ht="28.8" hidden="1" x14ac:dyDescent="0.3">
      <c r="A877" s="6" t="s">
        <v>3668</v>
      </c>
      <c r="B877" s="6" t="str">
        <f>VLOOKUP(LD_01[[#This Row],[DOCUMENTO]],_xlfn.SORTBY(ARQUIVOS_RECEBIDOS!$E$2:$F$5010,ARQUIVOS_RECEBIDOS!$F$2:$F$5010,-1),2,)</f>
        <v>R02</v>
      </c>
      <c r="C877" s="15" t="s">
        <v>5987</v>
      </c>
      <c r="D877" s="6" t="s">
        <v>4319</v>
      </c>
      <c r="E877" s="8" t="s">
        <v>4087</v>
      </c>
      <c r="F877" s="8" t="s">
        <v>4144</v>
      </c>
      <c r="G877" s="6" t="str">
        <f>_xlfn.XLOOKUP(LD_01[[#This Row],[DISCIPLINA]],'CLASSES DE PROJETOS'!$F$3:$F$37,'CLASSES DE PROJETOS'!$C$3:$C$37)</f>
        <v>DV</v>
      </c>
      <c r="H877" t="str">
        <f>_xlfn.TEXTJOIN("/",TRUE,"MSV-163MS-"&amp;LD_01[[#This Row],[TRECHO]],_xlfn.XLOOKUP(LD_01[[#This Row],[SIGLA]],'CLASSES DE PROJETOS'!$C$3:$C$37,'CLASSES DE PROJETOS'!$E$3:$E$37))</f>
        <v>MSV-163MS-634-RET/12.DV</v>
      </c>
      <c r="I877" s="6" t="str" cm="1">
        <f t="array" ref="I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J877" s="6" t="str" cm="1">
        <f t="array" ref="J877">_xlfn.TEXTJOIN(", ",TRUE,_xlfn.UNIQUE(_xlfn._xlws.FILTER(ARQUIVOS_RECEBIDOS!$F$2:$F$5010,ARQUIVOS_RECEBIDOS!$E$2:$E$5010=LD_01[[#This Row],[DOCUMENTO]])))</f>
        <v>R01, R02</v>
      </c>
      <c r="K877" s="12" cm="1">
        <f t="array" ref="K877">_xlfn.UNIQUE(_xlfn._xlws.FILTER(ARQUIVOS[DATA RECEBIMENTO],(ARQUIVOS[DOCUMENTO]=LD_01[[#This Row],[DOCUMENTO]])*(ARQUIVOS[REVISÃO]=LD_01[[#This Row],[REVISÃO]])))</f>
        <v>45859</v>
      </c>
      <c r="L8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M877" s="6" t="str">
        <f>LD_01[[#This Row],[PASTA]]&amp;"/"&amp;LD_01[[#This Row],[ARQUIVO]]</f>
        <v>MSV-163MS-634-RET/12.DV/MSV-163MS-634+900-RET-EXE-DE-O2-002-R02.pdf</v>
      </c>
    </row>
    <row r="878" spans="1:13" ht="28.8" hidden="1" x14ac:dyDescent="0.3">
      <c r="A878" s="6" t="s">
        <v>3669</v>
      </c>
      <c r="B878" s="6" t="str">
        <f>VLOOKUP(LD_01[[#This Row],[DOCUMENTO]],_xlfn.SORTBY(ARQUIVOS_RECEBIDOS!$E$2:$F$5010,ARQUIVOS_RECEBIDOS!$F$2:$F$5010,-1),2,)</f>
        <v>R02</v>
      </c>
      <c r="C878" s="15" t="s">
        <v>5987</v>
      </c>
      <c r="D878" s="6" t="s">
        <v>4319</v>
      </c>
      <c r="E878" s="8" t="s">
        <v>4087</v>
      </c>
      <c r="F878" s="8" t="s">
        <v>4144</v>
      </c>
      <c r="G878" s="6" t="str">
        <f>_xlfn.XLOOKUP(LD_01[[#This Row],[DISCIPLINA]],'CLASSES DE PROJETOS'!$F$3:$F$37,'CLASSES DE PROJETOS'!$C$3:$C$37)</f>
        <v>DV</v>
      </c>
      <c r="H878" t="str">
        <f>_xlfn.TEXTJOIN("/",TRUE,"MSV-163MS-"&amp;LD_01[[#This Row],[TRECHO]],_xlfn.XLOOKUP(LD_01[[#This Row],[SIGLA]],'CLASSES DE PROJETOS'!$C$3:$C$37,'CLASSES DE PROJETOS'!$E$3:$E$37))</f>
        <v>MSV-163MS-634-RET/12.DV</v>
      </c>
      <c r="I878" s="6" t="str" cm="1">
        <f t="array" ref="I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J878" s="6" t="str" cm="1">
        <f t="array" ref="J878">_xlfn.TEXTJOIN(", ",TRUE,_xlfn.UNIQUE(_xlfn._xlws.FILTER(ARQUIVOS_RECEBIDOS!$F$2:$F$5010,ARQUIVOS_RECEBIDOS!$E$2:$E$5010=LD_01[[#This Row],[DOCUMENTO]])))</f>
        <v>R01, R02</v>
      </c>
      <c r="K878" s="12" cm="1">
        <f t="array" ref="K878">_xlfn.UNIQUE(_xlfn._xlws.FILTER(ARQUIVOS[DATA RECEBIMENTO],(ARQUIVOS[DOCUMENTO]=LD_01[[#This Row],[DOCUMENTO]])*(ARQUIVOS[REVISÃO]=LD_01[[#This Row],[REVISÃO]])))</f>
        <v>45859</v>
      </c>
      <c r="L8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M878" s="6" t="str">
        <f>LD_01[[#This Row],[PASTA]]&amp;"/"&amp;LD_01[[#This Row],[ARQUIVO]]</f>
        <v>MSV-163MS-634-RET/12.DV/MSV-163MS-634+900-RET-EXE-DE-O2-003-R02.pdf</v>
      </c>
    </row>
    <row r="879" spans="1:13" ht="28.8" hidden="1" x14ac:dyDescent="0.3">
      <c r="A879" s="6" t="s">
        <v>3670</v>
      </c>
      <c r="B879" s="6" t="str">
        <f>VLOOKUP(LD_01[[#This Row],[DOCUMENTO]],_xlfn.SORTBY(ARQUIVOS_RECEBIDOS!$E$2:$F$5010,ARQUIVOS_RECEBIDOS!$F$2:$F$5010,-1),2,)</f>
        <v>R02</v>
      </c>
      <c r="C879" s="15" t="s">
        <v>5987</v>
      </c>
      <c r="D879" s="6" t="s">
        <v>4319</v>
      </c>
      <c r="E879" s="8" t="s">
        <v>4087</v>
      </c>
      <c r="F879" s="8" t="s">
        <v>4144</v>
      </c>
      <c r="G879" s="6" t="str">
        <f>_xlfn.XLOOKUP(LD_01[[#This Row],[DISCIPLINA]],'CLASSES DE PROJETOS'!$F$3:$F$37,'CLASSES DE PROJETOS'!$C$3:$C$37)</f>
        <v>DV</v>
      </c>
      <c r="H879" t="str">
        <f>_xlfn.TEXTJOIN("/",TRUE,"MSV-163MS-"&amp;LD_01[[#This Row],[TRECHO]],_xlfn.XLOOKUP(LD_01[[#This Row],[SIGLA]],'CLASSES DE PROJETOS'!$C$3:$C$37,'CLASSES DE PROJETOS'!$E$3:$E$37))</f>
        <v>MSV-163MS-634-RET/12.DV</v>
      </c>
      <c r="I879" s="6" t="str" cm="1">
        <f t="array" ref="I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J879" s="6" t="str" cm="1">
        <f t="array" ref="J879">_xlfn.TEXTJOIN(", ",TRUE,_xlfn.UNIQUE(_xlfn._xlws.FILTER(ARQUIVOS_RECEBIDOS!$F$2:$F$5010,ARQUIVOS_RECEBIDOS!$E$2:$E$5010=LD_01[[#This Row],[DOCUMENTO]])))</f>
        <v>R01, R02</v>
      </c>
      <c r="K879" s="12" cm="1">
        <f t="array" ref="K879">_xlfn.UNIQUE(_xlfn._xlws.FILTER(ARQUIVOS[DATA RECEBIMENTO],(ARQUIVOS[DOCUMENTO]=LD_01[[#This Row],[DOCUMENTO]])*(ARQUIVOS[REVISÃO]=LD_01[[#This Row],[REVISÃO]])))</f>
        <v>45859</v>
      </c>
      <c r="L8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M879" s="6" t="str">
        <f>LD_01[[#This Row],[PASTA]]&amp;"/"&amp;LD_01[[#This Row],[ARQUIVO]]</f>
        <v>MSV-163MS-634-RET/12.DV/MSV-163MS-634+900-RET-EXE-DE-O2-004-R02.pdf</v>
      </c>
    </row>
    <row r="880" spans="1:13" ht="28.8" hidden="1" x14ac:dyDescent="0.3">
      <c r="A880" s="6" t="s">
        <v>3671</v>
      </c>
      <c r="B880" s="6" t="str">
        <f>VLOOKUP(LD_01[[#This Row],[DOCUMENTO]],_xlfn.SORTBY(ARQUIVOS_RECEBIDOS!$E$2:$F$5010,ARQUIVOS_RECEBIDOS!$F$2:$F$5010,-1),2,)</f>
        <v>R02</v>
      </c>
      <c r="C880" s="15" t="s">
        <v>5987</v>
      </c>
      <c r="D880" s="6" t="s">
        <v>4319</v>
      </c>
      <c r="E880" s="8" t="s">
        <v>4087</v>
      </c>
      <c r="F880" s="8" t="s">
        <v>4144</v>
      </c>
      <c r="G880" s="6" t="str">
        <f>_xlfn.XLOOKUP(LD_01[[#This Row],[DISCIPLINA]],'CLASSES DE PROJETOS'!$F$3:$F$37,'CLASSES DE PROJETOS'!$C$3:$C$37)</f>
        <v>DV</v>
      </c>
      <c r="H880" t="str">
        <f>_xlfn.TEXTJOIN("/",TRUE,"MSV-163MS-"&amp;LD_01[[#This Row],[TRECHO]],_xlfn.XLOOKUP(LD_01[[#This Row],[SIGLA]],'CLASSES DE PROJETOS'!$C$3:$C$37,'CLASSES DE PROJETOS'!$E$3:$E$37))</f>
        <v>MSV-163MS-634-RET/12.DV</v>
      </c>
      <c r="I880" s="6" t="str" cm="1">
        <f t="array" ref="I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J880" s="6" t="str" cm="1">
        <f t="array" ref="J880">_xlfn.TEXTJOIN(", ",TRUE,_xlfn.UNIQUE(_xlfn._xlws.FILTER(ARQUIVOS_RECEBIDOS!$F$2:$F$5010,ARQUIVOS_RECEBIDOS!$E$2:$E$5010=LD_01[[#This Row],[DOCUMENTO]])))</f>
        <v>R01, R02</v>
      </c>
      <c r="K880" s="12" cm="1">
        <f t="array" ref="K880">_xlfn.UNIQUE(_xlfn._xlws.FILTER(ARQUIVOS[DATA RECEBIMENTO],(ARQUIVOS[DOCUMENTO]=LD_01[[#This Row],[DOCUMENTO]])*(ARQUIVOS[REVISÃO]=LD_01[[#This Row],[REVISÃO]])))</f>
        <v>45859</v>
      </c>
      <c r="L8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M880" s="6" t="str">
        <f>LD_01[[#This Row],[PASTA]]&amp;"/"&amp;LD_01[[#This Row],[ARQUIVO]]</f>
        <v>MSV-163MS-634-RET/12.DV/MSV-163MS-634+900-RET-EXE-DE-O2-005-R02.pdf</v>
      </c>
    </row>
    <row r="881" spans="1:13" ht="28.8" hidden="1" x14ac:dyDescent="0.3">
      <c r="A881" s="6" t="s">
        <v>3672</v>
      </c>
      <c r="B881" s="6" t="str">
        <f>VLOOKUP(LD_01[[#This Row],[DOCUMENTO]],_xlfn.SORTBY(ARQUIVOS_RECEBIDOS!$E$2:$F$5010,ARQUIVOS_RECEBIDOS!$F$2:$F$5010,-1),2,)</f>
        <v>R02</v>
      </c>
      <c r="C881" s="15" t="s">
        <v>5987</v>
      </c>
      <c r="D881" s="6" t="s">
        <v>4319</v>
      </c>
      <c r="E881" s="8" t="s">
        <v>4087</v>
      </c>
      <c r="F881" s="8" t="s">
        <v>4144</v>
      </c>
      <c r="G881" s="6" t="str">
        <f>_xlfn.XLOOKUP(LD_01[[#This Row],[DISCIPLINA]],'CLASSES DE PROJETOS'!$F$3:$F$37,'CLASSES DE PROJETOS'!$C$3:$C$37)</f>
        <v>DV</v>
      </c>
      <c r="H881" t="str">
        <f>_xlfn.TEXTJOIN("/",TRUE,"MSV-163MS-"&amp;LD_01[[#This Row],[TRECHO]],_xlfn.XLOOKUP(LD_01[[#This Row],[SIGLA]],'CLASSES DE PROJETOS'!$C$3:$C$37,'CLASSES DE PROJETOS'!$E$3:$E$37))</f>
        <v>MSV-163MS-634-RET/12.DV</v>
      </c>
      <c r="I881" s="6" t="str" cm="1">
        <f t="array" ref="I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J881" s="6" t="str" cm="1">
        <f t="array" ref="J881">_xlfn.TEXTJOIN(", ",TRUE,_xlfn.UNIQUE(_xlfn._xlws.FILTER(ARQUIVOS_RECEBIDOS!$F$2:$F$5010,ARQUIVOS_RECEBIDOS!$E$2:$E$5010=LD_01[[#This Row],[DOCUMENTO]])))</f>
        <v>R01, R02</v>
      </c>
      <c r="K881" s="12" cm="1">
        <f t="array" ref="K881">_xlfn.UNIQUE(_xlfn._xlws.FILTER(ARQUIVOS[DATA RECEBIMENTO],(ARQUIVOS[DOCUMENTO]=LD_01[[#This Row],[DOCUMENTO]])*(ARQUIVOS[REVISÃO]=LD_01[[#This Row],[REVISÃO]])))</f>
        <v>45859</v>
      </c>
      <c r="L8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M881" s="6" t="str">
        <f>LD_01[[#This Row],[PASTA]]&amp;"/"&amp;LD_01[[#This Row],[ARQUIVO]]</f>
        <v>MSV-163MS-634-RET/12.DV/MSV-163MS-634+900-RET-EXE-DE-O2-006-R02.pdf</v>
      </c>
    </row>
    <row r="882" spans="1:13" ht="28.8" hidden="1" x14ac:dyDescent="0.3">
      <c r="A882" s="6" t="s">
        <v>3673</v>
      </c>
      <c r="B882" s="6" t="str">
        <f>VLOOKUP(LD_01[[#This Row],[DOCUMENTO]],_xlfn.SORTBY(ARQUIVOS_RECEBIDOS!$E$2:$F$5010,ARQUIVOS_RECEBIDOS!$F$2:$F$5010,-1),2,)</f>
        <v>R01</v>
      </c>
      <c r="C882" s="15" t="s">
        <v>5987</v>
      </c>
      <c r="D882" s="6" t="s">
        <v>4319</v>
      </c>
      <c r="E882" s="8" t="s">
        <v>4089</v>
      </c>
      <c r="F882" s="8" t="s">
        <v>4144</v>
      </c>
      <c r="G882" s="6" t="str">
        <f>_xlfn.XLOOKUP(LD_01[[#This Row],[DISCIPLINA]],'CLASSES DE PROJETOS'!$F$3:$F$37,'CLASSES DE PROJETOS'!$C$3:$C$37)</f>
        <v>DV</v>
      </c>
      <c r="H882" t="str">
        <f>_xlfn.TEXTJOIN("/",TRUE,"MSV-163MS-"&amp;LD_01[[#This Row],[TRECHO]],_xlfn.XLOOKUP(LD_01[[#This Row],[SIGLA]],'CLASSES DE PROJETOS'!$C$3:$C$37,'CLASSES DE PROJETOS'!$E$3:$E$37))</f>
        <v>MSV-163MS-634-RET/12.DV</v>
      </c>
      <c r="I882" s="6" t="str" cm="1">
        <f t="array" ref="I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J882" s="6" t="str" cm="1">
        <f t="array" ref="J882">_xlfn.TEXTJOIN(", ",TRUE,_xlfn.UNIQUE(_xlfn._xlws.FILTER(ARQUIVOS_RECEBIDOS!$F$2:$F$5010,ARQUIVOS_RECEBIDOS!$E$2:$E$5010=LD_01[[#This Row],[DOCUMENTO]])))</f>
        <v>R01</v>
      </c>
      <c r="K882" s="12" cm="1">
        <f t="array" ref="K882">_xlfn.UNIQUE(_xlfn._xlws.FILTER(ARQUIVOS[DATA RECEBIMENTO],(ARQUIVOS[DOCUMENTO]=LD_01[[#This Row],[DOCUMENTO]])*(ARQUIVOS[REVISÃO]=LD_01[[#This Row],[REVISÃO]])))</f>
        <v>45838</v>
      </c>
      <c r="L8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M882" s="6" t="str">
        <f>LD_01[[#This Row],[PASTA]]&amp;"/"&amp;LD_01[[#This Row],[ARQUIVO]]</f>
        <v>MSV-163MS-634-RET/12.DV/MSV-163MS-634+900-RET-EXE-DE-O2-007-R01.pdf</v>
      </c>
    </row>
    <row r="883" spans="1:13" ht="28.8" hidden="1" x14ac:dyDescent="0.3">
      <c r="A883" s="6" t="s">
        <v>3674</v>
      </c>
      <c r="B883" s="6" t="str">
        <f>VLOOKUP(LD_01[[#This Row],[DOCUMENTO]],_xlfn.SORTBY(ARQUIVOS_RECEBIDOS!$E$2:$F$5010,ARQUIVOS_RECEBIDOS!$F$2:$F$5010,-1),2,)</f>
        <v>R01</v>
      </c>
      <c r="C883" s="15" t="s">
        <v>5987</v>
      </c>
      <c r="D883" s="6" t="s">
        <v>4319</v>
      </c>
      <c r="E883" s="8" t="s">
        <v>4999</v>
      </c>
      <c r="F883" s="8" t="s">
        <v>4144</v>
      </c>
      <c r="G883" s="6" t="str">
        <f>_xlfn.XLOOKUP(LD_01[[#This Row],[DISCIPLINA]],'CLASSES DE PROJETOS'!$F$3:$F$37,'CLASSES DE PROJETOS'!$C$3:$C$37)</f>
        <v>DV</v>
      </c>
      <c r="H883" t="str">
        <f>_xlfn.TEXTJOIN("/",TRUE,"MSV-163MS-"&amp;LD_01[[#This Row],[TRECHO]],_xlfn.XLOOKUP(LD_01[[#This Row],[SIGLA]],'CLASSES DE PROJETOS'!$C$3:$C$37,'CLASSES DE PROJETOS'!$E$3:$E$37))</f>
        <v>MSV-163MS-634-RET/12.DV</v>
      </c>
      <c r="I883" s="6" t="str" cm="1">
        <f t="array" ref="I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J883" s="6" t="str" cm="1">
        <f t="array" ref="J883">_xlfn.TEXTJOIN(", ",TRUE,_xlfn.UNIQUE(_xlfn._xlws.FILTER(ARQUIVOS_RECEBIDOS!$F$2:$F$5010,ARQUIVOS_RECEBIDOS!$E$2:$E$5010=LD_01[[#This Row],[DOCUMENTO]])))</f>
        <v>R01</v>
      </c>
      <c r="K883" s="12" cm="1">
        <f t="array" ref="K883">_xlfn.UNIQUE(_xlfn._xlws.FILTER(ARQUIVOS[DATA RECEBIMENTO],(ARQUIVOS[DOCUMENTO]=LD_01[[#This Row],[DOCUMENTO]])*(ARQUIVOS[REVISÃO]=LD_01[[#This Row],[REVISÃO]])))</f>
        <v>45838</v>
      </c>
      <c r="L8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M883" s="6" t="str">
        <f>LD_01[[#This Row],[PASTA]]&amp;"/"&amp;LD_01[[#This Row],[ARQUIVO]]</f>
        <v>MSV-163MS-634-RET/12.DV/MSV-163MS-634+900-RET-EXE-DE-O2-008-R01.pdf</v>
      </c>
    </row>
    <row r="884" spans="1:13" ht="28.8" hidden="1" x14ac:dyDescent="0.3">
      <c r="A884" s="6" t="s">
        <v>3675</v>
      </c>
      <c r="B884" s="6" t="str">
        <f>VLOOKUP(LD_01[[#This Row],[DOCUMENTO]],_xlfn.SORTBY(ARQUIVOS_RECEBIDOS!$E$2:$F$5010,ARQUIVOS_RECEBIDOS!$F$2:$F$5010,-1),2,)</f>
        <v>R00</v>
      </c>
      <c r="C884" s="15" t="s">
        <v>5987</v>
      </c>
      <c r="D884" s="6" t="s">
        <v>4319</v>
      </c>
      <c r="E884" s="8" t="s">
        <v>5000</v>
      </c>
      <c r="F884" s="8" t="s">
        <v>4144</v>
      </c>
      <c r="G884" s="6" t="str">
        <f>_xlfn.XLOOKUP(LD_01[[#This Row],[DISCIPLINA]],'CLASSES DE PROJETOS'!$F$3:$F$37,'CLASSES DE PROJETOS'!$C$3:$C$37)</f>
        <v>DV</v>
      </c>
      <c r="H884" t="str">
        <f>_xlfn.TEXTJOIN("/",TRUE,"MSV-163MS-"&amp;LD_01[[#This Row],[TRECHO]],_xlfn.XLOOKUP(LD_01[[#This Row],[SIGLA]],'CLASSES DE PROJETOS'!$C$3:$C$37,'CLASSES DE PROJETOS'!$E$3:$E$37))</f>
        <v>MSV-163MS-634-RET/12.DV</v>
      </c>
      <c r="I884" s="6" t="str" cm="1">
        <f t="array" ref="I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J884" s="6" t="str" cm="1">
        <f t="array" ref="J884">_xlfn.TEXTJOIN(", ",TRUE,_xlfn.UNIQUE(_xlfn._xlws.FILTER(ARQUIVOS_RECEBIDOS!$F$2:$F$5010,ARQUIVOS_RECEBIDOS!$E$2:$E$5010=LD_01[[#This Row],[DOCUMENTO]])))</f>
        <v>R00</v>
      </c>
      <c r="K884" s="12" cm="1">
        <f t="array" ref="K884">_xlfn.UNIQUE(_xlfn._xlws.FILTER(ARQUIVOS[DATA RECEBIMENTO],(ARQUIVOS[DOCUMENTO]=LD_01[[#This Row],[DOCUMENTO]])*(ARQUIVOS[REVISÃO]=LD_01[[#This Row],[REVISÃO]])))</f>
        <v>45838</v>
      </c>
      <c r="L8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M884" s="6" t="str">
        <f>LD_01[[#This Row],[PASTA]]&amp;"/"&amp;LD_01[[#This Row],[ARQUIVO]]</f>
        <v>MSV-163MS-634-RET/12.DV/MSV-163MS-634+900-RET-EXE-DE-O2-009-R00.pdf</v>
      </c>
    </row>
    <row r="885" spans="1:13" ht="28.8" hidden="1" x14ac:dyDescent="0.3">
      <c r="A885" s="6" t="s">
        <v>3623</v>
      </c>
      <c r="B885" s="6" t="str">
        <f>VLOOKUP(LD_01[[#This Row],[DOCUMENTO]],_xlfn.SORTBY(ARQUIVOS_RECEBIDOS!$E$2:$F$5010,ARQUIVOS_RECEBIDOS!$F$2:$F$5010,-1),2,)</f>
        <v>R02</v>
      </c>
      <c r="C885" s="15" t="s">
        <v>5987</v>
      </c>
      <c r="D885" s="6" t="s">
        <v>4319</v>
      </c>
      <c r="E885" s="8" t="s">
        <v>4969</v>
      </c>
      <c r="F885" s="8" t="s">
        <v>4330</v>
      </c>
      <c r="G885" s="6" t="str">
        <f>_xlfn.XLOOKUP(LD_01[[#This Row],[DISCIPLINA]],'CLASSES DE PROJETOS'!$F$3:$F$37,'CLASSES DE PROJETOS'!$C$3:$C$37)</f>
        <v>TE</v>
      </c>
      <c r="H885" t="str">
        <f>_xlfn.TEXTJOIN("/",TRUE,"MSV-163MS-"&amp;LD_01[[#This Row],[TRECHO]],_xlfn.XLOOKUP(LD_01[[#This Row],[SIGLA]],'CLASSES DE PROJETOS'!$C$3:$C$37,'CLASSES DE PROJETOS'!$E$3:$E$37))</f>
        <v>MSV-163MS-634-RET/32.TE</v>
      </c>
      <c r="I885" s="6" t="str" cm="1">
        <f t="array" ref="I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J885" s="6" t="str" cm="1">
        <f t="array" ref="J885">_xlfn.TEXTJOIN(", ",TRUE,_xlfn.UNIQUE(_xlfn._xlws.FILTER(ARQUIVOS_RECEBIDOS!$F$2:$F$5010,ARQUIVOS_RECEBIDOS!$E$2:$E$5010=LD_01[[#This Row],[DOCUMENTO]])))</f>
        <v>R01, R02</v>
      </c>
      <c r="K885" s="12" cm="1">
        <f t="array" ref="K885">_xlfn.UNIQUE(_xlfn._xlws.FILTER(ARQUIVOS[DATA RECEBIMENTO],(ARQUIVOS[DOCUMENTO]=LD_01[[#This Row],[DOCUMENTO]])*(ARQUIVOS[REVISÃO]=LD_01[[#This Row],[REVISÃO]])))</f>
        <v>45859</v>
      </c>
      <c r="L8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M885" s="6" t="str">
        <f>LD_01[[#This Row],[PASTA]]&amp;"/"&amp;LD_01[[#This Row],[ARQUIVO]]</f>
        <v>MSV-163MS-634-RET/32.TE/MSV-163MS-634+900-RET-EXE-MC-G1-001-R02.pdf</v>
      </c>
    </row>
    <row r="886" spans="1:13" ht="28.8" hidden="1" x14ac:dyDescent="0.3">
      <c r="A886" s="6" t="s">
        <v>3635</v>
      </c>
      <c r="B886" s="6" t="str">
        <f>VLOOKUP(LD_01[[#This Row],[DOCUMENTO]],_xlfn.SORTBY(ARQUIVOS_RECEBIDOS!$E$2:$F$5010,ARQUIVOS_RECEBIDOS!$F$2:$F$5010,-1),2,)</f>
        <v>R02</v>
      </c>
      <c r="C886" s="15" t="s">
        <v>5987</v>
      </c>
      <c r="D886" s="6" t="s">
        <v>4319</v>
      </c>
      <c r="E886" s="8" t="s">
        <v>4081</v>
      </c>
      <c r="F886" s="8" t="s">
        <v>4142</v>
      </c>
      <c r="G886" s="6" t="str">
        <f>_xlfn.XLOOKUP(LD_01[[#This Row],[DISCIPLINA]],'CLASSES DE PROJETOS'!$F$3:$F$37,'CLASSES DE PROJETOS'!$C$3:$C$37)</f>
        <v>DR</v>
      </c>
      <c r="H886" t="str">
        <f>_xlfn.TEXTJOIN("/",TRUE,"MSV-163MS-"&amp;LD_01[[#This Row],[TRECHO]],_xlfn.XLOOKUP(LD_01[[#This Row],[SIGLA]],'CLASSES DE PROJETOS'!$C$3:$C$37,'CLASSES DE PROJETOS'!$E$3:$E$37))</f>
        <v>MSV-163MS-634-RET/10.DR</v>
      </c>
      <c r="I886" s="6" t="str" cm="1">
        <f t="array" ref="I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J886" s="6" t="str" cm="1">
        <f t="array" ref="J886">_xlfn.TEXTJOIN(", ",TRUE,_xlfn.UNIQUE(_xlfn._xlws.FILTER(ARQUIVOS_RECEBIDOS!$F$2:$F$5010,ARQUIVOS_RECEBIDOS!$E$2:$E$5010=LD_01[[#This Row],[DOCUMENTO]])))</f>
        <v>R00, R01, R02</v>
      </c>
      <c r="K886" s="12" cm="1">
        <f t="array" ref="K886">_xlfn.UNIQUE(_xlfn._xlws.FILTER(ARQUIVOS[DATA RECEBIMENTO],(ARQUIVOS[DOCUMENTO]=LD_01[[#This Row],[DOCUMENTO]])*(ARQUIVOS[REVISÃO]=LD_01[[#This Row],[REVISÃO]])))</f>
        <v>45946</v>
      </c>
      <c r="L8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M886" s="6" t="str">
        <f>LD_01[[#This Row],[PASTA]]&amp;"/"&amp;LD_01[[#This Row],[ARQUIVO]]</f>
        <v>MSV-163MS-634-RET/10.DR/MSV-163MS-634+900-RET-EXE-MC-H2-001-R02.pdf</v>
      </c>
    </row>
    <row r="887" spans="1:13" hidden="1" x14ac:dyDescent="0.3">
      <c r="A887" s="6" t="s">
        <v>3656</v>
      </c>
      <c r="B887" s="6" t="str">
        <f>VLOOKUP(LD_01[[#This Row],[DOCUMENTO]],_xlfn.SORTBY(ARQUIVOS_RECEBIDOS!$E$2:$F$5010,ARQUIVOS_RECEBIDOS!$F$2:$F$5010,-1),2,)</f>
        <v>R01</v>
      </c>
      <c r="C887" s="15" t="s">
        <v>5987</v>
      </c>
      <c r="D887" s="6" t="s">
        <v>4319</v>
      </c>
      <c r="E887" s="8" t="s">
        <v>5386</v>
      </c>
      <c r="F887" s="8" t="s">
        <v>4143</v>
      </c>
      <c r="G887" s="6" t="str">
        <f>_xlfn.XLOOKUP(LD_01[[#This Row],[DISCIPLINA]],'CLASSES DE PROJETOS'!$F$3:$F$37,'CLASSES DE PROJETOS'!$C$3:$C$37)</f>
        <v>PV</v>
      </c>
      <c r="H887" t="str">
        <f>_xlfn.TEXTJOIN("/",TRUE,"MSV-163MS-"&amp;LD_01[[#This Row],[TRECHO]],_xlfn.XLOOKUP(LD_01[[#This Row],[SIGLA]],'CLASSES DE PROJETOS'!$C$3:$C$37,'CLASSES DE PROJETOS'!$E$3:$E$37))</f>
        <v>MSV-163MS-634-RET/28.PV</v>
      </c>
      <c r="I887" s="6" t="str" cm="1">
        <f t="array" ref="I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J887" s="6" t="str" cm="1">
        <f t="array" ref="J887">_xlfn.TEXTJOIN(", ",TRUE,_xlfn.UNIQUE(_xlfn._xlws.FILTER(ARQUIVOS_RECEBIDOS!$F$2:$F$5010,ARQUIVOS_RECEBIDOS!$E$2:$E$5010=LD_01[[#This Row],[DOCUMENTO]])))</f>
        <v>R01</v>
      </c>
      <c r="K887" s="12" cm="1">
        <f t="array" ref="K887">_xlfn.UNIQUE(_xlfn._xlws.FILTER(ARQUIVOS[DATA RECEBIMENTO],(ARQUIVOS[DOCUMENTO]=LD_01[[#This Row],[DOCUMENTO]])*(ARQUIVOS[REVISÃO]=LD_01[[#This Row],[REVISÃO]])))</f>
        <v>45838</v>
      </c>
      <c r="L8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M887" s="6" t="str">
        <f>LD_01[[#This Row],[PASTA]]&amp;"/"&amp;LD_01[[#This Row],[ARQUIVO]]</f>
        <v>MSV-163MS-634-RET/28.PV/MSV-163MS-634+900-RET-EXE-MC-I2-001-R01.pdf</v>
      </c>
    </row>
    <row r="888" spans="1:13" ht="28.8" hidden="1" x14ac:dyDescent="0.3">
      <c r="A888" s="6" t="s">
        <v>3663</v>
      </c>
      <c r="B888" s="6" t="str">
        <f>VLOOKUP(LD_01[[#This Row],[DOCUMENTO]],_xlfn.SORTBY(ARQUIVOS_RECEBIDOS!$E$2:$F$5010,ARQUIVOS_RECEBIDOS!$F$2:$F$5010,-1),2,)</f>
        <v>R01</v>
      </c>
      <c r="C888" s="15" t="s">
        <v>5987</v>
      </c>
      <c r="D888" s="6" t="s">
        <v>4319</v>
      </c>
      <c r="E888" s="8" t="s">
        <v>5005</v>
      </c>
      <c r="F888" s="8" t="s">
        <v>4332</v>
      </c>
      <c r="G888" s="6" t="str">
        <f>_xlfn.XLOOKUP(LD_01[[#This Row],[DISCIPLINA]],'CLASSES DE PROJETOS'!$F$3:$F$37,'CLASSES DE PROJETOS'!$C$3:$C$37)</f>
        <v>GG</v>
      </c>
      <c r="H888" t="str">
        <f>_xlfn.TEXTJOIN("/",TRUE,"MSV-163MS-"&amp;LD_01[[#This Row],[TRECHO]],_xlfn.XLOOKUP(LD_01[[#This Row],[SIGLA]],'CLASSES DE PROJETOS'!$C$3:$C$37,'CLASSES DE PROJETOS'!$E$3:$E$37))</f>
        <v>MSV-163MS-634-RET/19.GG</v>
      </c>
      <c r="I888" s="6" t="str" cm="1">
        <f t="array" ref="I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J888" s="6" t="str" cm="1">
        <f t="array" ref="J888">_xlfn.TEXTJOIN(", ",TRUE,_xlfn.UNIQUE(_xlfn._xlws.FILTER(ARQUIVOS_RECEBIDOS!$F$2:$F$5010,ARQUIVOS_RECEBIDOS!$E$2:$E$5010=LD_01[[#This Row],[DOCUMENTO]])))</f>
        <v>R01</v>
      </c>
      <c r="K888" s="12" cm="1">
        <f t="array" ref="K888">_xlfn.UNIQUE(_xlfn._xlws.FILTER(ARQUIVOS[DATA RECEBIMENTO],(ARQUIVOS[DOCUMENTO]=LD_01[[#This Row],[DOCUMENTO]])*(ARQUIVOS[REVISÃO]=LD_01[[#This Row],[REVISÃO]])))</f>
        <v>45838</v>
      </c>
      <c r="L8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M888" s="6" t="str">
        <f>LD_01[[#This Row],[PASTA]]&amp;"/"&amp;LD_01[[#This Row],[ARQUIVO]]</f>
        <v>MSV-163MS-634-RET/19.GG/MSV-163MS-634+900-RET-EXE-MD-D3-001-R01.pdf</v>
      </c>
    </row>
    <row r="889" spans="1:13" hidden="1" x14ac:dyDescent="0.3">
      <c r="A889" s="6" t="s">
        <v>3636</v>
      </c>
      <c r="B889" s="6" t="str">
        <f>VLOOKUP(LD_01[[#This Row],[DOCUMENTO]],_xlfn.SORTBY(ARQUIVOS_RECEBIDOS!$E$2:$F$5010,ARQUIVOS_RECEBIDOS!$F$2:$F$5010,-1),2,)</f>
        <v>R01</v>
      </c>
      <c r="C889" s="15" t="s">
        <v>5987</v>
      </c>
      <c r="D889" s="6" t="s">
        <v>4319</v>
      </c>
      <c r="E889" s="8" t="s">
        <v>4961</v>
      </c>
      <c r="F889" s="8" t="s">
        <v>4142</v>
      </c>
      <c r="G889" s="6" t="str">
        <f>_xlfn.XLOOKUP(LD_01[[#This Row],[DISCIPLINA]],'CLASSES DE PROJETOS'!$F$3:$F$37,'CLASSES DE PROJETOS'!$C$3:$C$37)</f>
        <v>DR</v>
      </c>
      <c r="H889" t="str">
        <f>_xlfn.TEXTJOIN("/",TRUE,"MSV-163MS-"&amp;LD_01[[#This Row],[TRECHO]],_xlfn.XLOOKUP(LD_01[[#This Row],[SIGLA]],'CLASSES DE PROJETOS'!$C$3:$C$37,'CLASSES DE PROJETOS'!$E$3:$E$37))</f>
        <v>MSV-163MS-634-RET/10.DR</v>
      </c>
      <c r="I889" s="6" t="str" cm="1">
        <f t="array" ref="I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J889" s="6" t="str" cm="1">
        <f t="array" ref="J889">_xlfn.TEXTJOIN(", ",TRUE,_xlfn.UNIQUE(_xlfn._xlws.FILTER(ARQUIVOS_RECEBIDOS!$F$2:$F$5010,ARQUIVOS_RECEBIDOS!$E$2:$E$5010=LD_01[[#This Row],[DOCUMENTO]])))</f>
        <v>R00, R01</v>
      </c>
      <c r="K889" s="12" cm="1">
        <f t="array" ref="K889">_xlfn.UNIQUE(_xlfn._xlws.FILTER(ARQUIVOS[DATA RECEBIMENTO],(ARQUIVOS[DOCUMENTO]=LD_01[[#This Row],[DOCUMENTO]])*(ARQUIVOS[REVISÃO]=LD_01[[#This Row],[REVISÃO]])))</f>
        <v>45946</v>
      </c>
      <c r="L8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M889" s="6" t="str">
        <f>LD_01[[#This Row],[PASTA]]&amp;"/"&amp;LD_01[[#This Row],[ARQUIVO]]</f>
        <v>MSV-163MS-634-RET/10.DR/MSV-163MS-634+900-RET-EXE-MD-H1-001-R01.pdf</v>
      </c>
    </row>
    <row r="890" spans="1:13" ht="28.8" hidden="1" x14ac:dyDescent="0.3">
      <c r="A890" s="6" t="s">
        <v>3625</v>
      </c>
      <c r="B890" s="6" t="str">
        <f>VLOOKUP(LD_01[[#This Row],[DOCUMENTO]],_xlfn.SORTBY(ARQUIVOS_RECEBIDOS!$E$2:$F$5010,ARQUIVOS_RECEBIDOS!$F$2:$F$5010,-1),2,)</f>
        <v>R03</v>
      </c>
      <c r="C890" s="15" t="s">
        <v>5987</v>
      </c>
      <c r="D890" s="6" t="s">
        <v>4319</v>
      </c>
      <c r="E890" s="8" t="s">
        <v>4969</v>
      </c>
      <c r="F890" s="8" t="s">
        <v>4330</v>
      </c>
      <c r="G890" s="6" t="str">
        <f>_xlfn.XLOOKUP(LD_01[[#This Row],[DISCIPLINA]],'CLASSES DE PROJETOS'!$F$3:$F$37,'CLASSES DE PROJETOS'!$C$3:$C$37)</f>
        <v>TE</v>
      </c>
      <c r="H890" t="str">
        <f>_xlfn.TEXTJOIN("/",TRUE,"MSV-163MS-"&amp;LD_01[[#This Row],[TRECHO]],_xlfn.XLOOKUP(LD_01[[#This Row],[SIGLA]],'CLASSES DE PROJETOS'!$C$3:$C$37,'CLASSES DE PROJETOS'!$E$3:$E$37))</f>
        <v>MSV-163MS-634-RET/32.TE</v>
      </c>
      <c r="I890" s="6" t="str" cm="1">
        <f t="array" ref="I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J890" s="6" t="str" cm="1">
        <f t="array" ref="J890">_xlfn.TEXTJOIN(", ",TRUE,_xlfn.UNIQUE(_xlfn._xlws.FILTER(ARQUIVOS_RECEBIDOS!$F$2:$F$5010,ARQUIVOS_RECEBIDOS!$E$2:$E$5010=LD_01[[#This Row],[DOCUMENTO]])))</f>
        <v>R01, R02, R03</v>
      </c>
      <c r="K890" s="12" cm="1">
        <f t="array" ref="K890">_xlfn.UNIQUE(_xlfn._xlws.FILTER(ARQUIVOS[DATA RECEBIMENTO],(ARQUIVOS[DOCUMENTO]=LD_01[[#This Row],[DOCUMENTO]])*(ARQUIVOS[REVISÃO]=LD_01[[#This Row],[REVISÃO]])))</f>
        <v>45895</v>
      </c>
      <c r="L8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M890" s="6" t="str">
        <f>LD_01[[#This Row],[PASTA]]&amp;"/"&amp;LD_01[[#This Row],[ARQUIVO]]</f>
        <v>MSV-163MS-634-RET/32.TE/MSV-163MS-634+900-RET-EXE-NS-C3-001-R03.pdf</v>
      </c>
    </row>
    <row r="891" spans="1:13" hidden="1" x14ac:dyDescent="0.3">
      <c r="A891" s="6" t="s">
        <v>3604</v>
      </c>
      <c r="B891" s="6" t="str">
        <f>VLOOKUP(LD_01[[#This Row],[DOCUMENTO]],_xlfn.SORTBY(ARQUIVOS_RECEBIDOS!$E$2:$F$5010,ARQUIVOS_RECEBIDOS!$F$2:$F$5010,-1),2,)</f>
        <v>R00</v>
      </c>
      <c r="C891" s="15" t="s">
        <v>5987</v>
      </c>
      <c r="D891" s="6" t="s">
        <v>4319</v>
      </c>
      <c r="E891" s="8" t="s">
        <v>4243</v>
      </c>
      <c r="F891" s="8" t="s">
        <v>4163</v>
      </c>
      <c r="G891" s="6" t="str">
        <f>_xlfn.XLOOKUP(LD_01[[#This Row],[DISCIPLINA]],'CLASSES DE PROJETOS'!$F$3:$F$37,'CLASSES DE PROJETOS'!$C$3:$C$37)</f>
        <v>TO</v>
      </c>
      <c r="H891" t="str">
        <f>_xlfn.TEXTJOIN("/",TRUE,"MSV-163MS-"&amp;LD_01[[#This Row],[TRECHO]],_xlfn.XLOOKUP(LD_01[[#This Row],[SIGLA]],'CLASSES DE PROJETOS'!$C$3:$C$37,'CLASSES DE PROJETOS'!$E$3:$E$37))</f>
        <v>MSV-163MS-634-RET/33.TO</v>
      </c>
      <c r="I891" s="6" t="str" cm="1">
        <f t="array" ref="I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J891" s="6" t="str" cm="1">
        <f t="array" ref="J891">_xlfn.TEXTJOIN(", ",TRUE,_xlfn.UNIQUE(_xlfn._xlws.FILTER(ARQUIVOS_RECEBIDOS!$F$2:$F$5010,ARQUIVOS_RECEBIDOS!$E$2:$E$5010=LD_01[[#This Row],[DOCUMENTO]])))</f>
        <v>R00</v>
      </c>
      <c r="K891" s="12" cm="1">
        <f t="array" ref="K891">_xlfn.UNIQUE(_xlfn._xlws.FILTER(ARQUIVOS[DATA RECEBIMENTO],(ARQUIVOS[DOCUMENTO]=LD_01[[#This Row],[DOCUMENTO]])*(ARQUIVOS[REVISÃO]=LD_01[[#This Row],[REVISÃO]])))</f>
        <v>45838</v>
      </c>
      <c r="L8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M891" s="6" t="str">
        <f>LD_01[[#This Row],[PASTA]]&amp;"/"&amp;LD_01[[#This Row],[ARQUIVO]]</f>
        <v>MSV-163MS-634-RET/33.TO/MSV-163MS-634+900-RET-EXE-RT-C1-001-R00.pdf</v>
      </c>
    </row>
    <row r="892" spans="1:13" ht="28.8" hidden="1" x14ac:dyDescent="0.3">
      <c r="A892" s="6" t="s">
        <v>3664</v>
      </c>
      <c r="B892" s="6" t="str">
        <f>VLOOKUP(LD_01[[#This Row],[DOCUMENTO]],_xlfn.SORTBY(ARQUIVOS_RECEBIDOS!$E$2:$F$5010,ARQUIVOS_RECEBIDOS!$F$2:$F$5010,-1),2,)</f>
        <v>R01</v>
      </c>
      <c r="C892" s="15" t="s">
        <v>5987</v>
      </c>
      <c r="D892" s="6" t="s">
        <v>4319</v>
      </c>
      <c r="E892" s="8" t="s">
        <v>5006</v>
      </c>
      <c r="F892" s="8" t="s">
        <v>4332</v>
      </c>
      <c r="G892" s="6" t="str">
        <f>_xlfn.XLOOKUP(LD_01[[#This Row],[DISCIPLINA]],'CLASSES DE PROJETOS'!$F$3:$F$37,'CLASSES DE PROJETOS'!$C$3:$C$37)</f>
        <v>GG</v>
      </c>
      <c r="H892" t="str">
        <f>_xlfn.TEXTJOIN("/",TRUE,"MSV-163MS-"&amp;LD_01[[#This Row],[TRECHO]],_xlfn.XLOOKUP(LD_01[[#This Row],[SIGLA]],'CLASSES DE PROJETOS'!$C$3:$C$37,'CLASSES DE PROJETOS'!$E$3:$E$37))</f>
        <v>MSV-163MS-634-RET/19.GG</v>
      </c>
      <c r="I892" s="6" t="str" cm="1">
        <f t="array" ref="I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J892" s="6" t="str" cm="1">
        <f t="array" ref="J892">_xlfn.TEXTJOIN(", ",TRUE,_xlfn.UNIQUE(_xlfn._xlws.FILTER(ARQUIVOS_RECEBIDOS!$F$2:$F$5010,ARQUIVOS_RECEBIDOS!$E$2:$E$5010=LD_01[[#This Row],[DOCUMENTO]])))</f>
        <v>R01</v>
      </c>
      <c r="K892" s="12" cm="1">
        <f t="array" ref="K892">_xlfn.UNIQUE(_xlfn._xlws.FILTER(ARQUIVOS[DATA RECEBIMENTO],(ARQUIVOS[DOCUMENTO]=LD_01[[#This Row],[DOCUMENTO]])*(ARQUIVOS[REVISÃO]=LD_01[[#This Row],[REVISÃO]])))</f>
        <v>45838</v>
      </c>
      <c r="L8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M892" s="6" t="str">
        <f>LD_01[[#This Row],[PASTA]]&amp;"/"&amp;LD_01[[#This Row],[ARQUIVO]]</f>
        <v>MSV-163MS-634-RET/19.GG/MSV-163MS-634+900-RET-EXE-RT-D3-001-R01.pdf</v>
      </c>
    </row>
    <row r="893" spans="1:13" ht="28.8" hidden="1" x14ac:dyDescent="0.3">
      <c r="A893" s="6" t="s">
        <v>3683</v>
      </c>
      <c r="B893" s="6" t="str">
        <f>VLOOKUP(LD_01[[#This Row],[DOCUMENTO]],_xlfn.SORTBY(ARQUIVOS_RECEBIDOS!$E$2:$F$5010,ARQUIVOS_RECEBIDOS!$F$2:$F$5010,-1),2,)</f>
        <v>R00</v>
      </c>
      <c r="C893" s="15" t="s">
        <v>5987</v>
      </c>
      <c r="D893" s="6" t="s">
        <v>4319</v>
      </c>
      <c r="E893" s="8" t="s">
        <v>5015</v>
      </c>
      <c r="F893" s="8" t="s">
        <v>4335</v>
      </c>
      <c r="G893" s="6" t="str">
        <f>_xlfn.XLOOKUP(LD_01[[#This Row],[DISCIPLINA]],'CLASSES DE PROJETOS'!$F$3:$F$37,'CLASSES DE PROJETOS'!$C$3:$C$37)</f>
        <v>TR</v>
      </c>
      <c r="H893" t="str">
        <f>_xlfn.TEXTJOIN("/",TRUE,"MSV-163MS-"&amp;LD_01[[#This Row],[TRECHO]],_xlfn.XLOOKUP(LD_01[[#This Row],[SIGLA]],'CLASSES DE PROJETOS'!$C$3:$C$37,'CLASSES DE PROJETOS'!$E$3:$E$37))</f>
        <v>MSV-163MS-634-RET/34.TR</v>
      </c>
      <c r="I893" s="6" t="str" cm="1">
        <f t="array" ref="I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J893" s="6" t="str" cm="1">
        <f t="array" ref="J893">_xlfn.TEXTJOIN(", ",TRUE,_xlfn.UNIQUE(_xlfn._xlws.FILTER(ARQUIVOS_RECEBIDOS!$F$2:$F$5010,ARQUIVOS_RECEBIDOS!$E$2:$E$5010=LD_01[[#This Row],[DOCUMENTO]])))</f>
        <v>R00</v>
      </c>
      <c r="K893" s="12" cm="1">
        <f t="array" ref="K893">_xlfn.UNIQUE(_xlfn._xlws.FILTER(ARQUIVOS[DATA RECEBIMENTO],(ARQUIVOS[DOCUMENTO]=LD_01[[#This Row],[DOCUMENTO]])*(ARQUIVOS[REVISÃO]=LD_01[[#This Row],[REVISÃO]])))</f>
        <v>45838</v>
      </c>
      <c r="L8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M893" s="6" t="str">
        <f>LD_01[[#This Row],[PASTA]]&amp;"/"&amp;LD_01[[#This Row],[ARQUIVO]]</f>
        <v>MSV-163MS-634-RET/34.TR/MSV-163MS-634+900-RET-EXE-RT-E1-001-R00.pdf</v>
      </c>
    </row>
    <row r="894" spans="1:13" hidden="1" x14ac:dyDescent="0.3">
      <c r="A894" s="6" t="s">
        <v>3612</v>
      </c>
      <c r="B894" s="6" t="str">
        <f>VLOOKUP(LD_01[[#This Row],[DOCUMENTO]],_xlfn.SORTBY(ARQUIVOS_RECEBIDOS!$E$2:$F$5010,ARQUIVOS_RECEBIDOS!$F$2:$F$5010,-1),2,)</f>
        <v>R01</v>
      </c>
      <c r="C894" s="15" t="s">
        <v>5987</v>
      </c>
      <c r="D894" s="6" t="s">
        <v>4319</v>
      </c>
      <c r="E894" s="8" t="s">
        <v>4964</v>
      </c>
      <c r="F894" s="8" t="s">
        <v>4141</v>
      </c>
      <c r="G894" s="6" t="str">
        <f>_xlfn.XLOOKUP(LD_01[[#This Row],[DISCIPLINA]],'CLASSES DE PROJETOS'!$F$3:$F$37,'CLASSES DE PROJETOS'!$C$3:$C$37)</f>
        <v>GE</v>
      </c>
      <c r="H894" t="str">
        <f>_xlfn.TEXTJOIN("/",TRUE,"MSV-163MS-"&amp;LD_01[[#This Row],[TRECHO]],_xlfn.XLOOKUP(LD_01[[#This Row],[SIGLA]],'CLASSES DE PROJETOS'!$C$3:$C$37,'CLASSES DE PROJETOS'!$E$3:$E$37))</f>
        <v>MSV-163MS-634-RET/18.GE</v>
      </c>
      <c r="I894" s="6" t="str" cm="1">
        <f t="array" ref="I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J894" s="6" t="str" cm="1">
        <f t="array" ref="J894">_xlfn.TEXTJOIN(", ",TRUE,_xlfn.UNIQUE(_xlfn._xlws.FILTER(ARQUIVOS_RECEBIDOS!$F$2:$F$5010,ARQUIVOS_RECEBIDOS!$E$2:$E$5010=LD_01[[#This Row],[DOCUMENTO]])))</f>
        <v>R00, R01</v>
      </c>
      <c r="K894" s="12" cm="1">
        <f t="array" ref="K894">_xlfn.UNIQUE(_xlfn._xlws.FILTER(ARQUIVOS[DATA RECEBIMENTO],(ARQUIVOS[DOCUMENTO]=LD_01[[#This Row],[DOCUMENTO]])*(ARQUIVOS[REVISÃO]=LD_01[[#This Row],[REVISÃO]])))</f>
        <v>45859</v>
      </c>
      <c r="L8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M894" s="6" t="str">
        <f>LD_01[[#This Row],[PASTA]]&amp;"/"&amp;LD_01[[#This Row],[ARQUIVO]]</f>
        <v>MSV-163MS-634-RET/18.GE/MSV-163MS-634+900-RET-EXE-RT-F1-001-R01.pdf</v>
      </c>
    </row>
    <row r="895" spans="1:13" ht="28.8" hidden="1" x14ac:dyDescent="0.3">
      <c r="A895" s="6" t="s">
        <v>3647</v>
      </c>
      <c r="B895" s="6" t="str">
        <f>VLOOKUP(LD_01[[#This Row],[DOCUMENTO]],_xlfn.SORTBY(ARQUIVOS_RECEBIDOS!$E$2:$F$5010,ARQUIVOS_RECEBIDOS!$F$2:$F$5010,-1),2,)</f>
        <v>R00</v>
      </c>
      <c r="C895" s="15" t="s">
        <v>5987</v>
      </c>
      <c r="D895" s="6" t="s">
        <v>4319</v>
      </c>
      <c r="E895" s="8" t="s">
        <v>5014</v>
      </c>
      <c r="F895" s="8" t="s">
        <v>4331</v>
      </c>
      <c r="G895" s="6" t="str">
        <f>_xlfn.XLOOKUP(LD_01[[#This Row],[DISCIPLINA]],'CLASSES DE PROJETOS'!$F$3:$F$37,'CLASSES DE PROJETOS'!$C$3:$C$37)</f>
        <v>SI</v>
      </c>
      <c r="H895" t="str">
        <f>_xlfn.TEXTJOIN("/",TRUE,"MSV-163MS-"&amp;LD_01[[#This Row],[TRECHO]],_xlfn.XLOOKUP(LD_01[[#This Row],[SIGLA]],'CLASSES DE PROJETOS'!$C$3:$C$37,'CLASSES DE PROJETOS'!$E$3:$E$37))</f>
        <v>MSV-163MS-634-RET/31.SI</v>
      </c>
      <c r="I895" s="6" t="str" cm="1">
        <f t="array" ref="I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J895" s="6" t="str" cm="1">
        <f t="array" ref="J895">_xlfn.TEXTJOIN(", ",TRUE,_xlfn.UNIQUE(_xlfn._xlws.FILTER(ARQUIVOS_RECEBIDOS!$F$2:$F$5010,ARQUIVOS_RECEBIDOS!$E$2:$E$5010=LD_01[[#This Row],[DOCUMENTO]])))</f>
        <v>R00</v>
      </c>
      <c r="K895" s="12" cm="1">
        <f t="array" ref="K895">_xlfn.UNIQUE(_xlfn._xlws.FILTER(ARQUIVOS[DATA RECEBIMENTO],(ARQUIVOS[DOCUMENTO]=LD_01[[#This Row],[DOCUMENTO]])*(ARQUIVOS[REVISÃO]=LD_01[[#This Row],[REVISÃO]])))</f>
        <v>45838</v>
      </c>
      <c r="L8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M895" s="6" t="str">
        <f>LD_01[[#This Row],[PASTA]]&amp;"/"&amp;LD_01[[#This Row],[ARQUIVO]]</f>
        <v>MSV-163MS-634-RET/31.SI/MSV-163MS-634+900-RET-EXE-RT-J1-001-R00.pdf</v>
      </c>
    </row>
    <row r="896" spans="1:13" ht="43.2" hidden="1" x14ac:dyDescent="0.3">
      <c r="A896" s="6" t="s">
        <v>3659</v>
      </c>
      <c r="B896" s="6" t="str">
        <f>VLOOKUP(LD_01[[#This Row],[DOCUMENTO]],_xlfn.SORTBY(ARQUIVOS_RECEBIDOS!$E$2:$F$5010,ARQUIVOS_RECEBIDOS!$F$2:$F$5010,-1),2,)</f>
        <v>R02</v>
      </c>
      <c r="C896" s="15" t="s">
        <v>5987</v>
      </c>
      <c r="D896" s="6" t="s">
        <v>4319</v>
      </c>
      <c r="E896" s="8" t="s">
        <v>5004</v>
      </c>
      <c r="F896" s="8" t="s">
        <v>4337</v>
      </c>
      <c r="G896" s="6" t="str">
        <f>_xlfn.XLOOKUP(LD_01[[#This Row],[DISCIPLINA]],'CLASSES DE PROJETOS'!$F$3:$F$37,'CLASSES DE PROJETOS'!$C$3:$C$37)</f>
        <v>EL</v>
      </c>
      <c r="H896" t="str">
        <f>_xlfn.TEXTJOIN("/",TRUE,"MSV-163MS-"&amp;LD_01[[#This Row],[TRECHO]],_xlfn.XLOOKUP(LD_01[[#This Row],[SIGLA]],'CLASSES DE PROJETOS'!$C$3:$C$37,'CLASSES DE PROJETOS'!$E$3:$E$37))</f>
        <v>MSV-163MS-634-RET/14.EL</v>
      </c>
      <c r="I896" s="6" t="str" cm="1">
        <f t="array" ref="I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J896" s="6" t="str" cm="1">
        <f t="array" ref="J896">_xlfn.TEXTJOIN(", ",TRUE,_xlfn.UNIQUE(_xlfn._xlws.FILTER(ARQUIVOS_RECEBIDOS!$F$2:$F$5010,ARQUIVOS_RECEBIDOS!$E$2:$E$5010=LD_01[[#This Row],[DOCUMENTO]])))</f>
        <v>R01, R02</v>
      </c>
      <c r="K896" s="12" cm="1">
        <f t="array" ref="K896">_xlfn.UNIQUE(_xlfn._xlws.FILTER(ARQUIVOS[DATA RECEBIMENTO],(ARQUIVOS[DOCUMENTO]=LD_01[[#This Row],[DOCUMENTO]])*(ARQUIVOS[REVISÃO]=LD_01[[#This Row],[REVISÃO]])))</f>
        <v>45931</v>
      </c>
      <c r="L8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M896" s="6" t="str">
        <f>LD_01[[#This Row],[PASTA]]&amp;"/"&amp;LD_01[[#This Row],[ARQUIVO]]</f>
        <v>MSV-163MS-634-RET/14.EL/MSV-163MS-634+900-RET-EXE-RT-K2-001-R02.pdf</v>
      </c>
    </row>
    <row r="897" spans="1:13" ht="43.2" hidden="1" x14ac:dyDescent="0.3">
      <c r="A897" s="6" t="s">
        <v>3666</v>
      </c>
      <c r="B897" s="6" t="str">
        <f>VLOOKUP(LD_01[[#This Row],[DOCUMENTO]],_xlfn.SORTBY(ARQUIVOS_RECEBIDOS!$E$2:$F$5010,ARQUIVOS_RECEBIDOS!$F$2:$F$5010,-1),2,)</f>
        <v>R00</v>
      </c>
      <c r="C897" s="15" t="s">
        <v>5987</v>
      </c>
      <c r="D897" s="6" t="s">
        <v>4319</v>
      </c>
      <c r="E897" s="8" t="s">
        <v>5007</v>
      </c>
      <c r="F897" s="8" t="s">
        <v>4333</v>
      </c>
      <c r="G897" s="6" t="str">
        <f>_xlfn.XLOOKUP(LD_01[[#This Row],[DISCIPLINA]],'CLASSES DE PROJETOS'!$F$3:$F$37,'CLASSES DE PROJETOS'!$C$3:$C$37)</f>
        <v>IN</v>
      </c>
      <c r="H897" t="str">
        <f>_xlfn.TEXTJOIN("/",TRUE,"MSV-163MS-"&amp;LD_01[[#This Row],[TRECHO]],_xlfn.XLOOKUP(LD_01[[#This Row],[SIGLA]],'CLASSES DE PROJETOS'!$C$3:$C$37,'CLASSES DE PROJETOS'!$E$3:$E$37))</f>
        <v>MSV-163MS-634-RET/23.IN</v>
      </c>
      <c r="I897" s="6" t="str" cm="1">
        <f t="array" ref="I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J897" s="6" t="str" cm="1">
        <f t="array" ref="J897">_xlfn.TEXTJOIN(", ",TRUE,_xlfn.UNIQUE(_xlfn._xlws.FILTER(ARQUIVOS_RECEBIDOS!$F$2:$F$5010,ARQUIVOS_RECEBIDOS!$E$2:$E$5010=LD_01[[#This Row],[DOCUMENTO]])))</f>
        <v>R00</v>
      </c>
      <c r="K897" s="12" cm="1">
        <f t="array" ref="K897">_xlfn.UNIQUE(_xlfn._xlws.FILTER(ARQUIVOS[DATA RECEBIMENTO],(ARQUIVOS[DOCUMENTO]=LD_01[[#This Row],[DOCUMENTO]])*(ARQUIVOS[REVISÃO]=LD_01[[#This Row],[REVISÃO]])))</f>
        <v>45838</v>
      </c>
      <c r="L8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M897" s="6" t="str">
        <f>LD_01[[#This Row],[PASTA]]&amp;"/"&amp;LD_01[[#This Row],[ARQUIVO]]</f>
        <v>MSV-163MS-634-RET/23.IN/MSV-163MS-634+900-RET-EXE-RT-M1-001-R00.pdf</v>
      </c>
    </row>
    <row r="898" spans="1:13" hidden="1" x14ac:dyDescent="0.3">
      <c r="A898" s="6" t="s">
        <v>3682</v>
      </c>
      <c r="B898" s="6" t="str">
        <f>VLOOKUP(LD_01[[#This Row],[DOCUMENTO]],_xlfn.SORTBY(ARQUIVOS_RECEBIDOS!$E$2:$F$5010,ARQUIVOS_RECEBIDOS!$F$2:$F$5010,-1),2,)</f>
        <v>R03</v>
      </c>
      <c r="C898" s="15" t="s">
        <v>5987</v>
      </c>
      <c r="D898" s="6" t="s">
        <v>4319</v>
      </c>
      <c r="E898" s="8" t="s">
        <v>5008</v>
      </c>
      <c r="F898" s="8" t="s">
        <v>4334</v>
      </c>
      <c r="G898" s="6" t="str">
        <f>_xlfn.XLOOKUP(LD_01[[#This Row],[DISCIPLINA]],'CLASSES DE PROJETOS'!$F$3:$F$37,'CLASSES DE PROJETOS'!$C$3:$C$37)</f>
        <v>PA</v>
      </c>
      <c r="H898" t="str">
        <f>_xlfn.TEXTJOIN("/",TRUE,"MSV-163MS-"&amp;LD_01[[#This Row],[TRECHO]],_xlfn.XLOOKUP(LD_01[[#This Row],[SIGLA]],'CLASSES DE PROJETOS'!$C$3:$C$37,'CLASSES DE PROJETOS'!$E$3:$E$37))</f>
        <v>MSV-163MS-634-RET/27.PA</v>
      </c>
      <c r="I898" s="6" t="str" cm="1">
        <f t="array" ref="I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J898" s="6" t="str" cm="1">
        <f t="array" ref="J898">_xlfn.TEXTJOIN(", ",TRUE,_xlfn.UNIQUE(_xlfn._xlws.FILTER(ARQUIVOS_RECEBIDOS!$F$2:$F$5010,ARQUIVOS_RECEBIDOS!$E$2:$E$5010=LD_01[[#This Row],[DOCUMENTO]])))</f>
        <v>R02, R03</v>
      </c>
      <c r="K898" s="12" cm="1">
        <f t="array" ref="K898">_xlfn.UNIQUE(_xlfn._xlws.FILTER(ARQUIVOS[DATA RECEBIMENTO],(ARQUIVOS[DOCUMENTO]=LD_01[[#This Row],[DOCUMENTO]])*(ARQUIVOS[REVISÃO]=LD_01[[#This Row],[REVISÃO]])))</f>
        <v>45859</v>
      </c>
      <c r="L8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M898" s="6" t="str">
        <f>LD_01[[#This Row],[PASTA]]&amp;"/"&amp;LD_01[[#This Row],[ARQUIVO]]</f>
        <v>MSV-163MS-634-RET/27.PA/MSV-163MS-634+900-RET-EXE-RT-N2-001-R03.pdf</v>
      </c>
    </row>
    <row r="899" spans="1:13" ht="28.8" hidden="1" x14ac:dyDescent="0.3">
      <c r="A899" s="6" t="s">
        <v>3676</v>
      </c>
      <c r="B899" s="6" t="str">
        <f>VLOOKUP(LD_01[[#This Row],[DOCUMENTO]],_xlfn.SORTBY(ARQUIVOS_RECEBIDOS!$E$2:$F$5010,ARQUIVOS_RECEBIDOS!$F$2:$F$5010,-1),2,)</f>
        <v>R01</v>
      </c>
      <c r="C899" s="15" t="s">
        <v>5987</v>
      </c>
      <c r="D899" s="6" t="s">
        <v>4319</v>
      </c>
      <c r="E899" s="8" t="s">
        <v>5001</v>
      </c>
      <c r="F899" s="8" t="s">
        <v>4144</v>
      </c>
      <c r="G899" s="6" t="str">
        <f>_xlfn.XLOOKUP(LD_01[[#This Row],[DISCIPLINA]],'CLASSES DE PROJETOS'!$F$3:$F$37,'CLASSES DE PROJETOS'!$C$3:$C$37)</f>
        <v>DV</v>
      </c>
      <c r="H899" t="str">
        <f>_xlfn.TEXTJOIN("/",TRUE,"MSV-163MS-"&amp;LD_01[[#This Row],[TRECHO]],_xlfn.XLOOKUP(LD_01[[#This Row],[SIGLA]],'CLASSES DE PROJETOS'!$C$3:$C$37,'CLASSES DE PROJETOS'!$E$3:$E$37))</f>
        <v>MSV-163MS-634-RET/12.DV</v>
      </c>
      <c r="I899" s="6" t="str" cm="1">
        <f t="array" ref="I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J899" s="6" t="str" cm="1">
        <f t="array" ref="J899">_xlfn.TEXTJOIN(", ",TRUE,_xlfn.UNIQUE(_xlfn._xlws.FILTER(ARQUIVOS_RECEBIDOS!$F$2:$F$5010,ARQUIVOS_RECEBIDOS!$E$2:$E$5010=LD_01[[#This Row],[DOCUMENTO]])))</f>
        <v>R01</v>
      </c>
      <c r="K899" s="12" cm="1">
        <f t="array" ref="K899">_xlfn.UNIQUE(_xlfn._xlws.FILTER(ARQUIVOS[DATA RECEBIMENTO],(ARQUIVOS[DOCUMENTO]=LD_01[[#This Row],[DOCUMENTO]])*(ARQUIVOS[REVISÃO]=LD_01[[#This Row],[REVISÃO]])))</f>
        <v>45838</v>
      </c>
      <c r="L8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M899" s="6" t="str">
        <f>LD_01[[#This Row],[PASTA]]&amp;"/"&amp;LD_01[[#This Row],[ARQUIVO]]</f>
        <v>MSV-163MS-634-RET/12.DV/MSV-163MS-634+900-RET-EXE-RT-O2-001-R01.pdf</v>
      </c>
    </row>
    <row r="900" spans="1:13" hidden="1" x14ac:dyDescent="0.3">
      <c r="A900" s="6" t="s">
        <v>3684</v>
      </c>
      <c r="B900" s="6" t="str">
        <f>VLOOKUP(LD_01[[#This Row],[DOCUMENTO]],_xlfn.SORTBY(ARQUIVOS_RECEBIDOS!$E$2:$F$5010,ARQUIVOS_RECEBIDOS!$F$2:$F$5010,-1),2,)</f>
        <v>R01</v>
      </c>
      <c r="C900" s="15" t="s">
        <v>5987</v>
      </c>
      <c r="D900" s="6" t="s">
        <v>4320</v>
      </c>
      <c r="E900" s="8" t="s">
        <v>4242</v>
      </c>
      <c r="F900" s="8" t="s">
        <v>4163</v>
      </c>
      <c r="G900" s="6" t="str">
        <f>_xlfn.XLOOKUP(LD_01[[#This Row],[DISCIPLINA]],'CLASSES DE PROJETOS'!$F$3:$F$37,'CLASSES DE PROJETOS'!$C$3:$C$37)</f>
        <v>TO</v>
      </c>
      <c r="H900" t="str">
        <f>_xlfn.TEXTJOIN("/",TRUE,"MSV-163MS-"&amp;LD_01[[#This Row],[TRECHO]],_xlfn.XLOOKUP(LD_01[[#This Row],[SIGLA]],'CLASSES DE PROJETOS'!$C$3:$C$37,'CLASSES DE PROJETOS'!$E$3:$E$37))</f>
        <v>MSV-163MS-638-NORTE/33.TO</v>
      </c>
      <c r="I900" s="6" t="str" cm="1">
        <f t="array" ref="I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J900" s="6" t="str" cm="1">
        <f t="array" ref="J900">_xlfn.TEXTJOIN(", ",TRUE,_xlfn.UNIQUE(_xlfn._xlws.FILTER(ARQUIVOS_RECEBIDOS!$F$2:$F$5010,ARQUIVOS_RECEBIDOS!$E$2:$E$5010=LD_01[[#This Row],[DOCUMENTO]])))</f>
        <v>R01</v>
      </c>
      <c r="K900" s="12" cm="1">
        <f t="array" ref="K900">_xlfn.UNIQUE(_xlfn._xlws.FILTER(ARQUIVOS[DATA RECEBIMENTO],(ARQUIVOS[DOCUMENTO]=LD_01[[#This Row],[DOCUMENTO]])*(ARQUIVOS[REVISÃO]=LD_01[[#This Row],[REVISÃO]])))</f>
        <v>45838</v>
      </c>
      <c r="L9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M900" s="6" t="str">
        <f>LD_01[[#This Row],[PASTA]]&amp;"/"&amp;LD_01[[#This Row],[ARQUIVO]]</f>
        <v>MSV-163MS-638-NORTE/33.TO/MSV-163MS-638+600-EDI-EXE-DE-C1-001-R01.pdf</v>
      </c>
    </row>
    <row r="901" spans="1:13" hidden="1" x14ac:dyDescent="0.3">
      <c r="A901" s="6" t="s">
        <v>3685</v>
      </c>
      <c r="B901" s="6" t="str">
        <f>VLOOKUP(LD_01[[#This Row],[DOCUMENTO]],_xlfn.SORTBY(ARQUIVOS_RECEBIDOS!$E$2:$F$5010,ARQUIVOS_RECEBIDOS!$F$2:$F$5010,-1),2,)</f>
        <v>R01</v>
      </c>
      <c r="C901" s="15" t="s">
        <v>5987</v>
      </c>
      <c r="D901" s="6" t="s">
        <v>4320</v>
      </c>
      <c r="E901" s="8" t="s">
        <v>4242</v>
      </c>
      <c r="F901" s="8" t="s">
        <v>4163</v>
      </c>
      <c r="G901" s="6" t="str">
        <f>_xlfn.XLOOKUP(LD_01[[#This Row],[DISCIPLINA]],'CLASSES DE PROJETOS'!$F$3:$F$37,'CLASSES DE PROJETOS'!$C$3:$C$37)</f>
        <v>TO</v>
      </c>
      <c r="H901" t="str">
        <f>_xlfn.TEXTJOIN("/",TRUE,"MSV-163MS-"&amp;LD_01[[#This Row],[TRECHO]],_xlfn.XLOOKUP(LD_01[[#This Row],[SIGLA]],'CLASSES DE PROJETOS'!$C$3:$C$37,'CLASSES DE PROJETOS'!$E$3:$E$37))</f>
        <v>MSV-163MS-638-NORTE/33.TO</v>
      </c>
      <c r="I901" s="6" t="str" cm="1">
        <f t="array" ref="I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J901" s="6" t="str" cm="1">
        <f t="array" ref="J901">_xlfn.TEXTJOIN(", ",TRUE,_xlfn.UNIQUE(_xlfn._xlws.FILTER(ARQUIVOS_RECEBIDOS!$F$2:$F$5010,ARQUIVOS_RECEBIDOS!$E$2:$E$5010=LD_01[[#This Row],[DOCUMENTO]])))</f>
        <v>R01</v>
      </c>
      <c r="K901" s="12" cm="1">
        <f t="array" ref="K901">_xlfn.UNIQUE(_xlfn._xlws.FILTER(ARQUIVOS[DATA RECEBIMENTO],(ARQUIVOS[DOCUMENTO]=LD_01[[#This Row],[DOCUMENTO]])*(ARQUIVOS[REVISÃO]=LD_01[[#This Row],[REVISÃO]])))</f>
        <v>45838</v>
      </c>
      <c r="L9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M901" s="6" t="str">
        <f>LD_01[[#This Row],[PASTA]]&amp;"/"&amp;LD_01[[#This Row],[ARQUIVO]]</f>
        <v>MSV-163MS-638-NORTE/33.TO/MSV-163MS-638+600-EDI-EXE-DE-C1-002-R01.pdf</v>
      </c>
    </row>
    <row r="902" spans="1:13" ht="28.8" hidden="1" x14ac:dyDescent="0.3">
      <c r="A902" s="6" t="s">
        <v>3820</v>
      </c>
      <c r="B902" s="6" t="str">
        <f>VLOOKUP(LD_01[[#This Row],[DOCUMENTO]],_xlfn.SORTBY(ARQUIVOS_RECEBIDOS!$E$2:$F$5010,ARQUIVOS_RECEBIDOS!$F$2:$F$5010,-1),2,)</f>
        <v>R01</v>
      </c>
      <c r="C902" s="15" t="s">
        <v>5987</v>
      </c>
      <c r="D902" s="6" t="s">
        <v>4320</v>
      </c>
      <c r="E902" s="8" t="s">
        <v>4821</v>
      </c>
      <c r="F902" s="8" t="s">
        <v>4332</v>
      </c>
      <c r="G902" s="6" t="str">
        <f>_xlfn.XLOOKUP(LD_01[[#This Row],[DISCIPLINA]],'CLASSES DE PROJETOS'!$F$3:$F$37,'CLASSES DE PROJETOS'!$C$3:$C$37)</f>
        <v>GG</v>
      </c>
      <c r="H902" t="str">
        <f>_xlfn.TEXTJOIN("/",TRUE,"MSV-163MS-"&amp;LD_01[[#This Row],[TRECHO]],_xlfn.XLOOKUP(LD_01[[#This Row],[SIGLA]],'CLASSES DE PROJETOS'!$C$3:$C$37,'CLASSES DE PROJETOS'!$E$3:$E$37))</f>
        <v>MSV-163MS-638-NORTE/19.GG</v>
      </c>
      <c r="I902" s="6" t="str" cm="1">
        <f t="array" ref="I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J902" s="6" t="str" cm="1">
        <f t="array" ref="J902">_xlfn.TEXTJOIN(", ",TRUE,_xlfn.UNIQUE(_xlfn._xlws.FILTER(ARQUIVOS_RECEBIDOS!$F$2:$F$5010,ARQUIVOS_RECEBIDOS!$E$2:$E$5010=LD_01[[#This Row],[DOCUMENTO]])))</f>
        <v>R00, R01</v>
      </c>
      <c r="K902" s="12" cm="1">
        <f t="array" ref="K902">_xlfn.UNIQUE(_xlfn._xlws.FILTER(ARQUIVOS[DATA RECEBIMENTO],(ARQUIVOS[DOCUMENTO]=LD_01[[#This Row],[DOCUMENTO]])*(ARQUIVOS[REVISÃO]=LD_01[[#This Row],[REVISÃO]])))</f>
        <v>45931</v>
      </c>
      <c r="L9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M902" s="6" t="str">
        <f>LD_01[[#This Row],[PASTA]]&amp;"/"&amp;LD_01[[#This Row],[ARQUIVO]]</f>
        <v>MSV-163MS-638-NORTE/19.GG/MSV-163MS-638+600-EDI-EXE-DE-D3-001-R01.pdf</v>
      </c>
    </row>
    <row r="903" spans="1:13" ht="28.8" hidden="1" x14ac:dyDescent="0.3">
      <c r="A903" s="6" t="s">
        <v>3821</v>
      </c>
      <c r="B903" s="6" t="str">
        <f>VLOOKUP(LD_01[[#This Row],[DOCUMENTO]],_xlfn.SORTBY(ARQUIVOS_RECEBIDOS!$E$2:$F$5010,ARQUIVOS_RECEBIDOS!$F$2:$F$5010,-1),2,)</f>
        <v>R01</v>
      </c>
      <c r="C903" s="15" t="s">
        <v>5987</v>
      </c>
      <c r="D903" s="6" t="s">
        <v>4320</v>
      </c>
      <c r="E903" s="8" t="s">
        <v>4821</v>
      </c>
      <c r="F903" s="8" t="s">
        <v>4332</v>
      </c>
      <c r="G903" s="6" t="str">
        <f>_xlfn.XLOOKUP(LD_01[[#This Row],[DISCIPLINA]],'CLASSES DE PROJETOS'!$F$3:$F$37,'CLASSES DE PROJETOS'!$C$3:$C$37)</f>
        <v>GG</v>
      </c>
      <c r="H903" t="str">
        <f>_xlfn.TEXTJOIN("/",TRUE,"MSV-163MS-"&amp;LD_01[[#This Row],[TRECHO]],_xlfn.XLOOKUP(LD_01[[#This Row],[SIGLA]],'CLASSES DE PROJETOS'!$C$3:$C$37,'CLASSES DE PROJETOS'!$E$3:$E$37))</f>
        <v>MSV-163MS-638-NORTE/19.GG</v>
      </c>
      <c r="I903" s="6" t="str" cm="1">
        <f t="array" ref="I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J903" s="6" t="str" cm="1">
        <f t="array" ref="J903">_xlfn.TEXTJOIN(", ",TRUE,_xlfn.UNIQUE(_xlfn._xlws.FILTER(ARQUIVOS_RECEBIDOS!$F$2:$F$5010,ARQUIVOS_RECEBIDOS!$E$2:$E$5010=LD_01[[#This Row],[DOCUMENTO]])))</f>
        <v>R00, R01</v>
      </c>
      <c r="K903" s="12" cm="1">
        <f t="array" ref="K903">_xlfn.UNIQUE(_xlfn._xlws.FILTER(ARQUIVOS[DATA RECEBIMENTO],(ARQUIVOS[DOCUMENTO]=LD_01[[#This Row],[DOCUMENTO]])*(ARQUIVOS[REVISÃO]=LD_01[[#This Row],[REVISÃO]])))</f>
        <v>45931</v>
      </c>
      <c r="L9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M903" s="6" t="str">
        <f>LD_01[[#This Row],[PASTA]]&amp;"/"&amp;LD_01[[#This Row],[ARQUIVO]]</f>
        <v>MSV-163MS-638-NORTE/19.GG/MSV-163MS-638+600-EDI-EXE-DE-D3-002-R01.pdf</v>
      </c>
    </row>
    <row r="904" spans="1:13" ht="28.8" hidden="1" x14ac:dyDescent="0.3">
      <c r="A904" s="6" t="s">
        <v>4773</v>
      </c>
      <c r="B904" s="6" t="str">
        <f>VLOOKUP(LD_01[[#This Row],[DOCUMENTO]],_xlfn.SORTBY(ARQUIVOS_RECEBIDOS!$E$2:$F$5010,ARQUIVOS_RECEBIDOS!$F$2:$F$5010,-1),2,)</f>
        <v>R01</v>
      </c>
      <c r="C904" s="15" t="s">
        <v>5987</v>
      </c>
      <c r="D904" s="6" t="s">
        <v>4320</v>
      </c>
      <c r="E904" s="8" t="s">
        <v>4821</v>
      </c>
      <c r="F904" s="8" t="s">
        <v>4332</v>
      </c>
      <c r="G904" s="6" t="str">
        <f>_xlfn.XLOOKUP(LD_01[[#This Row],[DISCIPLINA]],'CLASSES DE PROJETOS'!$F$3:$F$37,'CLASSES DE PROJETOS'!$C$3:$C$37)</f>
        <v>GG</v>
      </c>
      <c r="H904" t="str">
        <f>_xlfn.TEXTJOIN("/",TRUE,"MSV-163MS-"&amp;LD_01[[#This Row],[TRECHO]],_xlfn.XLOOKUP(LD_01[[#This Row],[SIGLA]],'CLASSES DE PROJETOS'!$C$3:$C$37,'CLASSES DE PROJETOS'!$E$3:$E$37))</f>
        <v>MSV-163MS-638-NORTE/19.GG</v>
      </c>
      <c r="I904" s="6" t="str" cm="1">
        <f t="array" ref="I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J904" s="6" t="str" cm="1">
        <f t="array" ref="J904">_xlfn.TEXTJOIN(", ",TRUE,_xlfn.UNIQUE(_xlfn._xlws.FILTER(ARQUIVOS_RECEBIDOS!$F$2:$F$5010,ARQUIVOS_RECEBIDOS!$E$2:$E$5010=LD_01[[#This Row],[DOCUMENTO]])))</f>
        <v>R01</v>
      </c>
      <c r="K904" s="12" cm="1">
        <f t="array" ref="K904">_xlfn.UNIQUE(_xlfn._xlws.FILTER(ARQUIVOS[DATA RECEBIMENTO],(ARQUIVOS[DOCUMENTO]=LD_01[[#This Row],[DOCUMENTO]])*(ARQUIVOS[REVISÃO]=LD_01[[#This Row],[REVISÃO]])))</f>
        <v>45931</v>
      </c>
      <c r="L9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M904" s="6" t="str">
        <f>LD_01[[#This Row],[PASTA]]&amp;"/"&amp;LD_01[[#This Row],[ARQUIVO]]</f>
        <v>MSV-163MS-638-NORTE/19.GG/MSV-163MS-638+600-EDI-EXE-DE-D3-003-R01.pdf</v>
      </c>
    </row>
    <row r="905" spans="1:13" ht="28.8" hidden="1" x14ac:dyDescent="0.3">
      <c r="A905" s="6" t="s">
        <v>4774</v>
      </c>
      <c r="B905" s="6" t="str">
        <f>VLOOKUP(LD_01[[#This Row],[DOCUMENTO]],_xlfn.SORTBY(ARQUIVOS_RECEBIDOS!$E$2:$F$5010,ARQUIVOS_RECEBIDOS!$F$2:$F$5010,-1),2,)</f>
        <v>R01</v>
      </c>
      <c r="C905" s="15" t="s">
        <v>5987</v>
      </c>
      <c r="D905" s="6" t="s">
        <v>4320</v>
      </c>
      <c r="E905" s="8" t="s">
        <v>4821</v>
      </c>
      <c r="F905" s="8" t="s">
        <v>4332</v>
      </c>
      <c r="G905" s="6" t="str">
        <f>_xlfn.XLOOKUP(LD_01[[#This Row],[DISCIPLINA]],'CLASSES DE PROJETOS'!$F$3:$F$37,'CLASSES DE PROJETOS'!$C$3:$C$37)</f>
        <v>GG</v>
      </c>
      <c r="H905" t="str">
        <f>_xlfn.TEXTJOIN("/",TRUE,"MSV-163MS-"&amp;LD_01[[#This Row],[TRECHO]],_xlfn.XLOOKUP(LD_01[[#This Row],[SIGLA]],'CLASSES DE PROJETOS'!$C$3:$C$37,'CLASSES DE PROJETOS'!$E$3:$E$37))</f>
        <v>MSV-163MS-638-NORTE/19.GG</v>
      </c>
      <c r="I905" s="6" t="str" cm="1">
        <f t="array" ref="I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J905" s="6" t="str" cm="1">
        <f t="array" ref="J905">_xlfn.TEXTJOIN(", ",TRUE,_xlfn.UNIQUE(_xlfn._xlws.FILTER(ARQUIVOS_RECEBIDOS!$F$2:$F$5010,ARQUIVOS_RECEBIDOS!$E$2:$E$5010=LD_01[[#This Row],[DOCUMENTO]])))</f>
        <v>R01</v>
      </c>
      <c r="K905" s="12" cm="1">
        <f t="array" ref="K905">_xlfn.UNIQUE(_xlfn._xlws.FILTER(ARQUIVOS[DATA RECEBIMENTO],(ARQUIVOS[DOCUMENTO]=LD_01[[#This Row],[DOCUMENTO]])*(ARQUIVOS[REVISÃO]=LD_01[[#This Row],[REVISÃO]])))</f>
        <v>45931</v>
      </c>
      <c r="L9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M905" s="6" t="str">
        <f>LD_01[[#This Row],[PASTA]]&amp;"/"&amp;LD_01[[#This Row],[ARQUIVO]]</f>
        <v>MSV-163MS-638-NORTE/19.GG/MSV-163MS-638+600-EDI-EXE-DE-D3-004-R01.pdf</v>
      </c>
    </row>
    <row r="906" spans="1:13" ht="28.8" hidden="1" x14ac:dyDescent="0.3">
      <c r="A906" s="6" t="s">
        <v>4775</v>
      </c>
      <c r="B906" s="6" t="str">
        <f>VLOOKUP(LD_01[[#This Row],[DOCUMENTO]],_xlfn.SORTBY(ARQUIVOS_RECEBIDOS!$E$2:$F$5010,ARQUIVOS_RECEBIDOS!$F$2:$F$5010,-1),2,)</f>
        <v>R01</v>
      </c>
      <c r="C906" s="15" t="s">
        <v>5987</v>
      </c>
      <c r="D906" s="6" t="s">
        <v>4320</v>
      </c>
      <c r="E906" s="8" t="s">
        <v>4821</v>
      </c>
      <c r="F906" s="8" t="s">
        <v>4332</v>
      </c>
      <c r="G906" s="6" t="str">
        <f>_xlfn.XLOOKUP(LD_01[[#This Row],[DISCIPLINA]],'CLASSES DE PROJETOS'!$F$3:$F$37,'CLASSES DE PROJETOS'!$C$3:$C$37)</f>
        <v>GG</v>
      </c>
      <c r="H906" t="str">
        <f>_xlfn.TEXTJOIN("/",TRUE,"MSV-163MS-"&amp;LD_01[[#This Row],[TRECHO]],_xlfn.XLOOKUP(LD_01[[#This Row],[SIGLA]],'CLASSES DE PROJETOS'!$C$3:$C$37,'CLASSES DE PROJETOS'!$E$3:$E$37))</f>
        <v>MSV-163MS-638-NORTE/19.GG</v>
      </c>
      <c r="I906" s="6" t="str" cm="1">
        <f t="array" ref="I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J906" s="6" t="str" cm="1">
        <f t="array" ref="J906">_xlfn.TEXTJOIN(", ",TRUE,_xlfn.UNIQUE(_xlfn._xlws.FILTER(ARQUIVOS_RECEBIDOS!$F$2:$F$5010,ARQUIVOS_RECEBIDOS!$E$2:$E$5010=LD_01[[#This Row],[DOCUMENTO]])))</f>
        <v>R01</v>
      </c>
      <c r="K906" s="12" cm="1">
        <f t="array" ref="K906">_xlfn.UNIQUE(_xlfn._xlws.FILTER(ARQUIVOS[DATA RECEBIMENTO],(ARQUIVOS[DOCUMENTO]=LD_01[[#This Row],[DOCUMENTO]])*(ARQUIVOS[REVISÃO]=LD_01[[#This Row],[REVISÃO]])))</f>
        <v>45931</v>
      </c>
      <c r="L9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M906" s="6" t="str">
        <f>LD_01[[#This Row],[PASTA]]&amp;"/"&amp;LD_01[[#This Row],[ARQUIVO]]</f>
        <v>MSV-163MS-638-NORTE/19.GG/MSV-163MS-638+600-EDI-EXE-DE-D3-005-R01.pdf</v>
      </c>
    </row>
    <row r="907" spans="1:13" ht="28.8" hidden="1" x14ac:dyDescent="0.3">
      <c r="A907" s="6" t="s">
        <v>3687</v>
      </c>
      <c r="B907" s="6" t="str">
        <f>VLOOKUP(LD_01[[#This Row],[DOCUMENTO]],_xlfn.SORTBY(ARQUIVOS_RECEBIDOS!$E$2:$F$5010,ARQUIVOS_RECEBIDOS!$F$2:$F$5010,-1),2,)</f>
        <v>R03</v>
      </c>
      <c r="C907" s="15" t="s">
        <v>5987</v>
      </c>
      <c r="D907" s="6" t="s">
        <v>4320</v>
      </c>
      <c r="E907" s="8" t="s">
        <v>4945</v>
      </c>
      <c r="F907" s="8" t="s">
        <v>4141</v>
      </c>
      <c r="G907" s="6" t="str">
        <f>_xlfn.XLOOKUP(LD_01[[#This Row],[DISCIPLINA]],'CLASSES DE PROJETOS'!$F$3:$F$37,'CLASSES DE PROJETOS'!$C$3:$C$37)</f>
        <v>GE</v>
      </c>
      <c r="H907" t="str">
        <f>_xlfn.TEXTJOIN("/",TRUE,"MSV-163MS-"&amp;LD_01[[#This Row],[TRECHO]],_xlfn.XLOOKUP(LD_01[[#This Row],[SIGLA]],'CLASSES DE PROJETOS'!$C$3:$C$37,'CLASSES DE PROJETOS'!$E$3:$E$37))</f>
        <v>MSV-163MS-638-NORTE/18.GE</v>
      </c>
      <c r="I907" s="6" t="str" cm="1">
        <f t="array" ref="I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J907" s="6" t="str" cm="1">
        <f t="array" ref="J907">_xlfn.TEXTJOIN(", ",TRUE,_xlfn.UNIQUE(_xlfn._xlws.FILTER(ARQUIVOS_RECEBIDOS!$F$2:$F$5010,ARQUIVOS_RECEBIDOS!$E$2:$E$5010=LD_01[[#This Row],[DOCUMENTO]])))</f>
        <v>R02, R03</v>
      </c>
      <c r="K907" s="12" cm="1">
        <f t="array" ref="K907">_xlfn.UNIQUE(_xlfn._xlws.FILTER(ARQUIVOS[DATA RECEBIMENTO],(ARQUIVOS[DOCUMENTO]=LD_01[[#This Row],[DOCUMENTO]])*(ARQUIVOS[REVISÃO]=LD_01[[#This Row],[REVISÃO]])))</f>
        <v>45859</v>
      </c>
      <c r="L9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M907" s="6" t="str">
        <f>LD_01[[#This Row],[PASTA]]&amp;"/"&amp;LD_01[[#This Row],[ARQUIVO]]</f>
        <v>MSV-163MS-638-NORTE/18.GE/MSV-163MS-638+600-EDI-EXE-DE-F1-001-R03.pdf</v>
      </c>
    </row>
    <row r="908" spans="1:13" ht="28.8" hidden="1" x14ac:dyDescent="0.3">
      <c r="A908" s="6" t="s">
        <v>3688</v>
      </c>
      <c r="B908" s="6" t="str">
        <f>VLOOKUP(LD_01[[#This Row],[DOCUMENTO]],_xlfn.SORTBY(ARQUIVOS_RECEBIDOS!$E$2:$F$5010,ARQUIVOS_RECEBIDOS!$F$2:$F$5010,-1),2,)</f>
        <v>R03</v>
      </c>
      <c r="C908" s="15" t="s">
        <v>5987</v>
      </c>
      <c r="D908" s="6" t="s">
        <v>4320</v>
      </c>
      <c r="E908" s="8" t="s">
        <v>4945</v>
      </c>
      <c r="F908" s="8" t="s">
        <v>4141</v>
      </c>
      <c r="G908" s="6" t="str">
        <f>_xlfn.XLOOKUP(LD_01[[#This Row],[DISCIPLINA]],'CLASSES DE PROJETOS'!$F$3:$F$37,'CLASSES DE PROJETOS'!$C$3:$C$37)</f>
        <v>GE</v>
      </c>
      <c r="H908" t="str">
        <f>_xlfn.TEXTJOIN("/",TRUE,"MSV-163MS-"&amp;LD_01[[#This Row],[TRECHO]],_xlfn.XLOOKUP(LD_01[[#This Row],[SIGLA]],'CLASSES DE PROJETOS'!$C$3:$C$37,'CLASSES DE PROJETOS'!$E$3:$E$37))</f>
        <v>MSV-163MS-638-NORTE/18.GE</v>
      </c>
      <c r="I908" s="6" t="str" cm="1">
        <f t="array" ref="I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J908" s="6" t="str" cm="1">
        <f t="array" ref="J908">_xlfn.TEXTJOIN(", ",TRUE,_xlfn.UNIQUE(_xlfn._xlws.FILTER(ARQUIVOS_RECEBIDOS!$F$2:$F$5010,ARQUIVOS_RECEBIDOS!$E$2:$E$5010=LD_01[[#This Row],[DOCUMENTO]])))</f>
        <v>R02, R03</v>
      </c>
      <c r="K908" s="12" cm="1">
        <f t="array" ref="K908">_xlfn.UNIQUE(_xlfn._xlws.FILTER(ARQUIVOS[DATA RECEBIMENTO],(ARQUIVOS[DOCUMENTO]=LD_01[[#This Row],[DOCUMENTO]])*(ARQUIVOS[REVISÃO]=LD_01[[#This Row],[REVISÃO]])))</f>
        <v>45859</v>
      </c>
      <c r="L9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M908" s="6" t="str">
        <f>LD_01[[#This Row],[PASTA]]&amp;"/"&amp;LD_01[[#This Row],[ARQUIVO]]</f>
        <v>MSV-163MS-638-NORTE/18.GE/MSV-163MS-638+600-EDI-EXE-DE-F1-002-R03.pdf</v>
      </c>
    </row>
    <row r="909" spans="1:13" ht="28.8" hidden="1" x14ac:dyDescent="0.3">
      <c r="A909" s="6" t="s">
        <v>3689</v>
      </c>
      <c r="B909" s="6" t="str">
        <f>VLOOKUP(LD_01[[#This Row],[DOCUMENTO]],_xlfn.SORTBY(ARQUIVOS_RECEBIDOS!$E$2:$F$5010,ARQUIVOS_RECEBIDOS!$F$2:$F$5010,-1),2,)</f>
        <v>R04</v>
      </c>
      <c r="C909" s="15" t="s">
        <v>5987</v>
      </c>
      <c r="D909" s="6" t="s">
        <v>4320</v>
      </c>
      <c r="E909" s="8" t="s">
        <v>4946</v>
      </c>
      <c r="F909" s="8" t="s">
        <v>4141</v>
      </c>
      <c r="G909" s="6" t="str">
        <f>_xlfn.XLOOKUP(LD_01[[#This Row],[DISCIPLINA]],'CLASSES DE PROJETOS'!$F$3:$F$37,'CLASSES DE PROJETOS'!$C$3:$C$37)</f>
        <v>GE</v>
      </c>
      <c r="H909" t="str">
        <f>_xlfn.TEXTJOIN("/",TRUE,"MSV-163MS-"&amp;LD_01[[#This Row],[TRECHO]],_xlfn.XLOOKUP(LD_01[[#This Row],[SIGLA]],'CLASSES DE PROJETOS'!$C$3:$C$37,'CLASSES DE PROJETOS'!$E$3:$E$37))</f>
        <v>MSV-163MS-638-NORTE/18.GE</v>
      </c>
      <c r="I909" s="6" t="str" cm="1">
        <f t="array" ref="I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J909" s="6" t="str" cm="1">
        <f t="array" ref="J909">_xlfn.TEXTJOIN(", ",TRUE,_xlfn.UNIQUE(_xlfn._xlws.FILTER(ARQUIVOS_RECEBIDOS!$F$2:$F$5010,ARQUIVOS_RECEBIDOS!$E$2:$E$5010=LD_01[[#This Row],[DOCUMENTO]])))</f>
        <v>R02, R03, R04</v>
      </c>
      <c r="K909" s="12" cm="1">
        <f t="array" ref="K909">_xlfn.UNIQUE(_xlfn._xlws.FILTER(ARQUIVOS[DATA RECEBIMENTO],(ARQUIVOS[DOCUMENTO]=LD_01[[#This Row],[DOCUMENTO]])*(ARQUIVOS[REVISÃO]=LD_01[[#This Row],[REVISÃO]])))</f>
        <v>45895</v>
      </c>
      <c r="L9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M909" s="6" t="str">
        <f>LD_01[[#This Row],[PASTA]]&amp;"/"&amp;LD_01[[#This Row],[ARQUIVO]]</f>
        <v>MSV-163MS-638-NORTE/18.GE/MSV-163MS-638+600-EDI-EXE-DE-F1-003-R04.pdf</v>
      </c>
    </row>
    <row r="910" spans="1:13" ht="28.8" hidden="1" x14ac:dyDescent="0.3">
      <c r="A910" s="6" t="s">
        <v>3690</v>
      </c>
      <c r="B910" s="6" t="str">
        <f>VLOOKUP(LD_01[[#This Row],[DOCUMENTO]],_xlfn.SORTBY(ARQUIVOS_RECEBIDOS!$E$2:$F$5010,ARQUIVOS_RECEBIDOS!$F$2:$F$5010,-1),2,)</f>
        <v>R03</v>
      </c>
      <c r="C910" s="15" t="s">
        <v>5987</v>
      </c>
      <c r="D910" s="6" t="s">
        <v>4320</v>
      </c>
      <c r="E910" s="8" t="s">
        <v>4947</v>
      </c>
      <c r="F910" s="8" t="s">
        <v>4141</v>
      </c>
      <c r="G910" s="6" t="str">
        <f>_xlfn.XLOOKUP(LD_01[[#This Row],[DISCIPLINA]],'CLASSES DE PROJETOS'!$F$3:$F$37,'CLASSES DE PROJETOS'!$C$3:$C$37)</f>
        <v>GE</v>
      </c>
      <c r="H910" t="str">
        <f>_xlfn.TEXTJOIN("/",TRUE,"MSV-163MS-"&amp;LD_01[[#This Row],[TRECHO]],_xlfn.XLOOKUP(LD_01[[#This Row],[SIGLA]],'CLASSES DE PROJETOS'!$C$3:$C$37,'CLASSES DE PROJETOS'!$E$3:$E$37))</f>
        <v>MSV-163MS-638-NORTE/18.GE</v>
      </c>
      <c r="I910" s="6" t="str" cm="1">
        <f t="array" ref="I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J910" s="6" t="str" cm="1">
        <f t="array" ref="J910">_xlfn.TEXTJOIN(", ",TRUE,_xlfn.UNIQUE(_xlfn._xlws.FILTER(ARQUIVOS_RECEBIDOS!$F$2:$F$5010,ARQUIVOS_RECEBIDOS!$E$2:$E$5010=LD_01[[#This Row],[DOCUMENTO]])))</f>
        <v>R02, R03</v>
      </c>
      <c r="K910" s="12" cm="1">
        <f t="array" ref="K910">_xlfn.UNIQUE(_xlfn._xlws.FILTER(ARQUIVOS[DATA RECEBIMENTO],(ARQUIVOS[DOCUMENTO]=LD_01[[#This Row],[DOCUMENTO]])*(ARQUIVOS[REVISÃO]=LD_01[[#This Row],[REVISÃO]])))</f>
        <v>45859</v>
      </c>
      <c r="L9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M910" s="6" t="str">
        <f>LD_01[[#This Row],[PASTA]]&amp;"/"&amp;LD_01[[#This Row],[ARQUIVO]]</f>
        <v>MSV-163MS-638-NORTE/18.GE/MSV-163MS-638+600-EDI-EXE-DE-F1-004-R03.pdf</v>
      </c>
    </row>
    <row r="911" spans="1:13" ht="28.8" hidden="1" x14ac:dyDescent="0.3">
      <c r="A911" s="6" t="s">
        <v>3691</v>
      </c>
      <c r="B911" s="6" t="str">
        <f>VLOOKUP(LD_01[[#This Row],[DOCUMENTO]],_xlfn.SORTBY(ARQUIVOS_RECEBIDOS!$E$2:$F$5010,ARQUIVOS_RECEBIDOS!$F$2:$F$5010,-1),2,)</f>
        <v>R04</v>
      </c>
      <c r="C911" s="15" t="s">
        <v>5987</v>
      </c>
      <c r="D911" s="6" t="s">
        <v>4320</v>
      </c>
      <c r="E911" s="8" t="s">
        <v>4946</v>
      </c>
      <c r="F911" s="8" t="s">
        <v>4141</v>
      </c>
      <c r="G911" s="6" t="str">
        <f>_xlfn.XLOOKUP(LD_01[[#This Row],[DISCIPLINA]],'CLASSES DE PROJETOS'!$F$3:$F$37,'CLASSES DE PROJETOS'!$C$3:$C$37)</f>
        <v>GE</v>
      </c>
      <c r="H911" t="str">
        <f>_xlfn.TEXTJOIN("/",TRUE,"MSV-163MS-"&amp;LD_01[[#This Row],[TRECHO]],_xlfn.XLOOKUP(LD_01[[#This Row],[SIGLA]],'CLASSES DE PROJETOS'!$C$3:$C$37,'CLASSES DE PROJETOS'!$E$3:$E$37))</f>
        <v>MSV-163MS-638-NORTE/18.GE</v>
      </c>
      <c r="I911" s="6" t="str" cm="1">
        <f t="array" ref="I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J911" s="6" t="str" cm="1">
        <f t="array" ref="J911">_xlfn.TEXTJOIN(", ",TRUE,_xlfn.UNIQUE(_xlfn._xlws.FILTER(ARQUIVOS_RECEBIDOS!$F$2:$F$5010,ARQUIVOS_RECEBIDOS!$E$2:$E$5010=LD_01[[#This Row],[DOCUMENTO]])))</f>
        <v>R02, R03, R04</v>
      </c>
      <c r="K911" s="12" cm="1">
        <f t="array" ref="K911">_xlfn.UNIQUE(_xlfn._xlws.FILTER(ARQUIVOS[DATA RECEBIMENTO],(ARQUIVOS[DOCUMENTO]=LD_01[[#This Row],[DOCUMENTO]])*(ARQUIVOS[REVISÃO]=LD_01[[#This Row],[REVISÃO]])))</f>
        <v>45895</v>
      </c>
      <c r="L9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M911" s="6" t="str">
        <f>LD_01[[#This Row],[PASTA]]&amp;"/"&amp;LD_01[[#This Row],[ARQUIVO]]</f>
        <v>MSV-163MS-638-NORTE/18.GE/MSV-163MS-638+600-EDI-EXE-DE-F1-005-R04.pdf</v>
      </c>
    </row>
    <row r="912" spans="1:13" hidden="1" x14ac:dyDescent="0.3">
      <c r="A912" s="6" t="s">
        <v>3692</v>
      </c>
      <c r="B912" s="6" t="str">
        <f>VLOOKUP(LD_01[[#This Row],[DOCUMENTO]],_xlfn.SORTBY(ARQUIVOS_RECEBIDOS!$E$2:$F$5010,ARQUIVOS_RECEBIDOS!$F$2:$F$5010,-1),2,)</f>
        <v>R04</v>
      </c>
      <c r="C912" s="15" t="s">
        <v>5987</v>
      </c>
      <c r="D912" s="6" t="s">
        <v>4320</v>
      </c>
      <c r="E912" s="8" t="s">
        <v>4948</v>
      </c>
      <c r="F912" s="8" t="s">
        <v>4141</v>
      </c>
      <c r="G912" s="6" t="str">
        <f>_xlfn.XLOOKUP(LD_01[[#This Row],[DISCIPLINA]],'CLASSES DE PROJETOS'!$F$3:$F$37,'CLASSES DE PROJETOS'!$C$3:$C$37)</f>
        <v>GE</v>
      </c>
      <c r="H912" t="str">
        <f>_xlfn.TEXTJOIN("/",TRUE,"MSV-163MS-"&amp;LD_01[[#This Row],[TRECHO]],_xlfn.XLOOKUP(LD_01[[#This Row],[SIGLA]],'CLASSES DE PROJETOS'!$C$3:$C$37,'CLASSES DE PROJETOS'!$E$3:$E$37))</f>
        <v>MSV-163MS-638-NORTE/18.GE</v>
      </c>
      <c r="I912" s="6" t="str" cm="1">
        <f t="array" ref="I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J912" s="6" t="str" cm="1">
        <f t="array" ref="J912">_xlfn.TEXTJOIN(", ",TRUE,_xlfn.UNIQUE(_xlfn._xlws.FILTER(ARQUIVOS_RECEBIDOS!$F$2:$F$5010,ARQUIVOS_RECEBIDOS!$E$2:$E$5010=LD_01[[#This Row],[DOCUMENTO]])))</f>
        <v>R02, R03, R04</v>
      </c>
      <c r="K912" s="12" cm="1">
        <f t="array" ref="K912">_xlfn.UNIQUE(_xlfn._xlws.FILTER(ARQUIVOS[DATA RECEBIMENTO],(ARQUIVOS[DOCUMENTO]=LD_01[[#This Row],[DOCUMENTO]])*(ARQUIVOS[REVISÃO]=LD_01[[#This Row],[REVISÃO]])))</f>
        <v>45895</v>
      </c>
      <c r="L9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M912" s="6" t="str">
        <f>LD_01[[#This Row],[PASTA]]&amp;"/"&amp;LD_01[[#This Row],[ARQUIVO]]</f>
        <v>MSV-163MS-638-NORTE/18.GE/MSV-163MS-638+600-EDI-EXE-DE-F1-006-R04.pdf</v>
      </c>
    </row>
    <row r="913" spans="1:13" hidden="1" x14ac:dyDescent="0.3">
      <c r="A913" s="6" t="s">
        <v>3693</v>
      </c>
      <c r="B913" s="6" t="str">
        <f>VLOOKUP(LD_01[[#This Row],[DOCUMENTO]],_xlfn.SORTBY(ARQUIVOS_RECEBIDOS!$E$2:$F$5010,ARQUIVOS_RECEBIDOS!$F$2:$F$5010,-1),2,)</f>
        <v>R02</v>
      </c>
      <c r="C913" s="15" t="s">
        <v>5987</v>
      </c>
      <c r="D913" s="6" t="s">
        <v>4320</v>
      </c>
      <c r="E913" s="8" t="s">
        <v>4949</v>
      </c>
      <c r="F913" s="8" t="s">
        <v>4141</v>
      </c>
      <c r="G913" s="6" t="str">
        <f>_xlfn.XLOOKUP(LD_01[[#This Row],[DISCIPLINA]],'CLASSES DE PROJETOS'!$F$3:$F$37,'CLASSES DE PROJETOS'!$C$3:$C$37)</f>
        <v>GE</v>
      </c>
      <c r="H913" t="str">
        <f>_xlfn.TEXTJOIN("/",TRUE,"MSV-163MS-"&amp;LD_01[[#This Row],[TRECHO]],_xlfn.XLOOKUP(LD_01[[#This Row],[SIGLA]],'CLASSES DE PROJETOS'!$C$3:$C$37,'CLASSES DE PROJETOS'!$E$3:$E$37))</f>
        <v>MSV-163MS-638-NORTE/18.GE</v>
      </c>
      <c r="I913" s="6" t="str" cm="1">
        <f t="array" ref="I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J913" s="6" t="str" cm="1">
        <f t="array" ref="J913">_xlfn.TEXTJOIN(", ",TRUE,_xlfn.UNIQUE(_xlfn._xlws.FILTER(ARQUIVOS_RECEBIDOS!$F$2:$F$5010,ARQUIVOS_RECEBIDOS!$E$2:$E$5010=LD_01[[#This Row],[DOCUMENTO]])))</f>
        <v>R01, R02</v>
      </c>
      <c r="K913" s="12" cm="1">
        <f t="array" ref="K913">_xlfn.UNIQUE(_xlfn._xlws.FILTER(ARQUIVOS[DATA RECEBIMENTO],(ARQUIVOS[DOCUMENTO]=LD_01[[#This Row],[DOCUMENTO]])*(ARQUIVOS[REVISÃO]=LD_01[[#This Row],[REVISÃO]])))</f>
        <v>45859</v>
      </c>
      <c r="L9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M913" s="6" t="str">
        <f>LD_01[[#This Row],[PASTA]]&amp;"/"&amp;LD_01[[#This Row],[ARQUIVO]]</f>
        <v>MSV-163MS-638-NORTE/18.GE/MSV-163MS-638+600-EDI-EXE-DE-F1-007-R02.pdf</v>
      </c>
    </row>
    <row r="914" spans="1:13" hidden="1" x14ac:dyDescent="0.3">
      <c r="A914" s="6" t="s">
        <v>3694</v>
      </c>
      <c r="B914" s="6" t="str">
        <f>VLOOKUP(LD_01[[#This Row],[DOCUMENTO]],_xlfn.SORTBY(ARQUIVOS_RECEBIDOS!$E$2:$F$5010,ARQUIVOS_RECEBIDOS!$F$2:$F$5010,-1),2,)</f>
        <v>R01</v>
      </c>
      <c r="C914" s="15" t="s">
        <v>5987</v>
      </c>
      <c r="D914" s="6" t="s">
        <v>4320</v>
      </c>
      <c r="E914" s="8" t="s">
        <v>4948</v>
      </c>
      <c r="F914" s="8" t="s">
        <v>4141</v>
      </c>
      <c r="G914" s="6" t="str">
        <f>_xlfn.XLOOKUP(LD_01[[#This Row],[DISCIPLINA]],'CLASSES DE PROJETOS'!$F$3:$F$37,'CLASSES DE PROJETOS'!$C$3:$C$37)</f>
        <v>GE</v>
      </c>
      <c r="H914" t="str">
        <f>_xlfn.TEXTJOIN("/",TRUE,"MSV-163MS-"&amp;LD_01[[#This Row],[TRECHO]],_xlfn.XLOOKUP(LD_01[[#This Row],[SIGLA]],'CLASSES DE PROJETOS'!$C$3:$C$37,'CLASSES DE PROJETOS'!$E$3:$E$37))</f>
        <v>MSV-163MS-638-NORTE/18.GE</v>
      </c>
      <c r="I914" s="6" t="str" cm="1">
        <f t="array" ref="I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J914" s="6" t="str" cm="1">
        <f t="array" ref="J914">_xlfn.TEXTJOIN(", ",TRUE,_xlfn.UNIQUE(_xlfn._xlws.FILTER(ARQUIVOS_RECEBIDOS!$F$2:$F$5010,ARQUIVOS_RECEBIDOS!$E$2:$E$5010=LD_01[[#This Row],[DOCUMENTO]])))</f>
        <v>R01</v>
      </c>
      <c r="K914" s="12" cm="1">
        <f t="array" ref="K914">_xlfn.UNIQUE(_xlfn._xlws.FILTER(ARQUIVOS[DATA RECEBIMENTO],(ARQUIVOS[DOCUMENTO]=LD_01[[#This Row],[DOCUMENTO]])*(ARQUIVOS[REVISÃO]=LD_01[[#This Row],[REVISÃO]])))</f>
        <v>45838</v>
      </c>
      <c r="L9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M914" s="6" t="str">
        <f>LD_01[[#This Row],[PASTA]]&amp;"/"&amp;LD_01[[#This Row],[ARQUIVO]]</f>
        <v>MSV-163MS-638-NORTE/18.GE/MSV-163MS-638+600-EDI-EXE-DE-F1-008-R01.pdf</v>
      </c>
    </row>
    <row r="915" spans="1:13" ht="28.8" hidden="1" x14ac:dyDescent="0.3">
      <c r="A915" s="6" t="s">
        <v>3696</v>
      </c>
      <c r="B915" s="6" t="str">
        <f>VLOOKUP(LD_01[[#This Row],[DOCUMENTO]],_xlfn.SORTBY(ARQUIVOS_RECEBIDOS!$E$2:$F$5010,ARQUIVOS_RECEBIDOS!$F$2:$F$5010,-1),2,)</f>
        <v>R01</v>
      </c>
      <c r="C915" s="15" t="s">
        <v>5987</v>
      </c>
      <c r="D915" s="6" t="s">
        <v>4320</v>
      </c>
      <c r="E915" s="8" t="s">
        <v>4951</v>
      </c>
      <c r="F915" s="8" t="s">
        <v>4330</v>
      </c>
      <c r="G915" s="6" t="str">
        <f>_xlfn.XLOOKUP(LD_01[[#This Row],[DISCIPLINA]],'CLASSES DE PROJETOS'!$F$3:$F$37,'CLASSES DE PROJETOS'!$C$3:$C$37)</f>
        <v>TE</v>
      </c>
      <c r="H915" t="str">
        <f>_xlfn.TEXTJOIN("/",TRUE,"MSV-163MS-"&amp;LD_01[[#This Row],[TRECHO]],_xlfn.XLOOKUP(LD_01[[#This Row],[SIGLA]],'CLASSES DE PROJETOS'!$C$3:$C$37,'CLASSES DE PROJETOS'!$E$3:$E$37))</f>
        <v>MSV-163MS-638-NORTE/32.TE</v>
      </c>
      <c r="I915" s="6" t="str" cm="1">
        <f t="array" ref="I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J915" s="6" t="str" cm="1">
        <f t="array" ref="J915">_xlfn.TEXTJOIN(", ",TRUE,_xlfn.UNIQUE(_xlfn._xlws.FILTER(ARQUIVOS_RECEBIDOS!$F$2:$F$5010,ARQUIVOS_RECEBIDOS!$E$2:$E$5010=LD_01[[#This Row],[DOCUMENTO]])))</f>
        <v>R00, R01</v>
      </c>
      <c r="K915" s="12" cm="1">
        <f t="array" ref="K915">_xlfn.UNIQUE(_xlfn._xlws.FILTER(ARQUIVOS[DATA RECEBIMENTO],(ARQUIVOS[DOCUMENTO]=LD_01[[#This Row],[DOCUMENTO]])*(ARQUIVOS[REVISÃO]=LD_01[[#This Row],[REVISÃO]])))</f>
        <v>45859</v>
      </c>
      <c r="L9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M915" s="6" t="str">
        <f>LD_01[[#This Row],[PASTA]]&amp;"/"&amp;LD_01[[#This Row],[ARQUIVO]]</f>
        <v>MSV-163MS-638-NORTE/32.TE/MSV-163MS-638+600-EDI-EXE-DE-G1-001-R01.pdf</v>
      </c>
    </row>
    <row r="916" spans="1:13" ht="28.8" hidden="1" x14ac:dyDescent="0.3">
      <c r="A916" s="6" t="s">
        <v>3697</v>
      </c>
      <c r="B916" s="6" t="str">
        <f>VLOOKUP(LD_01[[#This Row],[DOCUMENTO]],_xlfn.SORTBY(ARQUIVOS_RECEBIDOS!$E$2:$F$5010,ARQUIVOS_RECEBIDOS!$F$2:$F$5010,-1),2,)</f>
        <v>R02</v>
      </c>
      <c r="C916" s="15" t="s">
        <v>5987</v>
      </c>
      <c r="D916" s="6" t="s">
        <v>4320</v>
      </c>
      <c r="E916" s="8" t="s">
        <v>4951</v>
      </c>
      <c r="F916" s="8" t="s">
        <v>4330</v>
      </c>
      <c r="G916" s="6" t="str">
        <f>_xlfn.XLOOKUP(LD_01[[#This Row],[DISCIPLINA]],'CLASSES DE PROJETOS'!$F$3:$F$37,'CLASSES DE PROJETOS'!$C$3:$C$37)</f>
        <v>TE</v>
      </c>
      <c r="H916" t="str">
        <f>_xlfn.TEXTJOIN("/",TRUE,"MSV-163MS-"&amp;LD_01[[#This Row],[TRECHO]],_xlfn.XLOOKUP(LD_01[[#This Row],[SIGLA]],'CLASSES DE PROJETOS'!$C$3:$C$37,'CLASSES DE PROJETOS'!$E$3:$E$37))</f>
        <v>MSV-163MS-638-NORTE/32.TE</v>
      </c>
      <c r="I916" s="6" t="str" cm="1">
        <f t="array" ref="I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J916" s="6" t="str" cm="1">
        <f t="array" ref="J916">_xlfn.TEXTJOIN(", ",TRUE,_xlfn.UNIQUE(_xlfn._xlws.FILTER(ARQUIVOS_RECEBIDOS!$F$2:$F$5010,ARQUIVOS_RECEBIDOS!$E$2:$E$5010=LD_01[[#This Row],[DOCUMENTO]])))</f>
        <v>R00, R01, R02</v>
      </c>
      <c r="K916" s="12" cm="1">
        <f t="array" ref="K916">_xlfn.UNIQUE(_xlfn._xlws.FILTER(ARQUIVOS[DATA RECEBIMENTO],(ARQUIVOS[DOCUMENTO]=LD_01[[#This Row],[DOCUMENTO]])*(ARQUIVOS[REVISÃO]=LD_01[[#This Row],[REVISÃO]])))</f>
        <v>45931</v>
      </c>
      <c r="L9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M916" s="6" t="str">
        <f>LD_01[[#This Row],[PASTA]]&amp;"/"&amp;LD_01[[#This Row],[ARQUIVO]]</f>
        <v>MSV-163MS-638-NORTE/32.TE/MSV-163MS-638+600-EDI-EXE-DE-G1-002-R02.pdf</v>
      </c>
    </row>
    <row r="917" spans="1:13" ht="28.8" hidden="1" x14ac:dyDescent="0.3">
      <c r="A917" s="6" t="s">
        <v>3698</v>
      </c>
      <c r="B917" s="6" t="str">
        <f>VLOOKUP(LD_01[[#This Row],[DOCUMENTO]],_xlfn.SORTBY(ARQUIVOS_RECEBIDOS!$E$2:$F$5010,ARQUIVOS_RECEBIDOS!$F$2:$F$5010,-1),2,)</f>
        <v>R02</v>
      </c>
      <c r="C917" s="15" t="s">
        <v>5987</v>
      </c>
      <c r="D917" s="6" t="s">
        <v>4320</v>
      </c>
      <c r="E917" s="8" t="s">
        <v>4951</v>
      </c>
      <c r="F917" s="8" t="s">
        <v>4330</v>
      </c>
      <c r="G917" s="6" t="str">
        <f>_xlfn.XLOOKUP(LD_01[[#This Row],[DISCIPLINA]],'CLASSES DE PROJETOS'!$F$3:$F$37,'CLASSES DE PROJETOS'!$C$3:$C$37)</f>
        <v>TE</v>
      </c>
      <c r="H917" t="str">
        <f>_xlfn.TEXTJOIN("/",TRUE,"MSV-163MS-"&amp;LD_01[[#This Row],[TRECHO]],_xlfn.XLOOKUP(LD_01[[#This Row],[SIGLA]],'CLASSES DE PROJETOS'!$C$3:$C$37,'CLASSES DE PROJETOS'!$E$3:$E$37))</f>
        <v>MSV-163MS-638-NORTE/32.TE</v>
      </c>
      <c r="I917" s="6" t="str" cm="1">
        <f t="array" ref="I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J917" s="6" t="str" cm="1">
        <f t="array" ref="J917">_xlfn.TEXTJOIN(", ",TRUE,_xlfn.UNIQUE(_xlfn._xlws.FILTER(ARQUIVOS_RECEBIDOS!$F$2:$F$5010,ARQUIVOS_RECEBIDOS!$E$2:$E$5010=LD_01[[#This Row],[DOCUMENTO]])))</f>
        <v>R00, R01, R02</v>
      </c>
      <c r="K917" s="12" cm="1">
        <f t="array" ref="K917">_xlfn.UNIQUE(_xlfn._xlws.FILTER(ARQUIVOS[DATA RECEBIMENTO],(ARQUIVOS[DOCUMENTO]=LD_01[[#This Row],[DOCUMENTO]])*(ARQUIVOS[REVISÃO]=LD_01[[#This Row],[REVISÃO]])))</f>
        <v>45931</v>
      </c>
      <c r="L9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M917" s="6" t="str">
        <f>LD_01[[#This Row],[PASTA]]&amp;"/"&amp;LD_01[[#This Row],[ARQUIVO]]</f>
        <v>MSV-163MS-638-NORTE/32.TE/MSV-163MS-638+600-EDI-EXE-DE-G1-003-R02.pdf</v>
      </c>
    </row>
    <row r="918" spans="1:13" ht="28.8" hidden="1" x14ac:dyDescent="0.3">
      <c r="A918" s="6" t="s">
        <v>3699</v>
      </c>
      <c r="B918" s="6" t="str">
        <f>VLOOKUP(LD_01[[#This Row],[DOCUMENTO]],_xlfn.SORTBY(ARQUIVOS_RECEBIDOS!$E$2:$F$5010,ARQUIVOS_RECEBIDOS!$F$2:$F$5010,-1),2,)</f>
        <v>R02</v>
      </c>
      <c r="C918" s="15" t="s">
        <v>5987</v>
      </c>
      <c r="D918" s="6" t="s">
        <v>4320</v>
      </c>
      <c r="E918" s="8" t="s">
        <v>4951</v>
      </c>
      <c r="F918" s="8" t="s">
        <v>4330</v>
      </c>
      <c r="G918" s="6" t="str">
        <f>_xlfn.XLOOKUP(LD_01[[#This Row],[DISCIPLINA]],'CLASSES DE PROJETOS'!$F$3:$F$37,'CLASSES DE PROJETOS'!$C$3:$C$37)</f>
        <v>TE</v>
      </c>
      <c r="H918" t="str">
        <f>_xlfn.TEXTJOIN("/",TRUE,"MSV-163MS-"&amp;LD_01[[#This Row],[TRECHO]],_xlfn.XLOOKUP(LD_01[[#This Row],[SIGLA]],'CLASSES DE PROJETOS'!$C$3:$C$37,'CLASSES DE PROJETOS'!$E$3:$E$37))</f>
        <v>MSV-163MS-638-NORTE/32.TE</v>
      </c>
      <c r="I918" s="6" t="str" cm="1">
        <f t="array" ref="I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J918" s="6" t="str" cm="1">
        <f t="array" ref="J918">_xlfn.TEXTJOIN(", ",TRUE,_xlfn.UNIQUE(_xlfn._xlws.FILTER(ARQUIVOS_RECEBIDOS!$F$2:$F$5010,ARQUIVOS_RECEBIDOS!$E$2:$E$5010=LD_01[[#This Row],[DOCUMENTO]])))</f>
        <v>R00, R01, R02</v>
      </c>
      <c r="K918" s="12" cm="1">
        <f t="array" ref="K918">_xlfn.UNIQUE(_xlfn._xlws.FILTER(ARQUIVOS[DATA RECEBIMENTO],(ARQUIVOS[DOCUMENTO]=LD_01[[#This Row],[DOCUMENTO]])*(ARQUIVOS[REVISÃO]=LD_01[[#This Row],[REVISÃO]])))</f>
        <v>45931</v>
      </c>
      <c r="L9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M918" s="6" t="str">
        <f>LD_01[[#This Row],[PASTA]]&amp;"/"&amp;LD_01[[#This Row],[ARQUIVO]]</f>
        <v>MSV-163MS-638-NORTE/32.TE/MSV-163MS-638+600-EDI-EXE-DE-G1-004-R02.pdf</v>
      </c>
    </row>
    <row r="919" spans="1:13" ht="28.8" hidden="1" x14ac:dyDescent="0.3">
      <c r="A919" s="6" t="s">
        <v>3700</v>
      </c>
      <c r="B919" s="6" t="str">
        <f>VLOOKUP(LD_01[[#This Row],[DOCUMENTO]],_xlfn.SORTBY(ARQUIVOS_RECEBIDOS!$E$2:$F$5010,ARQUIVOS_RECEBIDOS!$F$2:$F$5010,-1),2,)</f>
        <v>R01</v>
      </c>
      <c r="C919" s="15" t="s">
        <v>5987</v>
      </c>
      <c r="D919" s="6" t="s">
        <v>4320</v>
      </c>
      <c r="E919" s="8" t="s">
        <v>4951</v>
      </c>
      <c r="F919" s="8" t="s">
        <v>4330</v>
      </c>
      <c r="G919" s="6" t="str">
        <f>_xlfn.XLOOKUP(LD_01[[#This Row],[DISCIPLINA]],'CLASSES DE PROJETOS'!$F$3:$F$37,'CLASSES DE PROJETOS'!$C$3:$C$37)</f>
        <v>TE</v>
      </c>
      <c r="H919" t="str">
        <f>_xlfn.TEXTJOIN("/",TRUE,"MSV-163MS-"&amp;LD_01[[#This Row],[TRECHO]],_xlfn.XLOOKUP(LD_01[[#This Row],[SIGLA]],'CLASSES DE PROJETOS'!$C$3:$C$37,'CLASSES DE PROJETOS'!$E$3:$E$37))</f>
        <v>MSV-163MS-638-NORTE/32.TE</v>
      </c>
      <c r="I919" s="6" t="str" cm="1">
        <f t="array" ref="I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J919" s="6" t="str" cm="1">
        <f t="array" ref="J919">_xlfn.TEXTJOIN(", ",TRUE,_xlfn.UNIQUE(_xlfn._xlws.FILTER(ARQUIVOS_RECEBIDOS!$F$2:$F$5010,ARQUIVOS_RECEBIDOS!$E$2:$E$5010=LD_01[[#This Row],[DOCUMENTO]])))</f>
        <v>R00, R01</v>
      </c>
      <c r="K919" s="12" cm="1">
        <f t="array" ref="K919">_xlfn.UNIQUE(_xlfn._xlws.FILTER(ARQUIVOS[DATA RECEBIMENTO],(ARQUIVOS[DOCUMENTO]=LD_01[[#This Row],[DOCUMENTO]])*(ARQUIVOS[REVISÃO]=LD_01[[#This Row],[REVISÃO]])))</f>
        <v>45859</v>
      </c>
      <c r="L9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M919" s="6" t="str">
        <f>LD_01[[#This Row],[PASTA]]&amp;"/"&amp;LD_01[[#This Row],[ARQUIVO]]</f>
        <v>MSV-163MS-638-NORTE/32.TE/MSV-163MS-638+600-EDI-EXE-DE-G1-005-R01.pdf</v>
      </c>
    </row>
    <row r="920" spans="1:13" ht="28.8" hidden="1" x14ac:dyDescent="0.3">
      <c r="A920" s="6" t="s">
        <v>3701</v>
      </c>
      <c r="B920" s="6" t="str">
        <f>VLOOKUP(LD_01[[#This Row],[DOCUMENTO]],_xlfn.SORTBY(ARQUIVOS_RECEBIDOS!$E$2:$F$5010,ARQUIVOS_RECEBIDOS!$F$2:$F$5010,-1),2,)</f>
        <v>R02</v>
      </c>
      <c r="C920" s="15" t="s">
        <v>5987</v>
      </c>
      <c r="D920" s="6" t="s">
        <v>4320</v>
      </c>
      <c r="E920" s="8" t="s">
        <v>4952</v>
      </c>
      <c r="F920" s="8" t="s">
        <v>4330</v>
      </c>
      <c r="G920" s="6" t="str">
        <f>_xlfn.XLOOKUP(LD_01[[#This Row],[DISCIPLINA]],'CLASSES DE PROJETOS'!$F$3:$F$37,'CLASSES DE PROJETOS'!$C$3:$C$37)</f>
        <v>TE</v>
      </c>
      <c r="H920" t="str">
        <f>_xlfn.TEXTJOIN("/",TRUE,"MSV-163MS-"&amp;LD_01[[#This Row],[TRECHO]],_xlfn.XLOOKUP(LD_01[[#This Row],[SIGLA]],'CLASSES DE PROJETOS'!$C$3:$C$37,'CLASSES DE PROJETOS'!$E$3:$E$37))</f>
        <v>MSV-163MS-638-NORTE/32.TE</v>
      </c>
      <c r="I920" s="6" t="str" cm="1">
        <f t="array" ref="I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J920" s="6" t="str" cm="1">
        <f t="array" ref="J920">_xlfn.TEXTJOIN(", ",TRUE,_xlfn.UNIQUE(_xlfn._xlws.FILTER(ARQUIVOS_RECEBIDOS!$F$2:$F$5010,ARQUIVOS_RECEBIDOS!$E$2:$E$5010=LD_01[[#This Row],[DOCUMENTO]])))</f>
        <v>R00, R01, R02</v>
      </c>
      <c r="K920" s="12" cm="1">
        <f t="array" ref="K920">_xlfn.UNIQUE(_xlfn._xlws.FILTER(ARQUIVOS[DATA RECEBIMENTO],(ARQUIVOS[DOCUMENTO]=LD_01[[#This Row],[DOCUMENTO]])*(ARQUIVOS[REVISÃO]=LD_01[[#This Row],[REVISÃO]])))</f>
        <v>45931</v>
      </c>
      <c r="L9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M920" s="6" t="str">
        <f>LD_01[[#This Row],[PASTA]]&amp;"/"&amp;LD_01[[#This Row],[ARQUIVO]]</f>
        <v>MSV-163MS-638-NORTE/32.TE/MSV-163MS-638+600-EDI-EXE-DE-G1-006-R02.pdf</v>
      </c>
    </row>
    <row r="921" spans="1:13" ht="28.8" hidden="1" x14ac:dyDescent="0.3">
      <c r="A921" s="6" t="s">
        <v>3702</v>
      </c>
      <c r="B921" s="6" t="str">
        <f>VLOOKUP(LD_01[[#This Row],[DOCUMENTO]],_xlfn.SORTBY(ARQUIVOS_RECEBIDOS!$E$2:$F$5010,ARQUIVOS_RECEBIDOS!$F$2:$F$5010,-1),2,)</f>
        <v>R02</v>
      </c>
      <c r="C921" s="15" t="s">
        <v>5987</v>
      </c>
      <c r="D921" s="6" t="s">
        <v>4320</v>
      </c>
      <c r="E921" s="8" t="s">
        <v>4952</v>
      </c>
      <c r="F921" s="8" t="s">
        <v>4330</v>
      </c>
      <c r="G921" s="6" t="str">
        <f>_xlfn.XLOOKUP(LD_01[[#This Row],[DISCIPLINA]],'CLASSES DE PROJETOS'!$F$3:$F$37,'CLASSES DE PROJETOS'!$C$3:$C$37)</f>
        <v>TE</v>
      </c>
      <c r="H921" t="str">
        <f>_xlfn.TEXTJOIN("/",TRUE,"MSV-163MS-"&amp;LD_01[[#This Row],[TRECHO]],_xlfn.XLOOKUP(LD_01[[#This Row],[SIGLA]],'CLASSES DE PROJETOS'!$C$3:$C$37,'CLASSES DE PROJETOS'!$E$3:$E$37))</f>
        <v>MSV-163MS-638-NORTE/32.TE</v>
      </c>
      <c r="I921" s="6" t="str" cm="1">
        <f t="array" ref="I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J921" s="6" t="str" cm="1">
        <f t="array" ref="J921">_xlfn.TEXTJOIN(", ",TRUE,_xlfn.UNIQUE(_xlfn._xlws.FILTER(ARQUIVOS_RECEBIDOS!$F$2:$F$5010,ARQUIVOS_RECEBIDOS!$E$2:$E$5010=LD_01[[#This Row],[DOCUMENTO]])))</f>
        <v>R00, R01, R02</v>
      </c>
      <c r="K921" s="12" cm="1">
        <f t="array" ref="K921">_xlfn.UNIQUE(_xlfn._xlws.FILTER(ARQUIVOS[DATA RECEBIMENTO],(ARQUIVOS[DOCUMENTO]=LD_01[[#This Row],[DOCUMENTO]])*(ARQUIVOS[REVISÃO]=LD_01[[#This Row],[REVISÃO]])))</f>
        <v>45931</v>
      </c>
      <c r="L9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M921" s="6" t="str">
        <f>LD_01[[#This Row],[PASTA]]&amp;"/"&amp;LD_01[[#This Row],[ARQUIVO]]</f>
        <v>MSV-163MS-638-NORTE/32.TE/MSV-163MS-638+600-EDI-EXE-DE-G1-007-R02.pdf</v>
      </c>
    </row>
    <row r="922" spans="1:13" ht="28.8" hidden="1" x14ac:dyDescent="0.3">
      <c r="A922" s="6" t="s">
        <v>3703</v>
      </c>
      <c r="B922" s="6" t="str">
        <f>VLOOKUP(LD_01[[#This Row],[DOCUMENTO]],_xlfn.SORTBY(ARQUIVOS_RECEBIDOS!$E$2:$F$5010,ARQUIVOS_RECEBIDOS!$F$2:$F$5010,-1),2,)</f>
        <v>R02</v>
      </c>
      <c r="C922" s="15" t="s">
        <v>5987</v>
      </c>
      <c r="D922" s="6" t="s">
        <v>4320</v>
      </c>
      <c r="E922" s="8" t="s">
        <v>4952</v>
      </c>
      <c r="F922" s="8" t="s">
        <v>4330</v>
      </c>
      <c r="G922" s="6" t="str">
        <f>_xlfn.XLOOKUP(LD_01[[#This Row],[DISCIPLINA]],'CLASSES DE PROJETOS'!$F$3:$F$37,'CLASSES DE PROJETOS'!$C$3:$C$37)</f>
        <v>TE</v>
      </c>
      <c r="H922" t="str">
        <f>_xlfn.TEXTJOIN("/",TRUE,"MSV-163MS-"&amp;LD_01[[#This Row],[TRECHO]],_xlfn.XLOOKUP(LD_01[[#This Row],[SIGLA]],'CLASSES DE PROJETOS'!$C$3:$C$37,'CLASSES DE PROJETOS'!$E$3:$E$37))</f>
        <v>MSV-163MS-638-NORTE/32.TE</v>
      </c>
      <c r="I922" s="6" t="str" cm="1">
        <f t="array" ref="I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J922" s="6" t="str" cm="1">
        <f t="array" ref="J922">_xlfn.TEXTJOIN(", ",TRUE,_xlfn.UNIQUE(_xlfn._xlws.FILTER(ARQUIVOS_RECEBIDOS!$F$2:$F$5010,ARQUIVOS_RECEBIDOS!$E$2:$E$5010=LD_01[[#This Row],[DOCUMENTO]])))</f>
        <v>R00, R01, R02</v>
      </c>
      <c r="K922" s="12" cm="1">
        <f t="array" ref="K922">_xlfn.UNIQUE(_xlfn._xlws.FILTER(ARQUIVOS[DATA RECEBIMENTO],(ARQUIVOS[DOCUMENTO]=LD_01[[#This Row],[DOCUMENTO]])*(ARQUIVOS[REVISÃO]=LD_01[[#This Row],[REVISÃO]])))</f>
        <v>45931</v>
      </c>
      <c r="L9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M922" s="6" t="str">
        <f>LD_01[[#This Row],[PASTA]]&amp;"/"&amp;LD_01[[#This Row],[ARQUIVO]]</f>
        <v>MSV-163MS-638-NORTE/32.TE/MSV-163MS-638+600-EDI-EXE-DE-G1-008-R02.pdf</v>
      </c>
    </row>
    <row r="923" spans="1:13" ht="28.8" hidden="1" x14ac:dyDescent="0.3">
      <c r="A923" s="6" t="s">
        <v>3704</v>
      </c>
      <c r="B923" s="6" t="str">
        <f>VLOOKUP(LD_01[[#This Row],[DOCUMENTO]],_xlfn.SORTBY(ARQUIVOS_RECEBIDOS!$E$2:$F$5010,ARQUIVOS_RECEBIDOS!$F$2:$F$5010,-1),2,)</f>
        <v>R02</v>
      </c>
      <c r="C923" s="15" t="s">
        <v>5987</v>
      </c>
      <c r="D923" s="6" t="s">
        <v>4320</v>
      </c>
      <c r="E923" s="8" t="s">
        <v>4952</v>
      </c>
      <c r="F923" s="8" t="s">
        <v>4330</v>
      </c>
      <c r="G923" s="6" t="str">
        <f>_xlfn.XLOOKUP(LD_01[[#This Row],[DISCIPLINA]],'CLASSES DE PROJETOS'!$F$3:$F$37,'CLASSES DE PROJETOS'!$C$3:$C$37)</f>
        <v>TE</v>
      </c>
      <c r="H923" t="str">
        <f>_xlfn.TEXTJOIN("/",TRUE,"MSV-163MS-"&amp;LD_01[[#This Row],[TRECHO]],_xlfn.XLOOKUP(LD_01[[#This Row],[SIGLA]],'CLASSES DE PROJETOS'!$C$3:$C$37,'CLASSES DE PROJETOS'!$E$3:$E$37))</f>
        <v>MSV-163MS-638-NORTE/32.TE</v>
      </c>
      <c r="I923" s="6" t="str" cm="1">
        <f t="array" ref="I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J923" s="6" t="str" cm="1">
        <f t="array" ref="J923">_xlfn.TEXTJOIN(", ",TRUE,_xlfn.UNIQUE(_xlfn._xlws.FILTER(ARQUIVOS_RECEBIDOS!$F$2:$F$5010,ARQUIVOS_RECEBIDOS!$E$2:$E$5010=LD_01[[#This Row],[DOCUMENTO]])))</f>
        <v>R00, R01, R02</v>
      </c>
      <c r="K923" s="12" cm="1">
        <f t="array" ref="K923">_xlfn.UNIQUE(_xlfn._xlws.FILTER(ARQUIVOS[DATA RECEBIMENTO],(ARQUIVOS[DOCUMENTO]=LD_01[[#This Row],[DOCUMENTO]])*(ARQUIVOS[REVISÃO]=LD_01[[#This Row],[REVISÃO]])))</f>
        <v>45931</v>
      </c>
      <c r="L9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M923" s="6" t="str">
        <f>LD_01[[#This Row],[PASTA]]&amp;"/"&amp;LD_01[[#This Row],[ARQUIVO]]</f>
        <v>MSV-163MS-638-NORTE/32.TE/MSV-163MS-638+600-EDI-EXE-DE-G1-009-R02.pdf</v>
      </c>
    </row>
    <row r="924" spans="1:13" ht="43.2" hidden="1" x14ac:dyDescent="0.3">
      <c r="A924" s="6" t="s">
        <v>3705</v>
      </c>
      <c r="B924" s="6" t="str">
        <f>VLOOKUP(LD_01[[#This Row],[DOCUMENTO]],_xlfn.SORTBY(ARQUIVOS_RECEBIDOS!$E$2:$F$5010,ARQUIVOS_RECEBIDOS!$F$2:$F$5010,-1),2,)</f>
        <v>R02</v>
      </c>
      <c r="C924" s="15" t="s">
        <v>5987</v>
      </c>
      <c r="D924" s="6" t="s">
        <v>4320</v>
      </c>
      <c r="E924" s="8" t="s">
        <v>4953</v>
      </c>
      <c r="F924" s="8" t="s">
        <v>4330</v>
      </c>
      <c r="G924" s="6" t="str">
        <f>_xlfn.XLOOKUP(LD_01[[#This Row],[DISCIPLINA]],'CLASSES DE PROJETOS'!$F$3:$F$37,'CLASSES DE PROJETOS'!$C$3:$C$37)</f>
        <v>TE</v>
      </c>
      <c r="H924" t="str">
        <f>_xlfn.TEXTJOIN("/",TRUE,"MSV-163MS-"&amp;LD_01[[#This Row],[TRECHO]],_xlfn.XLOOKUP(LD_01[[#This Row],[SIGLA]],'CLASSES DE PROJETOS'!$C$3:$C$37,'CLASSES DE PROJETOS'!$E$3:$E$37))</f>
        <v>MSV-163MS-638-NORTE/32.TE</v>
      </c>
      <c r="I924" s="6" t="str" cm="1">
        <f t="array" ref="I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J924" s="6" t="str" cm="1">
        <f t="array" ref="J924">_xlfn.TEXTJOIN(", ",TRUE,_xlfn.UNIQUE(_xlfn._xlws.FILTER(ARQUIVOS_RECEBIDOS!$F$2:$F$5010,ARQUIVOS_RECEBIDOS!$E$2:$E$5010=LD_01[[#This Row],[DOCUMENTO]])))</f>
        <v>R00, R01, R02</v>
      </c>
      <c r="K924" s="12" cm="1">
        <f t="array" ref="K924">_xlfn.UNIQUE(_xlfn._xlws.FILTER(ARQUIVOS[DATA RECEBIMENTO],(ARQUIVOS[DOCUMENTO]=LD_01[[#This Row],[DOCUMENTO]])*(ARQUIVOS[REVISÃO]=LD_01[[#This Row],[REVISÃO]])))</f>
        <v>45931</v>
      </c>
      <c r="L9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M924" s="6" t="str">
        <f>LD_01[[#This Row],[PASTA]]&amp;"/"&amp;LD_01[[#This Row],[ARQUIVO]]</f>
        <v>MSV-163MS-638-NORTE/32.TE/MSV-163MS-638+600-EDI-EXE-DE-G1-010-R02.pdf</v>
      </c>
    </row>
    <row r="925" spans="1:13" ht="28.8" hidden="1" x14ac:dyDescent="0.3">
      <c r="A925" s="6" t="s">
        <v>3706</v>
      </c>
      <c r="B925" s="6" t="str">
        <f>VLOOKUP(LD_01[[#This Row],[DOCUMENTO]],_xlfn.SORTBY(ARQUIVOS_RECEBIDOS!$E$2:$F$5010,ARQUIVOS_RECEBIDOS!$F$2:$F$5010,-1),2,)</f>
        <v>R01</v>
      </c>
      <c r="C925" s="15" t="s">
        <v>5987</v>
      </c>
      <c r="D925" s="6" t="s">
        <v>4320</v>
      </c>
      <c r="E925" s="8" t="s">
        <v>4954</v>
      </c>
      <c r="F925" s="8" t="s">
        <v>4330</v>
      </c>
      <c r="G925" s="6" t="str">
        <f>_xlfn.XLOOKUP(LD_01[[#This Row],[DISCIPLINA]],'CLASSES DE PROJETOS'!$F$3:$F$37,'CLASSES DE PROJETOS'!$C$3:$C$37)</f>
        <v>TE</v>
      </c>
      <c r="H925" t="str">
        <f>_xlfn.TEXTJOIN("/",TRUE,"MSV-163MS-"&amp;LD_01[[#This Row],[TRECHO]],_xlfn.XLOOKUP(LD_01[[#This Row],[SIGLA]],'CLASSES DE PROJETOS'!$C$3:$C$37,'CLASSES DE PROJETOS'!$E$3:$E$37))</f>
        <v>MSV-163MS-638-NORTE/32.TE</v>
      </c>
      <c r="I925" s="6" t="str" cm="1">
        <f t="array" ref="I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J925" s="6" t="str" cm="1">
        <f t="array" ref="J925">_xlfn.TEXTJOIN(", ",TRUE,_xlfn.UNIQUE(_xlfn._xlws.FILTER(ARQUIVOS_RECEBIDOS!$F$2:$F$5010,ARQUIVOS_RECEBIDOS!$E$2:$E$5010=LD_01[[#This Row],[DOCUMENTO]])))</f>
        <v>R00, R01</v>
      </c>
      <c r="K925" s="12" cm="1">
        <f t="array" ref="K925">_xlfn.UNIQUE(_xlfn._xlws.FILTER(ARQUIVOS[DATA RECEBIMENTO],(ARQUIVOS[DOCUMENTO]=LD_01[[#This Row],[DOCUMENTO]])*(ARQUIVOS[REVISÃO]=LD_01[[#This Row],[REVISÃO]])))</f>
        <v>45859</v>
      </c>
      <c r="L9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M925" s="6" t="str">
        <f>LD_01[[#This Row],[PASTA]]&amp;"/"&amp;LD_01[[#This Row],[ARQUIVO]]</f>
        <v>MSV-163MS-638-NORTE/32.TE/MSV-163MS-638+600-EDI-EXE-DE-G1-011-R01.pdf</v>
      </c>
    </row>
    <row r="926" spans="1:13" ht="28.8" hidden="1" x14ac:dyDescent="0.3">
      <c r="A926" s="6" t="s">
        <v>3707</v>
      </c>
      <c r="B926" s="6" t="str">
        <f>VLOOKUP(LD_01[[#This Row],[DOCUMENTO]],_xlfn.SORTBY(ARQUIVOS_RECEBIDOS!$E$2:$F$5010,ARQUIVOS_RECEBIDOS!$F$2:$F$5010,-1),2,)</f>
        <v>R00</v>
      </c>
      <c r="C926" s="15" t="s">
        <v>5987</v>
      </c>
      <c r="D926" s="6" t="s">
        <v>4320</v>
      </c>
      <c r="E926" s="8" t="s">
        <v>4955</v>
      </c>
      <c r="F926" s="8" t="s">
        <v>4330</v>
      </c>
      <c r="G926" s="6" t="str">
        <f>_xlfn.XLOOKUP(LD_01[[#This Row],[DISCIPLINA]],'CLASSES DE PROJETOS'!$F$3:$F$37,'CLASSES DE PROJETOS'!$C$3:$C$37)</f>
        <v>TE</v>
      </c>
      <c r="H926" t="str">
        <f>_xlfn.TEXTJOIN("/",TRUE,"MSV-163MS-"&amp;LD_01[[#This Row],[TRECHO]],_xlfn.XLOOKUP(LD_01[[#This Row],[SIGLA]],'CLASSES DE PROJETOS'!$C$3:$C$37,'CLASSES DE PROJETOS'!$E$3:$E$37))</f>
        <v>MSV-163MS-638-NORTE/32.TE</v>
      </c>
      <c r="I926" s="6" t="str" cm="1">
        <f t="array" ref="I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J926" s="6" t="str" cm="1">
        <f t="array" ref="J926">_xlfn.TEXTJOIN(", ",TRUE,_xlfn.UNIQUE(_xlfn._xlws.FILTER(ARQUIVOS_RECEBIDOS!$F$2:$F$5010,ARQUIVOS_RECEBIDOS!$E$2:$E$5010=LD_01[[#This Row],[DOCUMENTO]])))</f>
        <v>R00</v>
      </c>
      <c r="K926" s="12" cm="1">
        <f t="array" ref="K926">_xlfn.UNIQUE(_xlfn._xlws.FILTER(ARQUIVOS[DATA RECEBIMENTO],(ARQUIVOS[DOCUMENTO]=LD_01[[#This Row],[DOCUMENTO]])*(ARQUIVOS[REVISÃO]=LD_01[[#This Row],[REVISÃO]])))</f>
        <v>45838</v>
      </c>
      <c r="L9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M926" s="6" t="str">
        <f>LD_01[[#This Row],[PASTA]]&amp;"/"&amp;LD_01[[#This Row],[ARQUIVO]]</f>
        <v>MSV-163MS-638-NORTE/32.TE/MSV-163MS-638+600-EDI-EXE-DE-G1-012-R00.pdf</v>
      </c>
    </row>
    <row r="927" spans="1:13" ht="28.8" hidden="1" x14ac:dyDescent="0.3">
      <c r="A927" s="6" t="s">
        <v>3708</v>
      </c>
      <c r="B927" s="6" t="str">
        <f>VLOOKUP(LD_01[[#This Row],[DOCUMENTO]],_xlfn.SORTBY(ARQUIVOS_RECEBIDOS!$E$2:$F$5010,ARQUIVOS_RECEBIDOS!$F$2:$F$5010,-1),2,)</f>
        <v>R00</v>
      </c>
      <c r="C927" s="15" t="s">
        <v>5987</v>
      </c>
      <c r="D927" s="6" t="s">
        <v>4320</v>
      </c>
      <c r="E927" s="8" t="s">
        <v>4955</v>
      </c>
      <c r="F927" s="8" t="s">
        <v>4330</v>
      </c>
      <c r="G927" s="6" t="str">
        <f>_xlfn.XLOOKUP(LD_01[[#This Row],[DISCIPLINA]],'CLASSES DE PROJETOS'!$F$3:$F$37,'CLASSES DE PROJETOS'!$C$3:$C$37)</f>
        <v>TE</v>
      </c>
      <c r="H927" t="str">
        <f>_xlfn.TEXTJOIN("/",TRUE,"MSV-163MS-"&amp;LD_01[[#This Row],[TRECHO]],_xlfn.XLOOKUP(LD_01[[#This Row],[SIGLA]],'CLASSES DE PROJETOS'!$C$3:$C$37,'CLASSES DE PROJETOS'!$E$3:$E$37))</f>
        <v>MSV-163MS-638-NORTE/32.TE</v>
      </c>
      <c r="I927" s="6" t="str" cm="1">
        <f t="array" ref="I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J927" s="6" t="str" cm="1">
        <f t="array" ref="J927">_xlfn.TEXTJOIN(", ",TRUE,_xlfn.UNIQUE(_xlfn._xlws.FILTER(ARQUIVOS_RECEBIDOS!$F$2:$F$5010,ARQUIVOS_RECEBIDOS!$E$2:$E$5010=LD_01[[#This Row],[DOCUMENTO]])))</f>
        <v>R00</v>
      </c>
      <c r="K927" s="12" cm="1">
        <f t="array" ref="K927">_xlfn.UNIQUE(_xlfn._xlws.FILTER(ARQUIVOS[DATA RECEBIMENTO],(ARQUIVOS[DOCUMENTO]=LD_01[[#This Row],[DOCUMENTO]])*(ARQUIVOS[REVISÃO]=LD_01[[#This Row],[REVISÃO]])))</f>
        <v>45838</v>
      </c>
      <c r="L9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M927" s="6" t="str">
        <f>LD_01[[#This Row],[PASTA]]&amp;"/"&amp;LD_01[[#This Row],[ARQUIVO]]</f>
        <v>MSV-163MS-638-NORTE/32.TE/MSV-163MS-638+600-EDI-EXE-DE-G1-013-R00.pdf</v>
      </c>
    </row>
    <row r="928" spans="1:13" ht="43.2" hidden="1" x14ac:dyDescent="0.3">
      <c r="A928" s="6" t="s">
        <v>3709</v>
      </c>
      <c r="B928" s="6" t="str">
        <f>VLOOKUP(LD_01[[#This Row],[DOCUMENTO]],_xlfn.SORTBY(ARQUIVOS_RECEBIDOS!$E$2:$F$5010,ARQUIVOS_RECEBIDOS!$F$2:$F$5010,-1),2,)</f>
        <v>R00</v>
      </c>
      <c r="C928" s="15" t="s">
        <v>5987</v>
      </c>
      <c r="D928" s="6" t="s">
        <v>4320</v>
      </c>
      <c r="E928" s="8" t="s">
        <v>4953</v>
      </c>
      <c r="F928" s="8" t="s">
        <v>4330</v>
      </c>
      <c r="G928" s="6" t="str">
        <f>_xlfn.XLOOKUP(LD_01[[#This Row],[DISCIPLINA]],'CLASSES DE PROJETOS'!$F$3:$F$37,'CLASSES DE PROJETOS'!$C$3:$C$37)</f>
        <v>TE</v>
      </c>
      <c r="H928" t="str">
        <f>_xlfn.TEXTJOIN("/",TRUE,"MSV-163MS-"&amp;LD_01[[#This Row],[TRECHO]],_xlfn.XLOOKUP(LD_01[[#This Row],[SIGLA]],'CLASSES DE PROJETOS'!$C$3:$C$37,'CLASSES DE PROJETOS'!$E$3:$E$37))</f>
        <v>MSV-163MS-638-NORTE/32.TE</v>
      </c>
      <c r="I928" s="6" t="str" cm="1">
        <f t="array" ref="I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J928" s="6" t="str" cm="1">
        <f t="array" ref="J928">_xlfn.TEXTJOIN(", ",TRUE,_xlfn.UNIQUE(_xlfn._xlws.FILTER(ARQUIVOS_RECEBIDOS!$F$2:$F$5010,ARQUIVOS_RECEBIDOS!$E$2:$E$5010=LD_01[[#This Row],[DOCUMENTO]])))</f>
        <v>R00</v>
      </c>
      <c r="K928" s="12" cm="1">
        <f t="array" ref="K928">_xlfn.UNIQUE(_xlfn._xlws.FILTER(ARQUIVOS[DATA RECEBIMENTO],(ARQUIVOS[DOCUMENTO]=LD_01[[#This Row],[DOCUMENTO]])*(ARQUIVOS[REVISÃO]=LD_01[[#This Row],[REVISÃO]])))</f>
        <v>45838</v>
      </c>
      <c r="L9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M928" s="6" t="str">
        <f>LD_01[[#This Row],[PASTA]]&amp;"/"&amp;LD_01[[#This Row],[ARQUIVO]]</f>
        <v>MSV-163MS-638-NORTE/32.TE/MSV-163MS-638+600-EDI-EXE-DE-G1-014-R00.pdf</v>
      </c>
    </row>
    <row r="929" spans="1:13" ht="28.8" hidden="1" x14ac:dyDescent="0.3">
      <c r="A929" s="6" t="s">
        <v>3710</v>
      </c>
      <c r="B929" s="6" t="str">
        <f>VLOOKUP(LD_01[[#This Row],[DOCUMENTO]],_xlfn.SORTBY(ARQUIVOS_RECEBIDOS!$E$2:$F$5010,ARQUIVOS_RECEBIDOS!$F$2:$F$5010,-1),2,)</f>
        <v>R00</v>
      </c>
      <c r="C929" s="15" t="s">
        <v>5987</v>
      </c>
      <c r="D929" s="6" t="s">
        <v>4320</v>
      </c>
      <c r="E929" s="8" t="s">
        <v>4954</v>
      </c>
      <c r="F929" s="8" t="s">
        <v>4330</v>
      </c>
      <c r="G929" s="6" t="str">
        <f>_xlfn.XLOOKUP(LD_01[[#This Row],[DISCIPLINA]],'CLASSES DE PROJETOS'!$F$3:$F$37,'CLASSES DE PROJETOS'!$C$3:$C$37)</f>
        <v>TE</v>
      </c>
      <c r="H929" t="str">
        <f>_xlfn.TEXTJOIN("/",TRUE,"MSV-163MS-"&amp;LD_01[[#This Row],[TRECHO]],_xlfn.XLOOKUP(LD_01[[#This Row],[SIGLA]],'CLASSES DE PROJETOS'!$C$3:$C$37,'CLASSES DE PROJETOS'!$E$3:$E$37))</f>
        <v>MSV-163MS-638-NORTE/32.TE</v>
      </c>
      <c r="I929" s="6" t="str" cm="1">
        <f t="array" ref="I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J929" s="6" t="str" cm="1">
        <f t="array" ref="J929">_xlfn.TEXTJOIN(", ",TRUE,_xlfn.UNIQUE(_xlfn._xlws.FILTER(ARQUIVOS_RECEBIDOS!$F$2:$F$5010,ARQUIVOS_RECEBIDOS!$E$2:$E$5010=LD_01[[#This Row],[DOCUMENTO]])))</f>
        <v>R00</v>
      </c>
      <c r="K929" s="12" cm="1">
        <f t="array" ref="K929">_xlfn.UNIQUE(_xlfn._xlws.FILTER(ARQUIVOS[DATA RECEBIMENTO],(ARQUIVOS[DOCUMENTO]=LD_01[[#This Row],[DOCUMENTO]])*(ARQUIVOS[REVISÃO]=LD_01[[#This Row],[REVISÃO]])))</f>
        <v>45838</v>
      </c>
      <c r="L9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M929" s="6" t="str">
        <f>LD_01[[#This Row],[PASTA]]&amp;"/"&amp;LD_01[[#This Row],[ARQUIVO]]</f>
        <v>MSV-163MS-638-NORTE/32.TE/MSV-163MS-638+600-EDI-EXE-DE-G1-015-R00.pdf</v>
      </c>
    </row>
    <row r="930" spans="1:13" ht="43.2" hidden="1" x14ac:dyDescent="0.3">
      <c r="A930" s="6" t="s">
        <v>3711</v>
      </c>
      <c r="B930" s="6" t="str">
        <f>VLOOKUP(LD_01[[#This Row],[DOCUMENTO]],_xlfn.SORTBY(ARQUIVOS_RECEBIDOS!$E$2:$F$5010,ARQUIVOS_RECEBIDOS!$F$2:$F$5010,-1),2,)</f>
        <v>R02</v>
      </c>
      <c r="C930" s="15" t="s">
        <v>5987</v>
      </c>
      <c r="D930" s="6" t="s">
        <v>4320</v>
      </c>
      <c r="E930" s="8" t="s">
        <v>4956</v>
      </c>
      <c r="F930" s="8" t="s">
        <v>4330</v>
      </c>
      <c r="G930" s="6" t="str">
        <f>_xlfn.XLOOKUP(LD_01[[#This Row],[DISCIPLINA]],'CLASSES DE PROJETOS'!$F$3:$F$37,'CLASSES DE PROJETOS'!$C$3:$C$37)</f>
        <v>TE</v>
      </c>
      <c r="H930" t="str">
        <f>_xlfn.TEXTJOIN("/",TRUE,"MSV-163MS-"&amp;LD_01[[#This Row],[TRECHO]],_xlfn.XLOOKUP(LD_01[[#This Row],[SIGLA]],'CLASSES DE PROJETOS'!$C$3:$C$37,'CLASSES DE PROJETOS'!$E$3:$E$37))</f>
        <v>MSV-163MS-638-NORTE/32.TE</v>
      </c>
      <c r="I930" s="6" t="str" cm="1">
        <f t="array" ref="I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J930" s="6" t="str" cm="1">
        <f t="array" ref="J930">_xlfn.TEXTJOIN(", ",TRUE,_xlfn.UNIQUE(_xlfn._xlws.FILTER(ARQUIVOS_RECEBIDOS!$F$2:$F$5010,ARQUIVOS_RECEBIDOS!$E$2:$E$5010=LD_01[[#This Row],[DOCUMENTO]])))</f>
        <v>R00, R01, R02</v>
      </c>
      <c r="K930" s="12" cm="1">
        <f t="array" ref="K930">_xlfn.UNIQUE(_xlfn._xlws.FILTER(ARQUIVOS[DATA RECEBIMENTO],(ARQUIVOS[DOCUMENTO]=LD_01[[#This Row],[DOCUMENTO]])*(ARQUIVOS[REVISÃO]=LD_01[[#This Row],[REVISÃO]])))</f>
        <v>45931</v>
      </c>
      <c r="L9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M930" s="6" t="str">
        <f>LD_01[[#This Row],[PASTA]]&amp;"/"&amp;LD_01[[#This Row],[ARQUIVO]]</f>
        <v>MSV-163MS-638-NORTE/32.TE/MSV-163MS-638+600-EDI-EXE-DE-G1-016-R02.pdf</v>
      </c>
    </row>
    <row r="931" spans="1:13" ht="28.8" hidden="1" x14ac:dyDescent="0.3">
      <c r="A931" s="6" t="s">
        <v>3712</v>
      </c>
      <c r="B931" s="6" t="str">
        <f>VLOOKUP(LD_01[[#This Row],[DOCUMENTO]],_xlfn.SORTBY(ARQUIVOS_RECEBIDOS!$E$2:$F$5010,ARQUIVOS_RECEBIDOS!$F$2:$F$5010,-1),2,)</f>
        <v>R00</v>
      </c>
      <c r="C931" s="15" t="s">
        <v>5987</v>
      </c>
      <c r="D931" s="6" t="s">
        <v>4320</v>
      </c>
      <c r="E931" s="8" t="s">
        <v>4957</v>
      </c>
      <c r="F931" s="8" t="s">
        <v>4330</v>
      </c>
      <c r="G931" s="6" t="str">
        <f>_xlfn.XLOOKUP(LD_01[[#This Row],[DISCIPLINA]],'CLASSES DE PROJETOS'!$F$3:$F$37,'CLASSES DE PROJETOS'!$C$3:$C$37)</f>
        <v>TE</v>
      </c>
      <c r="H931" t="str">
        <f>_xlfn.TEXTJOIN("/",TRUE,"MSV-163MS-"&amp;LD_01[[#This Row],[TRECHO]],_xlfn.XLOOKUP(LD_01[[#This Row],[SIGLA]],'CLASSES DE PROJETOS'!$C$3:$C$37,'CLASSES DE PROJETOS'!$E$3:$E$37))</f>
        <v>MSV-163MS-638-NORTE/32.TE</v>
      </c>
      <c r="I931" s="6" t="str" cm="1">
        <f t="array" ref="I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J931" s="6" t="str" cm="1">
        <f t="array" ref="J931">_xlfn.TEXTJOIN(", ",TRUE,_xlfn.UNIQUE(_xlfn._xlws.FILTER(ARQUIVOS_RECEBIDOS!$F$2:$F$5010,ARQUIVOS_RECEBIDOS!$E$2:$E$5010=LD_01[[#This Row],[DOCUMENTO]])))</f>
        <v>R00</v>
      </c>
      <c r="K931" s="12" cm="1">
        <f t="array" ref="K931">_xlfn.UNIQUE(_xlfn._xlws.FILTER(ARQUIVOS[DATA RECEBIMENTO],(ARQUIVOS[DOCUMENTO]=LD_01[[#This Row],[DOCUMENTO]])*(ARQUIVOS[REVISÃO]=LD_01[[#This Row],[REVISÃO]])))</f>
        <v>45838</v>
      </c>
      <c r="L9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M931" s="6" t="str">
        <f>LD_01[[#This Row],[PASTA]]&amp;"/"&amp;LD_01[[#This Row],[ARQUIVO]]</f>
        <v>MSV-163MS-638-NORTE/32.TE/MSV-163MS-638+600-EDI-EXE-DE-G1-017-R00.pdf</v>
      </c>
    </row>
    <row r="932" spans="1:13" ht="28.8" hidden="1" x14ac:dyDescent="0.3">
      <c r="A932" s="6" t="s">
        <v>3713</v>
      </c>
      <c r="B932" s="6" t="str">
        <f>VLOOKUP(LD_01[[#This Row],[DOCUMENTO]],_xlfn.SORTBY(ARQUIVOS_RECEBIDOS!$E$2:$F$5010,ARQUIVOS_RECEBIDOS!$F$2:$F$5010,-1),2,)</f>
        <v>R00</v>
      </c>
      <c r="C932" s="15" t="s">
        <v>5987</v>
      </c>
      <c r="D932" s="6" t="s">
        <v>4320</v>
      </c>
      <c r="E932" s="8" t="s">
        <v>4958</v>
      </c>
      <c r="F932" s="8" t="s">
        <v>4330</v>
      </c>
      <c r="G932" s="6" t="str">
        <f>_xlfn.XLOOKUP(LD_01[[#This Row],[DISCIPLINA]],'CLASSES DE PROJETOS'!$F$3:$F$37,'CLASSES DE PROJETOS'!$C$3:$C$37)</f>
        <v>TE</v>
      </c>
      <c r="H932" t="str">
        <f>_xlfn.TEXTJOIN("/",TRUE,"MSV-163MS-"&amp;LD_01[[#This Row],[TRECHO]],_xlfn.XLOOKUP(LD_01[[#This Row],[SIGLA]],'CLASSES DE PROJETOS'!$C$3:$C$37,'CLASSES DE PROJETOS'!$E$3:$E$37))</f>
        <v>MSV-163MS-638-NORTE/32.TE</v>
      </c>
      <c r="I932" s="6" t="str" cm="1">
        <f t="array" ref="I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J932" s="6" t="str" cm="1">
        <f t="array" ref="J932">_xlfn.TEXTJOIN(", ",TRUE,_xlfn.UNIQUE(_xlfn._xlws.FILTER(ARQUIVOS_RECEBIDOS!$F$2:$F$5010,ARQUIVOS_RECEBIDOS!$E$2:$E$5010=LD_01[[#This Row],[DOCUMENTO]])))</f>
        <v>R00</v>
      </c>
      <c r="K932" s="12" cm="1">
        <f t="array" ref="K932">_xlfn.UNIQUE(_xlfn._xlws.FILTER(ARQUIVOS[DATA RECEBIMENTO],(ARQUIVOS[DOCUMENTO]=LD_01[[#This Row],[DOCUMENTO]])*(ARQUIVOS[REVISÃO]=LD_01[[#This Row],[REVISÃO]])))</f>
        <v>45838</v>
      </c>
      <c r="L9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M932" s="6" t="str">
        <f>LD_01[[#This Row],[PASTA]]&amp;"/"&amp;LD_01[[#This Row],[ARQUIVO]]</f>
        <v>MSV-163MS-638-NORTE/32.TE/MSV-163MS-638+600-EDI-EXE-DE-G1-018-R00.pdf</v>
      </c>
    </row>
    <row r="933" spans="1:13" ht="28.8" hidden="1" x14ac:dyDescent="0.3">
      <c r="A933" s="6" t="s">
        <v>3714</v>
      </c>
      <c r="B933" s="6" t="str">
        <f>VLOOKUP(LD_01[[#This Row],[DOCUMENTO]],_xlfn.SORTBY(ARQUIVOS_RECEBIDOS!$E$2:$F$5010,ARQUIVOS_RECEBIDOS!$F$2:$F$5010,-1),2,)</f>
        <v>R00</v>
      </c>
      <c r="C933" s="15" t="s">
        <v>5987</v>
      </c>
      <c r="D933" s="6" t="s">
        <v>4320</v>
      </c>
      <c r="E933" s="8" t="s">
        <v>4958</v>
      </c>
      <c r="F933" s="8" t="s">
        <v>4330</v>
      </c>
      <c r="G933" s="6" t="str">
        <f>_xlfn.XLOOKUP(LD_01[[#This Row],[DISCIPLINA]],'CLASSES DE PROJETOS'!$F$3:$F$37,'CLASSES DE PROJETOS'!$C$3:$C$37)</f>
        <v>TE</v>
      </c>
      <c r="H933" t="str">
        <f>_xlfn.TEXTJOIN("/",TRUE,"MSV-163MS-"&amp;LD_01[[#This Row],[TRECHO]],_xlfn.XLOOKUP(LD_01[[#This Row],[SIGLA]],'CLASSES DE PROJETOS'!$C$3:$C$37,'CLASSES DE PROJETOS'!$E$3:$E$37))</f>
        <v>MSV-163MS-638-NORTE/32.TE</v>
      </c>
      <c r="I933" s="6" t="str" cm="1">
        <f t="array" ref="I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J933" s="6" t="str" cm="1">
        <f t="array" ref="J933">_xlfn.TEXTJOIN(", ",TRUE,_xlfn.UNIQUE(_xlfn._xlws.FILTER(ARQUIVOS_RECEBIDOS!$F$2:$F$5010,ARQUIVOS_RECEBIDOS!$E$2:$E$5010=LD_01[[#This Row],[DOCUMENTO]])))</f>
        <v>R00</v>
      </c>
      <c r="K933" s="12" cm="1">
        <f t="array" ref="K933">_xlfn.UNIQUE(_xlfn._xlws.FILTER(ARQUIVOS[DATA RECEBIMENTO],(ARQUIVOS[DOCUMENTO]=LD_01[[#This Row],[DOCUMENTO]])*(ARQUIVOS[REVISÃO]=LD_01[[#This Row],[REVISÃO]])))</f>
        <v>45838</v>
      </c>
      <c r="L9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M933" s="6" t="str">
        <f>LD_01[[#This Row],[PASTA]]&amp;"/"&amp;LD_01[[#This Row],[ARQUIVO]]</f>
        <v>MSV-163MS-638-NORTE/32.TE/MSV-163MS-638+600-EDI-EXE-DE-G1-019-R00.pdf</v>
      </c>
    </row>
    <row r="934" spans="1:13" ht="28.8" hidden="1" x14ac:dyDescent="0.3">
      <c r="A934" s="6" t="s">
        <v>3715</v>
      </c>
      <c r="B934" s="6" t="str">
        <f>VLOOKUP(LD_01[[#This Row],[DOCUMENTO]],_xlfn.SORTBY(ARQUIVOS_RECEBIDOS!$E$2:$F$5010,ARQUIVOS_RECEBIDOS!$F$2:$F$5010,-1),2,)</f>
        <v>R00</v>
      </c>
      <c r="C934" s="15" t="s">
        <v>5987</v>
      </c>
      <c r="D934" s="6" t="s">
        <v>4320</v>
      </c>
      <c r="E934" s="8" t="s">
        <v>4958</v>
      </c>
      <c r="F934" s="8" t="s">
        <v>4330</v>
      </c>
      <c r="G934" s="6" t="str">
        <f>_xlfn.XLOOKUP(LD_01[[#This Row],[DISCIPLINA]],'CLASSES DE PROJETOS'!$F$3:$F$37,'CLASSES DE PROJETOS'!$C$3:$C$37)</f>
        <v>TE</v>
      </c>
      <c r="H934" t="str">
        <f>_xlfn.TEXTJOIN("/",TRUE,"MSV-163MS-"&amp;LD_01[[#This Row],[TRECHO]],_xlfn.XLOOKUP(LD_01[[#This Row],[SIGLA]],'CLASSES DE PROJETOS'!$C$3:$C$37,'CLASSES DE PROJETOS'!$E$3:$E$37))</f>
        <v>MSV-163MS-638-NORTE/32.TE</v>
      </c>
      <c r="I934" s="6" t="str" cm="1">
        <f t="array" ref="I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J934" s="6" t="str" cm="1">
        <f t="array" ref="J934">_xlfn.TEXTJOIN(", ",TRUE,_xlfn.UNIQUE(_xlfn._xlws.FILTER(ARQUIVOS_RECEBIDOS!$F$2:$F$5010,ARQUIVOS_RECEBIDOS!$E$2:$E$5010=LD_01[[#This Row],[DOCUMENTO]])))</f>
        <v>R00</v>
      </c>
      <c r="K934" s="12" cm="1">
        <f t="array" ref="K934">_xlfn.UNIQUE(_xlfn._xlws.FILTER(ARQUIVOS[DATA RECEBIMENTO],(ARQUIVOS[DOCUMENTO]=LD_01[[#This Row],[DOCUMENTO]])*(ARQUIVOS[REVISÃO]=LD_01[[#This Row],[REVISÃO]])))</f>
        <v>45838</v>
      </c>
      <c r="L9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M934" s="6" t="str">
        <f>LD_01[[#This Row],[PASTA]]&amp;"/"&amp;LD_01[[#This Row],[ARQUIVO]]</f>
        <v>MSV-163MS-638-NORTE/32.TE/MSV-163MS-638+600-EDI-EXE-DE-G1-020-R00.pdf</v>
      </c>
    </row>
    <row r="935" spans="1:13" hidden="1" x14ac:dyDescent="0.3">
      <c r="A935" s="6" t="s">
        <v>3718</v>
      </c>
      <c r="B935" s="6" t="str">
        <f>VLOOKUP(LD_01[[#This Row],[DOCUMENTO]],_xlfn.SORTBY(ARQUIVOS_RECEBIDOS!$E$2:$F$5010,ARQUIVOS_RECEBIDOS!$F$2:$F$5010,-1),2,)</f>
        <v>R01</v>
      </c>
      <c r="C935" s="15" t="s">
        <v>5987</v>
      </c>
      <c r="D935" s="6" t="s">
        <v>4320</v>
      </c>
      <c r="E935" s="8" t="s">
        <v>4903</v>
      </c>
      <c r="F935" s="8" t="s">
        <v>4142</v>
      </c>
      <c r="G935" s="6" t="str">
        <f>_xlfn.XLOOKUP(LD_01[[#This Row],[DISCIPLINA]],'CLASSES DE PROJETOS'!$F$3:$F$37,'CLASSES DE PROJETOS'!$C$3:$C$37)</f>
        <v>DR</v>
      </c>
      <c r="H935" t="str">
        <f>_xlfn.TEXTJOIN("/",TRUE,"MSV-163MS-"&amp;LD_01[[#This Row],[TRECHO]],_xlfn.XLOOKUP(LD_01[[#This Row],[SIGLA]],'CLASSES DE PROJETOS'!$C$3:$C$37,'CLASSES DE PROJETOS'!$E$3:$E$37))</f>
        <v>MSV-163MS-638-NORTE/10.DR</v>
      </c>
      <c r="I935" s="6" t="str" cm="1">
        <f t="array" ref="I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J935" s="6" t="str" cm="1">
        <f t="array" ref="J935">_xlfn.TEXTJOIN(", ",TRUE,_xlfn.UNIQUE(_xlfn._xlws.FILTER(ARQUIVOS_RECEBIDOS!$F$2:$F$5010,ARQUIVOS_RECEBIDOS!$E$2:$E$5010=LD_01[[#This Row],[DOCUMENTO]])))</f>
        <v>R00, R01</v>
      </c>
      <c r="K935" s="12" cm="1">
        <f t="array" ref="K935">_xlfn.UNIQUE(_xlfn._xlws.FILTER(ARQUIVOS[DATA RECEBIMENTO],(ARQUIVOS[DOCUMENTO]=LD_01[[#This Row],[DOCUMENTO]])*(ARQUIVOS[REVISÃO]=LD_01[[#This Row],[REVISÃO]])))</f>
        <v>45895</v>
      </c>
      <c r="L9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M935" s="6" t="str">
        <f>LD_01[[#This Row],[PASTA]]&amp;"/"&amp;LD_01[[#This Row],[ARQUIVO]]</f>
        <v>MSV-163MS-638-NORTE/10.DR/MSV-163MS-638+600-EDI-EXE-DE-H1-001-R01.pdf</v>
      </c>
    </row>
    <row r="936" spans="1:13" hidden="1" x14ac:dyDescent="0.3">
      <c r="A936" s="6" t="s">
        <v>3719</v>
      </c>
      <c r="B936" s="6" t="str">
        <f>VLOOKUP(LD_01[[#This Row],[DOCUMENTO]],_xlfn.SORTBY(ARQUIVOS_RECEBIDOS!$E$2:$F$5010,ARQUIVOS_RECEBIDOS!$F$2:$F$5010,-1),2,)</f>
        <v>R06</v>
      </c>
      <c r="C936" s="15" t="s">
        <v>5987</v>
      </c>
      <c r="D936" s="6" t="s">
        <v>4320</v>
      </c>
      <c r="E936" s="8" t="s">
        <v>4904</v>
      </c>
      <c r="F936" s="8" t="s">
        <v>4142</v>
      </c>
      <c r="G936" s="6" t="str">
        <f>_xlfn.XLOOKUP(LD_01[[#This Row],[DISCIPLINA]],'CLASSES DE PROJETOS'!$F$3:$F$37,'CLASSES DE PROJETOS'!$C$3:$C$37)</f>
        <v>DR</v>
      </c>
      <c r="H936" t="str">
        <f>_xlfn.TEXTJOIN("/",TRUE,"MSV-163MS-"&amp;LD_01[[#This Row],[TRECHO]],_xlfn.XLOOKUP(LD_01[[#This Row],[SIGLA]],'CLASSES DE PROJETOS'!$C$3:$C$37,'CLASSES DE PROJETOS'!$E$3:$E$37))</f>
        <v>MSV-163MS-638-NORTE/10.DR</v>
      </c>
      <c r="I936" s="6" t="str" cm="1">
        <f t="array" ref="I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J936" s="6" t="str" cm="1">
        <f t="array" ref="J936">_xlfn.TEXTJOIN(", ",TRUE,_xlfn.UNIQUE(_xlfn._xlws.FILTER(ARQUIVOS_RECEBIDOS!$F$2:$F$5010,ARQUIVOS_RECEBIDOS!$E$2:$E$5010=LD_01[[#This Row],[DOCUMENTO]])))</f>
        <v>R01, R02, R03, R06, R05</v>
      </c>
      <c r="K936" s="12" cm="1">
        <f t="array" ref="K936">_xlfn.UNIQUE(_xlfn._xlws.FILTER(ARQUIVOS[DATA RECEBIMENTO],(ARQUIVOS[DOCUMENTO]=LD_01[[#This Row],[DOCUMENTO]])*(ARQUIVOS[REVISÃO]=LD_01[[#This Row],[REVISÃO]])))</f>
        <v>45931</v>
      </c>
      <c r="L9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M936" s="6" t="str">
        <f>LD_01[[#This Row],[PASTA]]&amp;"/"&amp;LD_01[[#This Row],[ARQUIVO]]</f>
        <v>MSV-163MS-638-NORTE/10.DR/MSV-163MS-638+600-EDI-EXE-DE-H2-001-R06.pdf</v>
      </c>
    </row>
    <row r="937" spans="1:13" hidden="1" x14ac:dyDescent="0.3">
      <c r="A937" s="6" t="s">
        <v>3720</v>
      </c>
      <c r="B937" s="6" t="str">
        <f>VLOOKUP(LD_01[[#This Row],[DOCUMENTO]],_xlfn.SORTBY(ARQUIVOS_RECEBIDOS!$E$2:$F$5010,ARQUIVOS_RECEBIDOS!$F$2:$F$5010,-1),2,)</f>
        <v>R02</v>
      </c>
      <c r="C937" s="15" t="s">
        <v>5987</v>
      </c>
      <c r="D937" s="6" t="s">
        <v>4320</v>
      </c>
      <c r="E937" s="8" t="s">
        <v>4905</v>
      </c>
      <c r="F937" s="8" t="s">
        <v>4142</v>
      </c>
      <c r="G937" s="6" t="str">
        <f>_xlfn.XLOOKUP(LD_01[[#This Row],[DISCIPLINA]],'CLASSES DE PROJETOS'!$F$3:$F$37,'CLASSES DE PROJETOS'!$C$3:$C$37)</f>
        <v>DR</v>
      </c>
      <c r="H937" t="str">
        <f>_xlfn.TEXTJOIN("/",TRUE,"MSV-163MS-"&amp;LD_01[[#This Row],[TRECHO]],_xlfn.XLOOKUP(LD_01[[#This Row],[SIGLA]],'CLASSES DE PROJETOS'!$C$3:$C$37,'CLASSES DE PROJETOS'!$E$3:$E$37))</f>
        <v>MSV-163MS-638-NORTE/10.DR</v>
      </c>
      <c r="I937" s="6" t="str" cm="1">
        <f t="array" ref="I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J937" s="6" t="str" cm="1">
        <f t="array" ref="J937">_xlfn.TEXTJOIN(", ",TRUE,_xlfn.UNIQUE(_xlfn._xlws.FILTER(ARQUIVOS_RECEBIDOS!$F$2:$F$5010,ARQUIVOS_RECEBIDOS!$E$2:$E$5010=LD_01[[#This Row],[DOCUMENTO]])))</f>
        <v>R01, R02</v>
      </c>
      <c r="K937" s="12" cm="1">
        <f t="array" ref="K937">_xlfn.UNIQUE(_xlfn._xlws.FILTER(ARQUIVOS[DATA RECEBIMENTO],(ARQUIVOS[DOCUMENTO]=LD_01[[#This Row],[DOCUMENTO]])*(ARQUIVOS[REVISÃO]=LD_01[[#This Row],[REVISÃO]])))</f>
        <v>45859</v>
      </c>
      <c r="L9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M937" s="6" t="str">
        <f>LD_01[[#This Row],[PASTA]]&amp;"/"&amp;LD_01[[#This Row],[ARQUIVO]]</f>
        <v>MSV-163MS-638-NORTE/10.DR/MSV-163MS-638+600-EDI-EXE-DE-H2-002-R02.pdf</v>
      </c>
    </row>
    <row r="938" spans="1:13" hidden="1" x14ac:dyDescent="0.3">
      <c r="A938" s="6" t="s">
        <v>3721</v>
      </c>
      <c r="B938" s="6" t="str">
        <f>VLOOKUP(LD_01[[#This Row],[DOCUMENTO]],_xlfn.SORTBY(ARQUIVOS_RECEBIDOS!$E$2:$F$5010,ARQUIVOS_RECEBIDOS!$F$2:$F$5010,-1),2,)</f>
        <v>R04</v>
      </c>
      <c r="C938" s="15" t="s">
        <v>5987</v>
      </c>
      <c r="D938" s="6" t="s">
        <v>4320</v>
      </c>
      <c r="E938" s="8" t="s">
        <v>4904</v>
      </c>
      <c r="F938" s="8" t="s">
        <v>4142</v>
      </c>
      <c r="G938" s="6" t="str">
        <f>_xlfn.XLOOKUP(LD_01[[#This Row],[DISCIPLINA]],'CLASSES DE PROJETOS'!$F$3:$F$37,'CLASSES DE PROJETOS'!$C$3:$C$37)</f>
        <v>DR</v>
      </c>
      <c r="H938" t="str">
        <f>_xlfn.TEXTJOIN("/",TRUE,"MSV-163MS-"&amp;LD_01[[#This Row],[TRECHO]],_xlfn.XLOOKUP(LD_01[[#This Row],[SIGLA]],'CLASSES DE PROJETOS'!$C$3:$C$37,'CLASSES DE PROJETOS'!$E$3:$E$37))</f>
        <v>MSV-163MS-638-NORTE/10.DR</v>
      </c>
      <c r="I938" s="6" t="str" cm="1">
        <f t="array" ref="I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J938" s="6" t="str" cm="1">
        <f t="array" ref="J938">_xlfn.TEXTJOIN(", ",TRUE,_xlfn.UNIQUE(_xlfn._xlws.FILTER(ARQUIVOS_RECEBIDOS!$F$2:$F$5010,ARQUIVOS_RECEBIDOS!$E$2:$E$5010=LD_01[[#This Row],[DOCUMENTO]])))</f>
        <v>R01, R02, R03, R04</v>
      </c>
      <c r="K938" s="12" cm="1">
        <f t="array" ref="K938">_xlfn.UNIQUE(_xlfn._xlws.FILTER(ARQUIVOS[DATA RECEBIMENTO],(ARQUIVOS[DOCUMENTO]=LD_01[[#This Row],[DOCUMENTO]])*(ARQUIVOS[REVISÃO]=LD_01[[#This Row],[REVISÃO]])))</f>
        <v>45946</v>
      </c>
      <c r="L9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M938" s="6" t="str">
        <f>LD_01[[#This Row],[PASTA]]&amp;"/"&amp;LD_01[[#This Row],[ARQUIVO]]</f>
        <v>MSV-163MS-638-NORTE/10.DR/MSV-163MS-638+600-EDI-EXE-DE-H2-003-R04.pdf</v>
      </c>
    </row>
    <row r="939" spans="1:13" hidden="1" x14ac:dyDescent="0.3">
      <c r="A939" s="6" t="s">
        <v>3722</v>
      </c>
      <c r="B939" s="6" t="str">
        <f>VLOOKUP(LD_01[[#This Row],[DOCUMENTO]],_xlfn.SORTBY(ARQUIVOS_RECEBIDOS!$E$2:$F$5010,ARQUIVOS_RECEBIDOS!$F$2:$F$5010,-1),2,)</f>
        <v>R05</v>
      </c>
      <c r="C939" s="15" t="s">
        <v>5987</v>
      </c>
      <c r="D939" s="6" t="s">
        <v>4320</v>
      </c>
      <c r="E939" s="8" t="s">
        <v>4906</v>
      </c>
      <c r="F939" s="8" t="s">
        <v>4142</v>
      </c>
      <c r="G939" s="6" t="str">
        <f>_xlfn.XLOOKUP(LD_01[[#This Row],[DISCIPLINA]],'CLASSES DE PROJETOS'!$F$3:$F$37,'CLASSES DE PROJETOS'!$C$3:$C$37)</f>
        <v>DR</v>
      </c>
      <c r="H939" t="str">
        <f>_xlfn.TEXTJOIN("/",TRUE,"MSV-163MS-"&amp;LD_01[[#This Row],[TRECHO]],_xlfn.XLOOKUP(LD_01[[#This Row],[SIGLA]],'CLASSES DE PROJETOS'!$C$3:$C$37,'CLASSES DE PROJETOS'!$E$3:$E$37))</f>
        <v>MSV-163MS-638-NORTE/10.DR</v>
      </c>
      <c r="I939" s="6" t="str" cm="1">
        <f t="array" ref="I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J939" s="6" t="str" cm="1">
        <f t="array" ref="J939">_xlfn.TEXTJOIN(", ",TRUE,_xlfn.UNIQUE(_xlfn._xlws.FILTER(ARQUIVOS_RECEBIDOS!$F$2:$F$5010,ARQUIVOS_RECEBIDOS!$E$2:$E$5010=LD_01[[#This Row],[DOCUMENTO]])))</f>
        <v>R01, R02, R03, R05, R04</v>
      </c>
      <c r="K939" s="12" cm="1">
        <f t="array" ref="K939">_xlfn.UNIQUE(_xlfn._xlws.FILTER(ARQUIVOS[DATA RECEBIMENTO],(ARQUIVOS[DOCUMENTO]=LD_01[[#This Row],[DOCUMENTO]])*(ARQUIVOS[REVISÃO]=LD_01[[#This Row],[REVISÃO]])))</f>
        <v>45931</v>
      </c>
      <c r="L9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M939" s="6" t="str">
        <f>LD_01[[#This Row],[PASTA]]&amp;"/"&amp;LD_01[[#This Row],[ARQUIVO]]</f>
        <v>MSV-163MS-638-NORTE/10.DR/MSV-163MS-638+600-EDI-EXE-DE-H2-004-R05.pdf</v>
      </c>
    </row>
    <row r="940" spans="1:13" hidden="1" x14ac:dyDescent="0.3">
      <c r="A940" s="6" t="s">
        <v>3723</v>
      </c>
      <c r="B940" s="6" t="str">
        <f>VLOOKUP(LD_01[[#This Row],[DOCUMENTO]],_xlfn.SORTBY(ARQUIVOS_RECEBIDOS!$E$2:$F$5010,ARQUIVOS_RECEBIDOS!$F$2:$F$5010,-1),2,)</f>
        <v>R02</v>
      </c>
      <c r="C940" s="15" t="s">
        <v>5987</v>
      </c>
      <c r="D940" s="6" t="s">
        <v>4320</v>
      </c>
      <c r="E940" s="8" t="s">
        <v>4905</v>
      </c>
      <c r="F940" s="8" t="s">
        <v>4142</v>
      </c>
      <c r="G940" s="6" t="str">
        <f>_xlfn.XLOOKUP(LD_01[[#This Row],[DISCIPLINA]],'CLASSES DE PROJETOS'!$F$3:$F$37,'CLASSES DE PROJETOS'!$C$3:$C$37)</f>
        <v>DR</v>
      </c>
      <c r="H940" t="str">
        <f>_xlfn.TEXTJOIN("/",TRUE,"MSV-163MS-"&amp;LD_01[[#This Row],[TRECHO]],_xlfn.XLOOKUP(LD_01[[#This Row],[SIGLA]],'CLASSES DE PROJETOS'!$C$3:$C$37,'CLASSES DE PROJETOS'!$E$3:$E$37))</f>
        <v>MSV-163MS-638-NORTE/10.DR</v>
      </c>
      <c r="I940" s="6" t="str" cm="1">
        <f t="array" ref="I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J940" s="6" t="str" cm="1">
        <f t="array" ref="J940">_xlfn.TEXTJOIN(", ",TRUE,_xlfn.UNIQUE(_xlfn._xlws.FILTER(ARQUIVOS_RECEBIDOS!$F$2:$F$5010,ARQUIVOS_RECEBIDOS!$E$2:$E$5010=LD_01[[#This Row],[DOCUMENTO]])))</f>
        <v>R01, R02</v>
      </c>
      <c r="K940" s="12" cm="1">
        <f t="array" ref="K940">_xlfn.UNIQUE(_xlfn._xlws.FILTER(ARQUIVOS[DATA RECEBIMENTO],(ARQUIVOS[DOCUMENTO]=LD_01[[#This Row],[DOCUMENTO]])*(ARQUIVOS[REVISÃO]=LD_01[[#This Row],[REVISÃO]])))</f>
        <v>45859</v>
      </c>
      <c r="L9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M940" s="6" t="str">
        <f>LD_01[[#This Row],[PASTA]]&amp;"/"&amp;LD_01[[#This Row],[ARQUIVO]]</f>
        <v>MSV-163MS-638-NORTE/10.DR/MSV-163MS-638+600-EDI-EXE-DE-H2-005-R02.pdf</v>
      </c>
    </row>
    <row r="941" spans="1:13" ht="28.8" hidden="1" x14ac:dyDescent="0.3">
      <c r="A941" s="6" t="s">
        <v>3724</v>
      </c>
      <c r="B941" s="6" t="str">
        <f>VLOOKUP(LD_01[[#This Row],[DOCUMENTO]],_xlfn.SORTBY(ARQUIVOS_RECEBIDOS!$E$2:$F$5010,ARQUIVOS_RECEBIDOS!$F$2:$F$5010,-1),2,)</f>
        <v>R03</v>
      </c>
      <c r="C941" s="15" t="s">
        <v>5987</v>
      </c>
      <c r="D941" s="6" t="s">
        <v>4320</v>
      </c>
      <c r="E941" s="8" t="s">
        <v>4907</v>
      </c>
      <c r="F941" s="8" t="s">
        <v>4142</v>
      </c>
      <c r="G941" s="6" t="str">
        <f>_xlfn.XLOOKUP(LD_01[[#This Row],[DISCIPLINA]],'CLASSES DE PROJETOS'!$F$3:$F$37,'CLASSES DE PROJETOS'!$C$3:$C$37)</f>
        <v>DR</v>
      </c>
      <c r="H941" t="str">
        <f>_xlfn.TEXTJOIN("/",TRUE,"MSV-163MS-"&amp;LD_01[[#This Row],[TRECHO]],_xlfn.XLOOKUP(LD_01[[#This Row],[SIGLA]],'CLASSES DE PROJETOS'!$C$3:$C$37,'CLASSES DE PROJETOS'!$E$3:$E$37))</f>
        <v>MSV-163MS-638-NORTE/10.DR</v>
      </c>
      <c r="I941" s="6" t="str" cm="1">
        <f t="array" ref="I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J941" s="6" t="str" cm="1">
        <f t="array" ref="J941">_xlfn.TEXTJOIN(", ",TRUE,_xlfn.UNIQUE(_xlfn._xlws.FILTER(ARQUIVOS_RECEBIDOS!$F$2:$F$5010,ARQUIVOS_RECEBIDOS!$E$2:$E$5010=LD_01[[#This Row],[DOCUMENTO]])))</f>
        <v>R01, R02, R03</v>
      </c>
      <c r="K941" s="12" cm="1">
        <f t="array" ref="K941">_xlfn.UNIQUE(_xlfn._xlws.FILTER(ARQUIVOS[DATA RECEBIMENTO],(ARQUIVOS[DOCUMENTO]=LD_01[[#This Row],[DOCUMENTO]])*(ARQUIVOS[REVISÃO]=LD_01[[#This Row],[REVISÃO]])))</f>
        <v>45895</v>
      </c>
      <c r="L9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M941" s="6" t="str">
        <f>LD_01[[#This Row],[PASTA]]&amp;"/"&amp;LD_01[[#This Row],[ARQUIVO]]</f>
        <v>MSV-163MS-638-NORTE/10.DR/MSV-163MS-638+600-EDI-EXE-DE-H2-006-R03.pdf</v>
      </c>
    </row>
    <row r="942" spans="1:13" ht="43.2" hidden="1" x14ac:dyDescent="0.3">
      <c r="A942" s="6" t="s">
        <v>3725</v>
      </c>
      <c r="B942" s="6" t="str">
        <f>VLOOKUP(LD_01[[#This Row],[DOCUMENTO]],_xlfn.SORTBY(ARQUIVOS_RECEBIDOS!$E$2:$F$5010,ARQUIVOS_RECEBIDOS!$F$2:$F$5010,-1),2,)</f>
        <v>R04</v>
      </c>
      <c r="C942" s="15" t="s">
        <v>5987</v>
      </c>
      <c r="D942" s="6" t="s">
        <v>4320</v>
      </c>
      <c r="E942" s="8" t="s">
        <v>4908</v>
      </c>
      <c r="F942" s="8" t="s">
        <v>4142</v>
      </c>
      <c r="G942" s="6" t="str">
        <f>_xlfn.XLOOKUP(LD_01[[#This Row],[DISCIPLINA]],'CLASSES DE PROJETOS'!$F$3:$F$37,'CLASSES DE PROJETOS'!$C$3:$C$37)</f>
        <v>DR</v>
      </c>
      <c r="H942" t="str">
        <f>_xlfn.TEXTJOIN("/",TRUE,"MSV-163MS-"&amp;LD_01[[#This Row],[TRECHO]],_xlfn.XLOOKUP(LD_01[[#This Row],[SIGLA]],'CLASSES DE PROJETOS'!$C$3:$C$37,'CLASSES DE PROJETOS'!$E$3:$E$37))</f>
        <v>MSV-163MS-638-NORTE/10.DR</v>
      </c>
      <c r="I942" s="6" t="str" cm="1">
        <f t="array" ref="I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J942" s="6" t="str" cm="1">
        <f t="array" ref="J942">_xlfn.TEXTJOIN(", ",TRUE,_xlfn.UNIQUE(_xlfn._xlws.FILTER(ARQUIVOS_RECEBIDOS!$F$2:$F$5010,ARQUIVOS_RECEBIDOS!$E$2:$E$5010=LD_01[[#This Row],[DOCUMENTO]])))</f>
        <v>R01, R02, R03, R04</v>
      </c>
      <c r="K942" s="12" cm="1">
        <f t="array" ref="K942">_xlfn.UNIQUE(_xlfn._xlws.FILTER(ARQUIVOS[DATA RECEBIMENTO],(ARQUIVOS[DOCUMENTO]=LD_01[[#This Row],[DOCUMENTO]])*(ARQUIVOS[REVISÃO]=LD_01[[#This Row],[REVISÃO]])))</f>
        <v>45946</v>
      </c>
      <c r="L9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M942" s="6" t="str">
        <f>LD_01[[#This Row],[PASTA]]&amp;"/"&amp;LD_01[[#This Row],[ARQUIVO]]</f>
        <v>MSV-163MS-638-NORTE/10.DR/MSV-163MS-638+600-EDI-EXE-DE-H2-007-R04.pdf</v>
      </c>
    </row>
    <row r="943" spans="1:13" ht="43.2" hidden="1" x14ac:dyDescent="0.3">
      <c r="A943" s="6" t="s">
        <v>3726</v>
      </c>
      <c r="B943" s="6" t="str">
        <f>VLOOKUP(LD_01[[#This Row],[DOCUMENTO]],_xlfn.SORTBY(ARQUIVOS_RECEBIDOS!$E$2:$F$5010,ARQUIVOS_RECEBIDOS!$F$2:$F$5010,-1),2,)</f>
        <v>R03</v>
      </c>
      <c r="C943" s="15" t="s">
        <v>5987</v>
      </c>
      <c r="D943" s="6" t="s">
        <v>4320</v>
      </c>
      <c r="E943" s="8" t="s">
        <v>4908</v>
      </c>
      <c r="F943" s="8" t="s">
        <v>4142</v>
      </c>
      <c r="G943" s="6" t="str">
        <f>_xlfn.XLOOKUP(LD_01[[#This Row],[DISCIPLINA]],'CLASSES DE PROJETOS'!$F$3:$F$37,'CLASSES DE PROJETOS'!$C$3:$C$37)</f>
        <v>DR</v>
      </c>
      <c r="H943" t="str">
        <f>_xlfn.TEXTJOIN("/",TRUE,"MSV-163MS-"&amp;LD_01[[#This Row],[TRECHO]],_xlfn.XLOOKUP(LD_01[[#This Row],[SIGLA]],'CLASSES DE PROJETOS'!$C$3:$C$37,'CLASSES DE PROJETOS'!$E$3:$E$37))</f>
        <v>MSV-163MS-638-NORTE/10.DR</v>
      </c>
      <c r="I943" s="6" t="str" cm="1">
        <f t="array" ref="I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J943" s="6" t="str" cm="1">
        <f t="array" ref="J943">_xlfn.TEXTJOIN(", ",TRUE,_xlfn.UNIQUE(_xlfn._xlws.FILTER(ARQUIVOS_RECEBIDOS!$F$2:$F$5010,ARQUIVOS_RECEBIDOS!$E$2:$E$5010=LD_01[[#This Row],[DOCUMENTO]])))</f>
        <v>R01, R02, R03</v>
      </c>
      <c r="K943" s="12" cm="1">
        <f t="array" ref="K943">_xlfn.UNIQUE(_xlfn._xlws.FILTER(ARQUIVOS[DATA RECEBIMENTO],(ARQUIVOS[DOCUMENTO]=LD_01[[#This Row],[DOCUMENTO]])*(ARQUIVOS[REVISÃO]=LD_01[[#This Row],[REVISÃO]])))</f>
        <v>45895</v>
      </c>
      <c r="L9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M943" s="6" t="str">
        <f>LD_01[[#This Row],[PASTA]]&amp;"/"&amp;LD_01[[#This Row],[ARQUIVO]]</f>
        <v>MSV-163MS-638-NORTE/10.DR/MSV-163MS-638+600-EDI-EXE-DE-H2-008-R03.pdf</v>
      </c>
    </row>
    <row r="944" spans="1:13" hidden="1" x14ac:dyDescent="0.3">
      <c r="A944" s="6" t="s">
        <v>3727</v>
      </c>
      <c r="B944" s="6" t="str">
        <f>VLOOKUP(LD_01[[#This Row],[DOCUMENTO]],_xlfn.SORTBY(ARQUIVOS_RECEBIDOS!$E$2:$F$5010,ARQUIVOS_RECEBIDOS!$F$2:$F$5010,-1),2,)</f>
        <v>R03</v>
      </c>
      <c r="C944" s="15" t="s">
        <v>5987</v>
      </c>
      <c r="D944" s="6" t="s">
        <v>4320</v>
      </c>
      <c r="E944" s="8" t="s">
        <v>4909</v>
      </c>
      <c r="F944" s="8" t="s">
        <v>4142</v>
      </c>
      <c r="G944" s="6" t="str">
        <f>_xlfn.XLOOKUP(LD_01[[#This Row],[DISCIPLINA]],'CLASSES DE PROJETOS'!$F$3:$F$37,'CLASSES DE PROJETOS'!$C$3:$C$37)</f>
        <v>DR</v>
      </c>
      <c r="H944" t="str">
        <f>_xlfn.TEXTJOIN("/",TRUE,"MSV-163MS-"&amp;LD_01[[#This Row],[TRECHO]],_xlfn.XLOOKUP(LD_01[[#This Row],[SIGLA]],'CLASSES DE PROJETOS'!$C$3:$C$37,'CLASSES DE PROJETOS'!$E$3:$E$37))</f>
        <v>MSV-163MS-638-NORTE/10.DR</v>
      </c>
      <c r="I944" s="6" t="str" cm="1">
        <f t="array" ref="I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J944" s="6" t="str" cm="1">
        <f t="array" ref="J944">_xlfn.TEXTJOIN(", ",TRUE,_xlfn.UNIQUE(_xlfn._xlws.FILTER(ARQUIVOS_RECEBIDOS!$F$2:$F$5010,ARQUIVOS_RECEBIDOS!$E$2:$E$5010=LD_01[[#This Row],[DOCUMENTO]])))</f>
        <v>R00, R02, R03</v>
      </c>
      <c r="K944" s="12" cm="1">
        <f t="array" ref="K944">_xlfn.UNIQUE(_xlfn._xlws.FILTER(ARQUIVOS[DATA RECEBIMENTO],(ARQUIVOS[DOCUMENTO]=LD_01[[#This Row],[DOCUMENTO]])*(ARQUIVOS[REVISÃO]=LD_01[[#This Row],[REVISÃO]])))</f>
        <v>45895</v>
      </c>
      <c r="L9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M944" s="6" t="str">
        <f>LD_01[[#This Row],[PASTA]]&amp;"/"&amp;LD_01[[#This Row],[ARQUIVO]]</f>
        <v>MSV-163MS-638-NORTE/10.DR/MSV-163MS-638+600-EDI-EXE-DE-H2-009-R03.pdf</v>
      </c>
    </row>
    <row r="945" spans="1:13" hidden="1" x14ac:dyDescent="0.3">
      <c r="A945" s="6" t="s">
        <v>3728</v>
      </c>
      <c r="B945" s="6" t="str">
        <f>VLOOKUP(LD_01[[#This Row],[DOCUMENTO]],_xlfn.SORTBY(ARQUIVOS_RECEBIDOS!$E$2:$F$5010,ARQUIVOS_RECEBIDOS!$F$2:$F$5010,-1),2,)</f>
        <v>R00</v>
      </c>
      <c r="C945" s="15" t="s">
        <v>5987</v>
      </c>
      <c r="D945" s="6" t="s">
        <v>4320</v>
      </c>
      <c r="E945" s="8" t="s">
        <v>4909</v>
      </c>
      <c r="F945" s="8" t="s">
        <v>4142</v>
      </c>
      <c r="G945" s="6" t="str">
        <f>_xlfn.XLOOKUP(LD_01[[#This Row],[DISCIPLINA]],'CLASSES DE PROJETOS'!$F$3:$F$37,'CLASSES DE PROJETOS'!$C$3:$C$37)</f>
        <v>DR</v>
      </c>
      <c r="H945" t="str">
        <f>_xlfn.TEXTJOIN("/",TRUE,"MSV-163MS-"&amp;LD_01[[#This Row],[TRECHO]],_xlfn.XLOOKUP(LD_01[[#This Row],[SIGLA]],'CLASSES DE PROJETOS'!$C$3:$C$37,'CLASSES DE PROJETOS'!$E$3:$E$37))</f>
        <v>MSV-163MS-638-NORTE/10.DR</v>
      </c>
      <c r="I945" s="6" t="str" cm="1">
        <f t="array" ref="I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J945" s="6" t="str" cm="1">
        <f t="array" ref="J945">_xlfn.TEXTJOIN(", ",TRUE,_xlfn.UNIQUE(_xlfn._xlws.FILTER(ARQUIVOS_RECEBIDOS!$F$2:$F$5010,ARQUIVOS_RECEBIDOS!$E$2:$E$5010=LD_01[[#This Row],[DOCUMENTO]])))</f>
        <v>R00</v>
      </c>
      <c r="K945" s="12" cm="1">
        <f t="array" ref="K945">_xlfn.UNIQUE(_xlfn._xlws.FILTER(ARQUIVOS[DATA RECEBIMENTO],(ARQUIVOS[DOCUMENTO]=LD_01[[#This Row],[DOCUMENTO]])*(ARQUIVOS[REVISÃO]=LD_01[[#This Row],[REVISÃO]])))</f>
        <v>45838</v>
      </c>
      <c r="L9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M945" s="6" t="str">
        <f>LD_01[[#This Row],[PASTA]]&amp;"/"&amp;LD_01[[#This Row],[ARQUIVO]]</f>
        <v>MSV-163MS-638-NORTE/10.DR/MSV-163MS-638+600-EDI-EXE-DE-H2-010-R00.pdf</v>
      </c>
    </row>
    <row r="946" spans="1:13" ht="28.8" hidden="1" x14ac:dyDescent="0.3">
      <c r="A946" s="6" t="s">
        <v>3729</v>
      </c>
      <c r="B946" s="6" t="str">
        <f>VLOOKUP(LD_01[[#This Row],[DOCUMENTO]],_xlfn.SORTBY(ARQUIVOS_RECEBIDOS!$E$2:$F$5010,ARQUIVOS_RECEBIDOS!$F$2:$F$5010,-1),2,)</f>
        <v>R01</v>
      </c>
      <c r="C946" s="15" t="s">
        <v>5987</v>
      </c>
      <c r="D946" s="6" t="s">
        <v>4320</v>
      </c>
      <c r="E946" s="8" t="s">
        <v>4910</v>
      </c>
      <c r="F946" s="8" t="s">
        <v>4142</v>
      </c>
      <c r="G946" s="6" t="str">
        <f>_xlfn.XLOOKUP(LD_01[[#This Row],[DISCIPLINA]],'CLASSES DE PROJETOS'!$F$3:$F$37,'CLASSES DE PROJETOS'!$C$3:$C$37)</f>
        <v>DR</v>
      </c>
      <c r="H946" t="str">
        <f>_xlfn.TEXTJOIN("/",TRUE,"MSV-163MS-"&amp;LD_01[[#This Row],[TRECHO]],_xlfn.XLOOKUP(LD_01[[#This Row],[SIGLA]],'CLASSES DE PROJETOS'!$C$3:$C$37,'CLASSES DE PROJETOS'!$E$3:$E$37))</f>
        <v>MSV-163MS-638-NORTE/10.DR</v>
      </c>
      <c r="I946" s="6" t="str" cm="1">
        <f t="array" ref="I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J946" s="6" t="str" cm="1">
        <f t="array" ref="J946">_xlfn.TEXTJOIN(", ",TRUE,_xlfn.UNIQUE(_xlfn._xlws.FILTER(ARQUIVOS_RECEBIDOS!$F$2:$F$5010,ARQUIVOS_RECEBIDOS!$E$2:$E$5010=LD_01[[#This Row],[DOCUMENTO]])))</f>
        <v>R00, R01</v>
      </c>
      <c r="K946" s="12" cm="1">
        <f t="array" ref="K946">_xlfn.UNIQUE(_xlfn._xlws.FILTER(ARQUIVOS[DATA RECEBIMENTO],(ARQUIVOS[DOCUMENTO]=LD_01[[#This Row],[DOCUMENTO]])*(ARQUIVOS[REVISÃO]=LD_01[[#This Row],[REVISÃO]])))</f>
        <v>45859</v>
      </c>
      <c r="L9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M946" s="6" t="str">
        <f>LD_01[[#This Row],[PASTA]]&amp;"/"&amp;LD_01[[#This Row],[ARQUIVO]]</f>
        <v>MSV-163MS-638-NORTE/10.DR/MSV-163MS-638+600-EDI-EXE-DE-H2-011-R01.pdf</v>
      </c>
    </row>
    <row r="947" spans="1:13" hidden="1" x14ac:dyDescent="0.3">
      <c r="A947" s="6" t="s">
        <v>4073</v>
      </c>
      <c r="B947" s="6" t="str">
        <f>VLOOKUP(LD_01[[#This Row],[DOCUMENTO]],_xlfn.SORTBY(ARQUIVOS_RECEBIDOS!$E$2:$F$5010,ARQUIVOS_RECEBIDOS!$F$2:$F$5010,-1),2,)</f>
        <v>R01</v>
      </c>
      <c r="C947" s="15" t="s">
        <v>5987</v>
      </c>
      <c r="D947" s="6" t="s">
        <v>4320</v>
      </c>
      <c r="E947" s="8" t="s">
        <v>4909</v>
      </c>
      <c r="F947" s="8" t="s">
        <v>4142</v>
      </c>
      <c r="G947" s="6" t="str">
        <f>_xlfn.XLOOKUP(LD_01[[#This Row],[DISCIPLINA]],'CLASSES DE PROJETOS'!$F$3:$F$37,'CLASSES DE PROJETOS'!$C$3:$C$37)</f>
        <v>DR</v>
      </c>
      <c r="H947" t="str">
        <f>_xlfn.TEXTJOIN("/",TRUE,"MSV-163MS-"&amp;LD_01[[#This Row],[TRECHO]],_xlfn.XLOOKUP(LD_01[[#This Row],[SIGLA]],'CLASSES DE PROJETOS'!$C$3:$C$37,'CLASSES DE PROJETOS'!$E$3:$E$37))</f>
        <v>MSV-163MS-638-NORTE/10.DR</v>
      </c>
      <c r="I947" s="6" t="str" cm="1">
        <f t="array" ref="I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J947" s="6" t="str" cm="1">
        <f t="array" ref="J947">_xlfn.TEXTJOIN(", ",TRUE,_xlfn.UNIQUE(_xlfn._xlws.FILTER(ARQUIVOS_RECEBIDOS!$F$2:$F$5010,ARQUIVOS_RECEBIDOS!$E$2:$E$5010=LD_01[[#This Row],[DOCUMENTO]])))</f>
        <v>R00, R01</v>
      </c>
      <c r="K947" s="12" cm="1">
        <f t="array" ref="K947">_xlfn.UNIQUE(_xlfn._xlws.FILTER(ARQUIVOS[DATA RECEBIMENTO],(ARQUIVOS[DOCUMENTO]=LD_01[[#This Row],[DOCUMENTO]])*(ARQUIVOS[REVISÃO]=LD_01[[#This Row],[REVISÃO]])))</f>
        <v>45946</v>
      </c>
      <c r="L9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M947" s="6" t="str">
        <f>LD_01[[#This Row],[PASTA]]&amp;"/"&amp;LD_01[[#This Row],[ARQUIVO]]</f>
        <v>MSV-163MS-638-NORTE/10.DR/MSV-163MS-638+600-EDI-EXE-DE-H2-012-R01.pdf</v>
      </c>
    </row>
    <row r="948" spans="1:13" hidden="1" x14ac:dyDescent="0.3">
      <c r="A948" s="6" t="s">
        <v>3747</v>
      </c>
      <c r="B948" s="6" t="str">
        <f>VLOOKUP(LD_01[[#This Row],[DOCUMENTO]],_xlfn.SORTBY(ARQUIVOS_RECEBIDOS!$E$2:$F$5010,ARQUIVOS_RECEBIDOS!$F$2:$F$5010,-1),2,)</f>
        <v>R03</v>
      </c>
      <c r="C948" s="15" t="s">
        <v>5987</v>
      </c>
      <c r="D948" s="6" t="s">
        <v>4320</v>
      </c>
      <c r="E948" s="8" t="s">
        <v>4087</v>
      </c>
      <c r="F948" s="8" t="s">
        <v>4143</v>
      </c>
      <c r="G948" s="6" t="str">
        <f>_xlfn.XLOOKUP(LD_01[[#This Row],[DISCIPLINA]],'CLASSES DE PROJETOS'!$F$3:$F$37,'CLASSES DE PROJETOS'!$C$3:$C$37)</f>
        <v>PV</v>
      </c>
      <c r="H948" t="str">
        <f>_xlfn.TEXTJOIN("/",TRUE,"MSV-163MS-"&amp;LD_01[[#This Row],[TRECHO]],_xlfn.XLOOKUP(LD_01[[#This Row],[SIGLA]],'CLASSES DE PROJETOS'!$C$3:$C$37,'CLASSES DE PROJETOS'!$E$3:$E$37))</f>
        <v>MSV-163MS-638-NORTE/28.PV</v>
      </c>
      <c r="I948" s="6" t="str" cm="1">
        <f t="array" ref="I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J948" s="6" t="str" cm="1">
        <f t="array" ref="J948">_xlfn.TEXTJOIN(", ",TRUE,_xlfn.UNIQUE(_xlfn._xlws.FILTER(ARQUIVOS_RECEBIDOS!$F$2:$F$5010,ARQUIVOS_RECEBIDOS!$E$2:$E$5010=LD_01[[#This Row],[DOCUMENTO]])))</f>
        <v>R01, R02, R03</v>
      </c>
      <c r="K948" s="12" cm="1">
        <f t="array" ref="K948">_xlfn.UNIQUE(_xlfn._xlws.FILTER(ARQUIVOS[DATA RECEBIMENTO],(ARQUIVOS[DOCUMENTO]=LD_01[[#This Row],[DOCUMENTO]])*(ARQUIVOS[REVISÃO]=LD_01[[#This Row],[REVISÃO]])))</f>
        <v>45931</v>
      </c>
      <c r="L9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M948" s="6" t="str">
        <f>LD_01[[#This Row],[PASTA]]&amp;"/"&amp;LD_01[[#This Row],[ARQUIVO]]</f>
        <v>MSV-163MS-638-NORTE/28.PV/MSV-163MS-638+600-EDI-EXE-DE-I2-001-R03.pdf</v>
      </c>
    </row>
    <row r="949" spans="1:13" hidden="1" x14ac:dyDescent="0.3">
      <c r="A949" s="6" t="s">
        <v>3748</v>
      </c>
      <c r="B949" s="6" t="str">
        <f>VLOOKUP(LD_01[[#This Row],[DOCUMENTO]],_xlfn.SORTBY(ARQUIVOS_RECEBIDOS!$E$2:$F$5010,ARQUIVOS_RECEBIDOS!$F$2:$F$5010,-1),2,)</f>
        <v>R03</v>
      </c>
      <c r="C949" s="15" t="s">
        <v>5987</v>
      </c>
      <c r="D949" s="6" t="s">
        <v>4320</v>
      </c>
      <c r="E949" s="8" t="s">
        <v>4087</v>
      </c>
      <c r="F949" s="8" t="s">
        <v>4143</v>
      </c>
      <c r="G949" s="6" t="str">
        <f>_xlfn.XLOOKUP(LD_01[[#This Row],[DISCIPLINA]],'CLASSES DE PROJETOS'!$F$3:$F$37,'CLASSES DE PROJETOS'!$C$3:$C$37)</f>
        <v>PV</v>
      </c>
      <c r="H949" t="str">
        <f>_xlfn.TEXTJOIN("/",TRUE,"MSV-163MS-"&amp;LD_01[[#This Row],[TRECHO]],_xlfn.XLOOKUP(LD_01[[#This Row],[SIGLA]],'CLASSES DE PROJETOS'!$C$3:$C$37,'CLASSES DE PROJETOS'!$E$3:$E$37))</f>
        <v>MSV-163MS-638-NORTE/28.PV</v>
      </c>
      <c r="I949" s="6" t="str" cm="1">
        <f t="array" ref="I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J949" s="6" t="str" cm="1">
        <f t="array" ref="J949">_xlfn.TEXTJOIN(", ",TRUE,_xlfn.UNIQUE(_xlfn._xlws.FILTER(ARQUIVOS_RECEBIDOS!$F$2:$F$5010,ARQUIVOS_RECEBIDOS!$E$2:$E$5010=LD_01[[#This Row],[DOCUMENTO]])))</f>
        <v>R01, R02, R03</v>
      </c>
      <c r="K949" s="12" cm="1">
        <f t="array" ref="K949">_xlfn.UNIQUE(_xlfn._xlws.FILTER(ARQUIVOS[DATA RECEBIMENTO],(ARQUIVOS[DOCUMENTO]=LD_01[[#This Row],[DOCUMENTO]])*(ARQUIVOS[REVISÃO]=LD_01[[#This Row],[REVISÃO]])))</f>
        <v>45931</v>
      </c>
      <c r="L9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M949" s="6" t="str">
        <f>LD_01[[#This Row],[PASTA]]&amp;"/"&amp;LD_01[[#This Row],[ARQUIVO]]</f>
        <v>MSV-163MS-638-NORTE/28.PV/MSV-163MS-638+600-EDI-EXE-DE-I2-002-R03.pdf</v>
      </c>
    </row>
    <row r="950" spans="1:13" hidden="1" x14ac:dyDescent="0.3">
      <c r="A950" s="6" t="s">
        <v>3749</v>
      </c>
      <c r="B950" s="6" t="str">
        <f>VLOOKUP(LD_01[[#This Row],[DOCUMENTO]],_xlfn.SORTBY(ARQUIVOS_RECEBIDOS!$E$2:$F$5010,ARQUIVOS_RECEBIDOS!$F$2:$F$5010,-1),2,)</f>
        <v>R02</v>
      </c>
      <c r="C950" s="15" t="s">
        <v>5987</v>
      </c>
      <c r="D950" s="6" t="s">
        <v>4320</v>
      </c>
      <c r="E950" s="8" t="s">
        <v>4964</v>
      </c>
      <c r="F950" s="8" t="s">
        <v>4143</v>
      </c>
      <c r="G950" s="6" t="str">
        <f>_xlfn.XLOOKUP(LD_01[[#This Row],[DISCIPLINA]],'CLASSES DE PROJETOS'!$F$3:$F$37,'CLASSES DE PROJETOS'!$C$3:$C$37)</f>
        <v>PV</v>
      </c>
      <c r="H950" t="str">
        <f>_xlfn.TEXTJOIN("/",TRUE,"MSV-163MS-"&amp;LD_01[[#This Row],[TRECHO]],_xlfn.XLOOKUP(LD_01[[#This Row],[SIGLA]],'CLASSES DE PROJETOS'!$C$3:$C$37,'CLASSES DE PROJETOS'!$E$3:$E$37))</f>
        <v>MSV-163MS-638-NORTE/28.PV</v>
      </c>
      <c r="I950" s="6" t="str" cm="1">
        <f t="array" ref="I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J950" s="6" t="str" cm="1">
        <f t="array" ref="J950">_xlfn.TEXTJOIN(", ",TRUE,_xlfn.UNIQUE(_xlfn._xlws.FILTER(ARQUIVOS_RECEBIDOS!$F$2:$F$5010,ARQUIVOS_RECEBIDOS!$E$2:$E$5010=LD_01[[#This Row],[DOCUMENTO]])))</f>
        <v>R01, R02</v>
      </c>
      <c r="K950" s="12" cm="1">
        <f t="array" ref="K950">_xlfn.UNIQUE(_xlfn._xlws.FILTER(ARQUIVOS[DATA RECEBIMENTO],(ARQUIVOS[DOCUMENTO]=LD_01[[#This Row],[DOCUMENTO]])*(ARQUIVOS[REVISÃO]=LD_01[[#This Row],[REVISÃO]])))</f>
        <v>45859</v>
      </c>
      <c r="L9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M950" s="6" t="str">
        <f>LD_01[[#This Row],[PASTA]]&amp;"/"&amp;LD_01[[#This Row],[ARQUIVO]]</f>
        <v>MSV-163MS-638-NORTE/28.PV/MSV-163MS-638+600-EDI-EXE-DE-I2-003-R02.pdf</v>
      </c>
    </row>
    <row r="951" spans="1:13" hidden="1" x14ac:dyDescent="0.3">
      <c r="A951" s="6" t="s">
        <v>3750</v>
      </c>
      <c r="B951" s="6" t="str">
        <f>VLOOKUP(LD_01[[#This Row],[DOCUMENTO]],_xlfn.SORTBY(ARQUIVOS_RECEBIDOS!$E$2:$F$5010,ARQUIVOS_RECEBIDOS!$F$2:$F$5010,-1),2,)</f>
        <v>R02</v>
      </c>
      <c r="C951" s="15" t="s">
        <v>5987</v>
      </c>
      <c r="D951" s="6" t="s">
        <v>4320</v>
      </c>
      <c r="E951" s="8" t="s">
        <v>4964</v>
      </c>
      <c r="F951" s="8" t="s">
        <v>4143</v>
      </c>
      <c r="G951" s="6" t="str">
        <f>_xlfn.XLOOKUP(LD_01[[#This Row],[DISCIPLINA]],'CLASSES DE PROJETOS'!$F$3:$F$37,'CLASSES DE PROJETOS'!$C$3:$C$37)</f>
        <v>PV</v>
      </c>
      <c r="H951" t="str">
        <f>_xlfn.TEXTJOIN("/",TRUE,"MSV-163MS-"&amp;LD_01[[#This Row],[TRECHO]],_xlfn.XLOOKUP(LD_01[[#This Row],[SIGLA]],'CLASSES DE PROJETOS'!$C$3:$C$37,'CLASSES DE PROJETOS'!$E$3:$E$37))</f>
        <v>MSV-163MS-638-NORTE/28.PV</v>
      </c>
      <c r="I951" s="6" t="str" cm="1">
        <f t="array" ref="I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J951" s="6" t="str" cm="1">
        <f t="array" ref="J951">_xlfn.TEXTJOIN(", ",TRUE,_xlfn.UNIQUE(_xlfn._xlws.FILTER(ARQUIVOS_RECEBIDOS!$F$2:$F$5010,ARQUIVOS_RECEBIDOS!$E$2:$E$5010=LD_01[[#This Row],[DOCUMENTO]])))</f>
        <v>R01, R02</v>
      </c>
      <c r="K951" s="12" cm="1">
        <f t="array" ref="K951">_xlfn.UNIQUE(_xlfn._xlws.FILTER(ARQUIVOS[DATA RECEBIMENTO],(ARQUIVOS[DOCUMENTO]=LD_01[[#This Row],[DOCUMENTO]])*(ARQUIVOS[REVISÃO]=LD_01[[#This Row],[REVISÃO]])))</f>
        <v>45859</v>
      </c>
      <c r="L9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M951" s="6" t="str">
        <f>LD_01[[#This Row],[PASTA]]&amp;"/"&amp;LD_01[[#This Row],[ARQUIVO]]</f>
        <v>MSV-163MS-638-NORTE/28.PV/MSV-163MS-638+600-EDI-EXE-DE-I2-004-R02.pdf</v>
      </c>
    </row>
    <row r="952" spans="1:13" hidden="1" x14ac:dyDescent="0.3">
      <c r="A952" s="6" t="s">
        <v>3732</v>
      </c>
      <c r="B952" s="6" t="str">
        <f>VLOOKUP(LD_01[[#This Row],[DOCUMENTO]],_xlfn.SORTBY(ARQUIVOS_RECEBIDOS!$E$2:$F$5010,ARQUIVOS_RECEBIDOS!$F$2:$F$5010,-1),2,)</f>
        <v>R04</v>
      </c>
      <c r="C952" s="15" t="s">
        <v>5987</v>
      </c>
      <c r="D952" s="6" t="s">
        <v>4320</v>
      </c>
      <c r="E952" s="8" t="s">
        <v>4087</v>
      </c>
      <c r="F952" s="8" t="s">
        <v>4331</v>
      </c>
      <c r="G952" s="6" t="str">
        <f>_xlfn.XLOOKUP(LD_01[[#This Row],[DISCIPLINA]],'CLASSES DE PROJETOS'!$F$3:$F$37,'CLASSES DE PROJETOS'!$C$3:$C$37)</f>
        <v>SI</v>
      </c>
      <c r="H952" t="str">
        <f>_xlfn.TEXTJOIN("/",TRUE,"MSV-163MS-"&amp;LD_01[[#This Row],[TRECHO]],_xlfn.XLOOKUP(LD_01[[#This Row],[SIGLA]],'CLASSES DE PROJETOS'!$C$3:$C$37,'CLASSES DE PROJETOS'!$E$3:$E$37))</f>
        <v>MSV-163MS-638-NORTE/31.SI</v>
      </c>
      <c r="I952" s="6" t="str" cm="1">
        <f t="array" ref="I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J952" s="6" t="str" cm="1">
        <f t="array" ref="J952">_xlfn.TEXTJOIN(", ",TRUE,_xlfn.UNIQUE(_xlfn._xlws.FILTER(ARQUIVOS_RECEBIDOS!$F$2:$F$5010,ARQUIVOS_RECEBIDOS!$E$2:$E$5010=LD_01[[#This Row],[DOCUMENTO]])))</f>
        <v>R02, R03, R04</v>
      </c>
      <c r="K952" s="12" cm="1">
        <f t="array" ref="K952">_xlfn.UNIQUE(_xlfn._xlws.FILTER(ARQUIVOS[DATA RECEBIMENTO],(ARQUIVOS[DOCUMENTO]=LD_01[[#This Row],[DOCUMENTO]])*(ARQUIVOS[REVISÃO]=LD_01[[#This Row],[REVISÃO]])))</f>
        <v>45931</v>
      </c>
      <c r="L9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M952" s="6" t="str">
        <f>LD_01[[#This Row],[PASTA]]&amp;"/"&amp;LD_01[[#This Row],[ARQUIVO]]</f>
        <v>MSV-163MS-638-NORTE/31.SI/MSV-163MS-638+600-EDI-EXE-DE-J1-001-R04.pdf</v>
      </c>
    </row>
    <row r="953" spans="1:13" hidden="1" x14ac:dyDescent="0.3">
      <c r="A953" s="6" t="s">
        <v>3733</v>
      </c>
      <c r="B953" s="6" t="str">
        <f>VLOOKUP(LD_01[[#This Row],[DOCUMENTO]],_xlfn.SORTBY(ARQUIVOS_RECEBIDOS!$E$2:$F$5010,ARQUIVOS_RECEBIDOS!$F$2:$F$5010,-1),2,)</f>
        <v>R04</v>
      </c>
      <c r="C953" s="15" t="s">
        <v>5987</v>
      </c>
      <c r="D953" s="6" t="s">
        <v>4320</v>
      </c>
      <c r="E953" s="8" t="s">
        <v>4087</v>
      </c>
      <c r="F953" s="8" t="s">
        <v>4331</v>
      </c>
      <c r="G953" s="6" t="str">
        <f>_xlfn.XLOOKUP(LD_01[[#This Row],[DISCIPLINA]],'CLASSES DE PROJETOS'!$F$3:$F$37,'CLASSES DE PROJETOS'!$C$3:$C$37)</f>
        <v>SI</v>
      </c>
      <c r="H953" t="str">
        <f>_xlfn.TEXTJOIN("/",TRUE,"MSV-163MS-"&amp;LD_01[[#This Row],[TRECHO]],_xlfn.XLOOKUP(LD_01[[#This Row],[SIGLA]],'CLASSES DE PROJETOS'!$C$3:$C$37,'CLASSES DE PROJETOS'!$E$3:$E$37))</f>
        <v>MSV-163MS-638-NORTE/31.SI</v>
      </c>
      <c r="I953" s="6" t="str" cm="1">
        <f t="array" ref="I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J953" s="6" t="str" cm="1">
        <f t="array" ref="J953">_xlfn.TEXTJOIN(", ",TRUE,_xlfn.UNIQUE(_xlfn._xlws.FILTER(ARQUIVOS_RECEBIDOS!$F$2:$F$5010,ARQUIVOS_RECEBIDOS!$E$2:$E$5010=LD_01[[#This Row],[DOCUMENTO]])))</f>
        <v>R02, R03, R04</v>
      </c>
      <c r="K953" s="12" cm="1">
        <f t="array" ref="K953">_xlfn.UNIQUE(_xlfn._xlws.FILTER(ARQUIVOS[DATA RECEBIMENTO],(ARQUIVOS[DOCUMENTO]=LD_01[[#This Row],[DOCUMENTO]])*(ARQUIVOS[REVISÃO]=LD_01[[#This Row],[REVISÃO]])))</f>
        <v>45931</v>
      </c>
      <c r="L9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M953" s="6" t="str">
        <f>LD_01[[#This Row],[PASTA]]&amp;"/"&amp;LD_01[[#This Row],[ARQUIVO]]</f>
        <v>MSV-163MS-638-NORTE/31.SI/MSV-163MS-638+600-EDI-EXE-DE-J1-002-R04.pdf</v>
      </c>
    </row>
    <row r="954" spans="1:13" hidden="1" x14ac:dyDescent="0.3">
      <c r="A954" s="6" t="s">
        <v>3734</v>
      </c>
      <c r="B954" s="6" t="str">
        <f>VLOOKUP(LD_01[[#This Row],[DOCUMENTO]],_xlfn.SORTBY(ARQUIVOS_RECEBIDOS!$E$2:$F$5010,ARQUIVOS_RECEBIDOS!$F$2:$F$5010,-1),2,)</f>
        <v>R01</v>
      </c>
      <c r="C954" s="15" t="s">
        <v>5987</v>
      </c>
      <c r="D954" s="6" t="s">
        <v>4320</v>
      </c>
      <c r="E954" s="8" t="s">
        <v>5009</v>
      </c>
      <c r="F954" s="8" t="s">
        <v>4331</v>
      </c>
      <c r="G954" s="6" t="str">
        <f>_xlfn.XLOOKUP(LD_01[[#This Row],[DISCIPLINA]],'CLASSES DE PROJETOS'!$F$3:$F$37,'CLASSES DE PROJETOS'!$C$3:$C$37)</f>
        <v>SI</v>
      </c>
      <c r="H954" t="str">
        <f>_xlfn.TEXTJOIN("/",TRUE,"MSV-163MS-"&amp;LD_01[[#This Row],[TRECHO]],_xlfn.XLOOKUP(LD_01[[#This Row],[SIGLA]],'CLASSES DE PROJETOS'!$C$3:$C$37,'CLASSES DE PROJETOS'!$E$3:$E$37))</f>
        <v>MSV-163MS-638-NORTE/31.SI</v>
      </c>
      <c r="I954" s="6" t="str" cm="1">
        <f t="array" ref="I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J954" s="6" t="str" cm="1">
        <f t="array" ref="J954">_xlfn.TEXTJOIN(", ",TRUE,_xlfn.UNIQUE(_xlfn._xlws.FILTER(ARQUIVOS_RECEBIDOS!$F$2:$F$5010,ARQUIVOS_RECEBIDOS!$E$2:$E$5010=LD_01[[#This Row],[DOCUMENTO]])))</f>
        <v>R01</v>
      </c>
      <c r="K954" s="12" cm="1">
        <f t="array" ref="K954">_xlfn.UNIQUE(_xlfn._xlws.FILTER(ARQUIVOS[DATA RECEBIMENTO],(ARQUIVOS[DOCUMENTO]=LD_01[[#This Row],[DOCUMENTO]])*(ARQUIVOS[REVISÃO]=LD_01[[#This Row],[REVISÃO]])))</f>
        <v>45838</v>
      </c>
      <c r="L9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M954" s="6" t="str">
        <f>LD_01[[#This Row],[PASTA]]&amp;"/"&amp;LD_01[[#This Row],[ARQUIVO]]</f>
        <v>MSV-163MS-638-NORTE/31.SI/MSV-163MS-638+600-EDI-EXE-DE-J1-003-R01.pdf</v>
      </c>
    </row>
    <row r="955" spans="1:13" hidden="1" x14ac:dyDescent="0.3">
      <c r="A955" s="6" t="s">
        <v>3735</v>
      </c>
      <c r="B955" s="6" t="str">
        <f>VLOOKUP(LD_01[[#This Row],[DOCUMENTO]],_xlfn.SORTBY(ARQUIVOS_RECEBIDOS!$E$2:$F$5010,ARQUIVOS_RECEBIDOS!$F$2:$F$5010,-1),2,)</f>
        <v>R01</v>
      </c>
      <c r="C955" s="15" t="s">
        <v>5987</v>
      </c>
      <c r="D955" s="6" t="s">
        <v>4320</v>
      </c>
      <c r="E955" s="8" t="s">
        <v>5009</v>
      </c>
      <c r="F955" s="8" t="s">
        <v>4331</v>
      </c>
      <c r="G955" s="6" t="str">
        <f>_xlfn.XLOOKUP(LD_01[[#This Row],[DISCIPLINA]],'CLASSES DE PROJETOS'!$F$3:$F$37,'CLASSES DE PROJETOS'!$C$3:$C$37)</f>
        <v>SI</v>
      </c>
      <c r="H955" t="str">
        <f>_xlfn.TEXTJOIN("/",TRUE,"MSV-163MS-"&amp;LD_01[[#This Row],[TRECHO]],_xlfn.XLOOKUP(LD_01[[#This Row],[SIGLA]],'CLASSES DE PROJETOS'!$C$3:$C$37,'CLASSES DE PROJETOS'!$E$3:$E$37))</f>
        <v>MSV-163MS-638-NORTE/31.SI</v>
      </c>
      <c r="I955" s="6" t="str" cm="1">
        <f t="array" ref="I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J955" s="6" t="str" cm="1">
        <f t="array" ref="J955">_xlfn.TEXTJOIN(", ",TRUE,_xlfn.UNIQUE(_xlfn._xlws.FILTER(ARQUIVOS_RECEBIDOS!$F$2:$F$5010,ARQUIVOS_RECEBIDOS!$E$2:$E$5010=LD_01[[#This Row],[DOCUMENTO]])))</f>
        <v>R01</v>
      </c>
      <c r="K955" s="12" cm="1">
        <f t="array" ref="K955">_xlfn.UNIQUE(_xlfn._xlws.FILTER(ARQUIVOS[DATA RECEBIMENTO],(ARQUIVOS[DOCUMENTO]=LD_01[[#This Row],[DOCUMENTO]])*(ARQUIVOS[REVISÃO]=LD_01[[#This Row],[REVISÃO]])))</f>
        <v>45838</v>
      </c>
      <c r="L9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M955" s="6" t="str">
        <f>LD_01[[#This Row],[PASTA]]&amp;"/"&amp;LD_01[[#This Row],[ARQUIVO]]</f>
        <v>MSV-163MS-638-NORTE/31.SI/MSV-163MS-638+600-EDI-EXE-DE-J1-004-R01.pdf</v>
      </c>
    </row>
    <row r="956" spans="1:13" hidden="1" x14ac:dyDescent="0.3">
      <c r="A956" s="6" t="s">
        <v>3736</v>
      </c>
      <c r="B956" s="6" t="str">
        <f>VLOOKUP(LD_01[[#This Row],[DOCUMENTO]],_xlfn.SORTBY(ARQUIVOS_RECEBIDOS!$E$2:$F$5010,ARQUIVOS_RECEBIDOS!$F$2:$F$5010,-1),2,)</f>
        <v>R01</v>
      </c>
      <c r="C956" s="15" t="s">
        <v>5987</v>
      </c>
      <c r="D956" s="6" t="s">
        <v>4320</v>
      </c>
      <c r="E956" s="8" t="s">
        <v>5023</v>
      </c>
      <c r="F956" s="8" t="s">
        <v>4331</v>
      </c>
      <c r="G956" s="6" t="str">
        <f>_xlfn.XLOOKUP(LD_01[[#This Row],[DISCIPLINA]],'CLASSES DE PROJETOS'!$F$3:$F$37,'CLASSES DE PROJETOS'!$C$3:$C$37)</f>
        <v>SI</v>
      </c>
      <c r="H956" t="str">
        <f>_xlfn.TEXTJOIN("/",TRUE,"MSV-163MS-"&amp;LD_01[[#This Row],[TRECHO]],_xlfn.XLOOKUP(LD_01[[#This Row],[SIGLA]],'CLASSES DE PROJETOS'!$C$3:$C$37,'CLASSES DE PROJETOS'!$E$3:$E$37))</f>
        <v>MSV-163MS-638-NORTE/31.SI</v>
      </c>
      <c r="I956" s="6" t="str" cm="1">
        <f t="array" ref="I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J956" s="6" t="str" cm="1">
        <f t="array" ref="J956">_xlfn.TEXTJOIN(", ",TRUE,_xlfn.UNIQUE(_xlfn._xlws.FILTER(ARQUIVOS_RECEBIDOS!$F$2:$F$5010,ARQUIVOS_RECEBIDOS!$E$2:$E$5010=LD_01[[#This Row],[DOCUMENTO]])))</f>
        <v>R01</v>
      </c>
      <c r="K956" s="12" cm="1">
        <f t="array" ref="K956">_xlfn.UNIQUE(_xlfn._xlws.FILTER(ARQUIVOS[DATA RECEBIMENTO],(ARQUIVOS[DOCUMENTO]=LD_01[[#This Row],[DOCUMENTO]])*(ARQUIVOS[REVISÃO]=LD_01[[#This Row],[REVISÃO]])))</f>
        <v>45838</v>
      </c>
      <c r="L9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M956" s="6" t="str">
        <f>LD_01[[#This Row],[PASTA]]&amp;"/"&amp;LD_01[[#This Row],[ARQUIVO]]</f>
        <v>MSV-163MS-638-NORTE/31.SI/MSV-163MS-638+600-EDI-EXE-DE-J1-005-R01.pdf</v>
      </c>
    </row>
    <row r="957" spans="1:13" hidden="1" x14ac:dyDescent="0.3">
      <c r="A957" s="6" t="s">
        <v>3737</v>
      </c>
      <c r="B957" s="6" t="str">
        <f>VLOOKUP(LD_01[[#This Row],[DOCUMENTO]],_xlfn.SORTBY(ARQUIVOS_RECEBIDOS!$E$2:$F$5010,ARQUIVOS_RECEBIDOS!$F$2:$F$5010,-1),2,)</f>
        <v>R02</v>
      </c>
      <c r="C957" s="15" t="s">
        <v>5987</v>
      </c>
      <c r="D957" s="6" t="s">
        <v>4320</v>
      </c>
      <c r="E957" s="8" t="s">
        <v>5011</v>
      </c>
      <c r="F957" s="8" t="s">
        <v>4331</v>
      </c>
      <c r="G957" s="6" t="str">
        <f>_xlfn.XLOOKUP(LD_01[[#This Row],[DISCIPLINA]],'CLASSES DE PROJETOS'!$F$3:$F$37,'CLASSES DE PROJETOS'!$C$3:$C$37)</f>
        <v>SI</v>
      </c>
      <c r="H957" t="str">
        <f>_xlfn.TEXTJOIN("/",TRUE,"MSV-163MS-"&amp;LD_01[[#This Row],[TRECHO]],_xlfn.XLOOKUP(LD_01[[#This Row],[SIGLA]],'CLASSES DE PROJETOS'!$C$3:$C$37,'CLASSES DE PROJETOS'!$E$3:$E$37))</f>
        <v>MSV-163MS-638-NORTE/31.SI</v>
      </c>
      <c r="I957" s="6" t="str" cm="1">
        <f t="array" ref="I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J957" s="6" t="str" cm="1">
        <f t="array" ref="J957">_xlfn.TEXTJOIN(", ",TRUE,_xlfn.UNIQUE(_xlfn._xlws.FILTER(ARQUIVOS_RECEBIDOS!$F$2:$F$5010,ARQUIVOS_RECEBIDOS!$E$2:$E$5010=LD_01[[#This Row],[DOCUMENTO]])))</f>
        <v>R01, R02</v>
      </c>
      <c r="K957" s="12" cm="1">
        <f t="array" ref="K957">_xlfn.UNIQUE(_xlfn._xlws.FILTER(ARQUIVOS[DATA RECEBIMENTO],(ARQUIVOS[DOCUMENTO]=LD_01[[#This Row],[DOCUMENTO]])*(ARQUIVOS[REVISÃO]=LD_01[[#This Row],[REVISÃO]])))</f>
        <v>45859</v>
      </c>
      <c r="L9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M957" s="6" t="str">
        <f>LD_01[[#This Row],[PASTA]]&amp;"/"&amp;LD_01[[#This Row],[ARQUIVO]]</f>
        <v>MSV-163MS-638-NORTE/31.SI/MSV-163MS-638+600-EDI-EXE-DE-J1-006-R02.pdf</v>
      </c>
    </row>
    <row r="958" spans="1:13" hidden="1" x14ac:dyDescent="0.3">
      <c r="A958" s="6" t="s">
        <v>3738</v>
      </c>
      <c r="B958" s="6" t="str">
        <f>VLOOKUP(LD_01[[#This Row],[DOCUMENTO]],_xlfn.SORTBY(ARQUIVOS_RECEBIDOS!$E$2:$F$5010,ARQUIVOS_RECEBIDOS!$F$2:$F$5010,-1),2,)</f>
        <v>R01</v>
      </c>
      <c r="C958" s="15" t="s">
        <v>5987</v>
      </c>
      <c r="D958" s="6" t="s">
        <v>4320</v>
      </c>
      <c r="E958" s="8" t="s">
        <v>5011</v>
      </c>
      <c r="F958" s="8" t="s">
        <v>4331</v>
      </c>
      <c r="G958" s="6" t="str">
        <f>_xlfn.XLOOKUP(LD_01[[#This Row],[DISCIPLINA]],'CLASSES DE PROJETOS'!$F$3:$F$37,'CLASSES DE PROJETOS'!$C$3:$C$37)</f>
        <v>SI</v>
      </c>
      <c r="H958" t="str">
        <f>_xlfn.TEXTJOIN("/",TRUE,"MSV-163MS-"&amp;LD_01[[#This Row],[TRECHO]],_xlfn.XLOOKUP(LD_01[[#This Row],[SIGLA]],'CLASSES DE PROJETOS'!$C$3:$C$37,'CLASSES DE PROJETOS'!$E$3:$E$37))</f>
        <v>MSV-163MS-638-NORTE/31.SI</v>
      </c>
      <c r="I958" s="6" t="str" cm="1">
        <f t="array" ref="I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J958" s="6" t="str" cm="1">
        <f t="array" ref="J958">_xlfn.TEXTJOIN(", ",TRUE,_xlfn.UNIQUE(_xlfn._xlws.FILTER(ARQUIVOS_RECEBIDOS!$F$2:$F$5010,ARQUIVOS_RECEBIDOS!$E$2:$E$5010=LD_01[[#This Row],[DOCUMENTO]])))</f>
        <v>R01</v>
      </c>
      <c r="K958" s="12" cm="1">
        <f t="array" ref="K958">_xlfn.UNIQUE(_xlfn._xlws.FILTER(ARQUIVOS[DATA RECEBIMENTO],(ARQUIVOS[DOCUMENTO]=LD_01[[#This Row],[DOCUMENTO]])*(ARQUIVOS[REVISÃO]=LD_01[[#This Row],[REVISÃO]])))</f>
        <v>45838</v>
      </c>
      <c r="L9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M958" s="6" t="str">
        <f>LD_01[[#This Row],[PASTA]]&amp;"/"&amp;LD_01[[#This Row],[ARQUIVO]]</f>
        <v>MSV-163MS-638-NORTE/31.SI/MSV-163MS-638+600-EDI-EXE-DE-J1-007-R01.pdf</v>
      </c>
    </row>
    <row r="959" spans="1:13" hidden="1" x14ac:dyDescent="0.3">
      <c r="A959" s="6" t="s">
        <v>3739</v>
      </c>
      <c r="B959" s="6" t="str">
        <f>VLOOKUP(LD_01[[#This Row],[DOCUMENTO]],_xlfn.SORTBY(ARQUIVOS_RECEBIDOS!$E$2:$F$5010,ARQUIVOS_RECEBIDOS!$F$2:$F$5010,-1),2,)</f>
        <v>R02</v>
      </c>
      <c r="C959" s="15" t="s">
        <v>5987</v>
      </c>
      <c r="D959" s="6" t="s">
        <v>4320</v>
      </c>
      <c r="E959" s="8" t="s">
        <v>5011</v>
      </c>
      <c r="F959" s="8" t="s">
        <v>4331</v>
      </c>
      <c r="G959" s="6" t="str">
        <f>_xlfn.XLOOKUP(LD_01[[#This Row],[DISCIPLINA]],'CLASSES DE PROJETOS'!$F$3:$F$37,'CLASSES DE PROJETOS'!$C$3:$C$37)</f>
        <v>SI</v>
      </c>
      <c r="H959" t="str">
        <f>_xlfn.TEXTJOIN("/",TRUE,"MSV-163MS-"&amp;LD_01[[#This Row],[TRECHO]],_xlfn.XLOOKUP(LD_01[[#This Row],[SIGLA]],'CLASSES DE PROJETOS'!$C$3:$C$37,'CLASSES DE PROJETOS'!$E$3:$E$37))</f>
        <v>MSV-163MS-638-NORTE/31.SI</v>
      </c>
      <c r="I959" s="6" t="str" cm="1">
        <f t="array" ref="I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J959" s="6" t="str" cm="1">
        <f t="array" ref="J959">_xlfn.TEXTJOIN(", ",TRUE,_xlfn.UNIQUE(_xlfn._xlws.FILTER(ARQUIVOS_RECEBIDOS!$F$2:$F$5010,ARQUIVOS_RECEBIDOS!$E$2:$E$5010=LD_01[[#This Row],[DOCUMENTO]])))</f>
        <v>R01, R02</v>
      </c>
      <c r="K959" s="12" cm="1">
        <f t="array" ref="K959">_xlfn.UNIQUE(_xlfn._xlws.FILTER(ARQUIVOS[DATA RECEBIMENTO],(ARQUIVOS[DOCUMENTO]=LD_01[[#This Row],[DOCUMENTO]])*(ARQUIVOS[REVISÃO]=LD_01[[#This Row],[REVISÃO]])))</f>
        <v>45859</v>
      </c>
      <c r="L9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M959" s="6" t="str">
        <f>LD_01[[#This Row],[PASTA]]&amp;"/"&amp;LD_01[[#This Row],[ARQUIVO]]</f>
        <v>MSV-163MS-638-NORTE/31.SI/MSV-163MS-638+600-EDI-EXE-DE-J1-008-R02.pdf</v>
      </c>
    </row>
    <row r="960" spans="1:13" hidden="1" x14ac:dyDescent="0.3">
      <c r="A960" s="6" t="s">
        <v>3740</v>
      </c>
      <c r="B960" s="6" t="str">
        <f>VLOOKUP(LD_01[[#This Row],[DOCUMENTO]],_xlfn.SORTBY(ARQUIVOS_RECEBIDOS!$E$2:$F$5010,ARQUIVOS_RECEBIDOS!$F$2:$F$5010,-1),2,)</f>
        <v>R01</v>
      </c>
      <c r="C960" s="15" t="s">
        <v>5987</v>
      </c>
      <c r="D960" s="6" t="s">
        <v>4320</v>
      </c>
      <c r="E960" s="8" t="s">
        <v>5011</v>
      </c>
      <c r="F960" s="8" t="s">
        <v>4331</v>
      </c>
      <c r="G960" s="6" t="str">
        <f>_xlfn.XLOOKUP(LD_01[[#This Row],[DISCIPLINA]],'CLASSES DE PROJETOS'!$F$3:$F$37,'CLASSES DE PROJETOS'!$C$3:$C$37)</f>
        <v>SI</v>
      </c>
      <c r="H960" t="str">
        <f>_xlfn.TEXTJOIN("/",TRUE,"MSV-163MS-"&amp;LD_01[[#This Row],[TRECHO]],_xlfn.XLOOKUP(LD_01[[#This Row],[SIGLA]],'CLASSES DE PROJETOS'!$C$3:$C$37,'CLASSES DE PROJETOS'!$E$3:$E$37))</f>
        <v>MSV-163MS-638-NORTE/31.SI</v>
      </c>
      <c r="I960" s="6" t="str" cm="1">
        <f t="array" ref="I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J960" s="6" t="str" cm="1">
        <f t="array" ref="J960">_xlfn.TEXTJOIN(", ",TRUE,_xlfn.UNIQUE(_xlfn._xlws.FILTER(ARQUIVOS_RECEBIDOS!$F$2:$F$5010,ARQUIVOS_RECEBIDOS!$E$2:$E$5010=LD_01[[#This Row],[DOCUMENTO]])))</f>
        <v>R01</v>
      </c>
      <c r="K960" s="12" cm="1">
        <f t="array" ref="K960">_xlfn.UNIQUE(_xlfn._xlws.FILTER(ARQUIVOS[DATA RECEBIMENTO],(ARQUIVOS[DOCUMENTO]=LD_01[[#This Row],[DOCUMENTO]])*(ARQUIVOS[REVISÃO]=LD_01[[#This Row],[REVISÃO]])))</f>
        <v>45838</v>
      </c>
      <c r="L9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M960" s="6" t="str">
        <f>LD_01[[#This Row],[PASTA]]&amp;"/"&amp;LD_01[[#This Row],[ARQUIVO]]</f>
        <v>MSV-163MS-638-NORTE/31.SI/MSV-163MS-638+600-EDI-EXE-DE-J1-009-R01.pdf</v>
      </c>
    </row>
    <row r="961" spans="1:13" hidden="1" x14ac:dyDescent="0.3">
      <c r="A961" s="6" t="s">
        <v>3741</v>
      </c>
      <c r="B961" s="6" t="str">
        <f>VLOOKUP(LD_01[[#This Row],[DOCUMENTO]],_xlfn.SORTBY(ARQUIVOS_RECEBIDOS!$E$2:$F$5010,ARQUIVOS_RECEBIDOS!$F$2:$F$5010,-1),2,)</f>
        <v>R01</v>
      </c>
      <c r="C961" s="15" t="s">
        <v>5987</v>
      </c>
      <c r="D961" s="6" t="s">
        <v>4320</v>
      </c>
      <c r="E961" s="8" t="s">
        <v>5024</v>
      </c>
      <c r="F961" s="8" t="s">
        <v>4331</v>
      </c>
      <c r="G961" s="6" t="str">
        <f>_xlfn.XLOOKUP(LD_01[[#This Row],[DISCIPLINA]],'CLASSES DE PROJETOS'!$F$3:$F$37,'CLASSES DE PROJETOS'!$C$3:$C$37)</f>
        <v>SI</v>
      </c>
      <c r="H961" t="str">
        <f>_xlfn.TEXTJOIN("/",TRUE,"MSV-163MS-"&amp;LD_01[[#This Row],[TRECHO]],_xlfn.XLOOKUP(LD_01[[#This Row],[SIGLA]],'CLASSES DE PROJETOS'!$C$3:$C$37,'CLASSES DE PROJETOS'!$E$3:$E$37))</f>
        <v>MSV-163MS-638-NORTE/31.SI</v>
      </c>
      <c r="I961" s="6" t="str" cm="1">
        <f t="array" ref="I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J961" s="6" t="str" cm="1">
        <f t="array" ref="J961">_xlfn.TEXTJOIN(", ",TRUE,_xlfn.UNIQUE(_xlfn._xlws.FILTER(ARQUIVOS_RECEBIDOS!$F$2:$F$5010,ARQUIVOS_RECEBIDOS!$E$2:$E$5010=LD_01[[#This Row],[DOCUMENTO]])))</f>
        <v>R01</v>
      </c>
      <c r="K961" s="12" cm="1">
        <f t="array" ref="K961">_xlfn.UNIQUE(_xlfn._xlws.FILTER(ARQUIVOS[DATA RECEBIMENTO],(ARQUIVOS[DOCUMENTO]=LD_01[[#This Row],[DOCUMENTO]])*(ARQUIVOS[REVISÃO]=LD_01[[#This Row],[REVISÃO]])))</f>
        <v>45838</v>
      </c>
      <c r="L9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M961" s="6" t="str">
        <f>LD_01[[#This Row],[PASTA]]&amp;"/"&amp;LD_01[[#This Row],[ARQUIVO]]</f>
        <v>MSV-163MS-638-NORTE/31.SI/MSV-163MS-638+600-EDI-EXE-DE-J1-010-R01.pdf</v>
      </c>
    </row>
    <row r="962" spans="1:13" hidden="1" x14ac:dyDescent="0.3">
      <c r="A962" s="6" t="s">
        <v>3742</v>
      </c>
      <c r="B962" s="6" t="str">
        <f>VLOOKUP(LD_01[[#This Row],[DOCUMENTO]],_xlfn.SORTBY(ARQUIVOS_RECEBIDOS!$E$2:$F$5010,ARQUIVOS_RECEBIDOS!$F$2:$F$5010,-1),2,)</f>
        <v>R00</v>
      </c>
      <c r="C962" s="15" t="s">
        <v>5987</v>
      </c>
      <c r="D962" s="6" t="s">
        <v>4320</v>
      </c>
      <c r="E962" s="8" t="s">
        <v>5024</v>
      </c>
      <c r="F962" s="8" t="s">
        <v>4331</v>
      </c>
      <c r="G962" s="6" t="str">
        <f>_xlfn.XLOOKUP(LD_01[[#This Row],[DISCIPLINA]],'CLASSES DE PROJETOS'!$F$3:$F$37,'CLASSES DE PROJETOS'!$C$3:$C$37)</f>
        <v>SI</v>
      </c>
      <c r="H962" t="str">
        <f>_xlfn.TEXTJOIN("/",TRUE,"MSV-163MS-"&amp;LD_01[[#This Row],[TRECHO]],_xlfn.XLOOKUP(LD_01[[#This Row],[SIGLA]],'CLASSES DE PROJETOS'!$C$3:$C$37,'CLASSES DE PROJETOS'!$E$3:$E$37))</f>
        <v>MSV-163MS-638-NORTE/31.SI</v>
      </c>
      <c r="I962" s="6" t="str" cm="1">
        <f t="array" ref="I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J962" s="6" t="str" cm="1">
        <f t="array" ref="J962">_xlfn.TEXTJOIN(", ",TRUE,_xlfn.UNIQUE(_xlfn._xlws.FILTER(ARQUIVOS_RECEBIDOS!$F$2:$F$5010,ARQUIVOS_RECEBIDOS!$E$2:$E$5010=LD_01[[#This Row],[DOCUMENTO]])))</f>
        <v>R00</v>
      </c>
      <c r="K962" s="12" cm="1">
        <f t="array" ref="K962">_xlfn.UNIQUE(_xlfn._xlws.FILTER(ARQUIVOS[DATA RECEBIMENTO],(ARQUIVOS[DOCUMENTO]=LD_01[[#This Row],[DOCUMENTO]])*(ARQUIVOS[REVISÃO]=LD_01[[#This Row],[REVISÃO]])))</f>
        <v>45838</v>
      </c>
      <c r="L9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M962" s="6" t="str">
        <f>LD_01[[#This Row],[PASTA]]&amp;"/"&amp;LD_01[[#This Row],[ARQUIVO]]</f>
        <v>MSV-163MS-638-NORTE/31.SI/MSV-163MS-638+600-EDI-EXE-DE-J1-011-R00.pdf</v>
      </c>
    </row>
    <row r="963" spans="1:13" hidden="1" x14ac:dyDescent="0.3">
      <c r="A963" s="6" t="s">
        <v>3743</v>
      </c>
      <c r="B963" s="6" t="str">
        <f>VLOOKUP(LD_01[[#This Row],[DOCUMENTO]],_xlfn.SORTBY(ARQUIVOS_RECEBIDOS!$E$2:$F$5010,ARQUIVOS_RECEBIDOS!$F$2:$F$5010,-1),2,)</f>
        <v>R00</v>
      </c>
      <c r="C963" s="15" t="s">
        <v>5987</v>
      </c>
      <c r="D963" s="6" t="s">
        <v>4320</v>
      </c>
      <c r="E963" s="8" t="s">
        <v>5024</v>
      </c>
      <c r="F963" s="8" t="s">
        <v>4331</v>
      </c>
      <c r="G963" s="6" t="str">
        <f>_xlfn.XLOOKUP(LD_01[[#This Row],[DISCIPLINA]],'CLASSES DE PROJETOS'!$F$3:$F$37,'CLASSES DE PROJETOS'!$C$3:$C$37)</f>
        <v>SI</v>
      </c>
      <c r="H963" t="str">
        <f>_xlfn.TEXTJOIN("/",TRUE,"MSV-163MS-"&amp;LD_01[[#This Row],[TRECHO]],_xlfn.XLOOKUP(LD_01[[#This Row],[SIGLA]],'CLASSES DE PROJETOS'!$C$3:$C$37,'CLASSES DE PROJETOS'!$E$3:$E$37))</f>
        <v>MSV-163MS-638-NORTE/31.SI</v>
      </c>
      <c r="I963" s="6" t="str" cm="1">
        <f t="array" ref="I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J963" s="6" t="str" cm="1">
        <f t="array" ref="J963">_xlfn.TEXTJOIN(", ",TRUE,_xlfn.UNIQUE(_xlfn._xlws.FILTER(ARQUIVOS_RECEBIDOS!$F$2:$F$5010,ARQUIVOS_RECEBIDOS!$E$2:$E$5010=LD_01[[#This Row],[DOCUMENTO]])))</f>
        <v>R00</v>
      </c>
      <c r="K963" s="12" cm="1">
        <f t="array" ref="K963">_xlfn.UNIQUE(_xlfn._xlws.FILTER(ARQUIVOS[DATA RECEBIMENTO],(ARQUIVOS[DOCUMENTO]=LD_01[[#This Row],[DOCUMENTO]])*(ARQUIVOS[REVISÃO]=LD_01[[#This Row],[REVISÃO]])))</f>
        <v>45838</v>
      </c>
      <c r="L9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M963" s="6" t="str">
        <f>LD_01[[#This Row],[PASTA]]&amp;"/"&amp;LD_01[[#This Row],[ARQUIVO]]</f>
        <v>MSV-163MS-638-NORTE/31.SI/MSV-163MS-638+600-EDI-EXE-DE-J1-012-R00.pdf</v>
      </c>
    </row>
    <row r="964" spans="1:13" hidden="1" x14ac:dyDescent="0.3">
      <c r="A964" s="6" t="s">
        <v>3744</v>
      </c>
      <c r="B964" s="6" t="str">
        <f>VLOOKUP(LD_01[[#This Row],[DOCUMENTO]],_xlfn.SORTBY(ARQUIVOS_RECEBIDOS!$E$2:$F$5010,ARQUIVOS_RECEBIDOS!$F$2:$F$5010,-1),2,)</f>
        <v>R00</v>
      </c>
      <c r="C964" s="15" t="s">
        <v>5987</v>
      </c>
      <c r="D964" s="6" t="s">
        <v>4320</v>
      </c>
      <c r="E964" s="8" t="s">
        <v>5024</v>
      </c>
      <c r="F964" s="8" t="s">
        <v>4331</v>
      </c>
      <c r="G964" s="6" t="str">
        <f>_xlfn.XLOOKUP(LD_01[[#This Row],[DISCIPLINA]],'CLASSES DE PROJETOS'!$F$3:$F$37,'CLASSES DE PROJETOS'!$C$3:$C$37)</f>
        <v>SI</v>
      </c>
      <c r="H964" t="str">
        <f>_xlfn.TEXTJOIN("/",TRUE,"MSV-163MS-"&amp;LD_01[[#This Row],[TRECHO]],_xlfn.XLOOKUP(LD_01[[#This Row],[SIGLA]],'CLASSES DE PROJETOS'!$C$3:$C$37,'CLASSES DE PROJETOS'!$E$3:$E$37))</f>
        <v>MSV-163MS-638-NORTE/31.SI</v>
      </c>
      <c r="I964" s="6" t="str" cm="1">
        <f t="array" ref="I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J964" s="6" t="str" cm="1">
        <f t="array" ref="J964">_xlfn.TEXTJOIN(", ",TRUE,_xlfn.UNIQUE(_xlfn._xlws.FILTER(ARQUIVOS_RECEBIDOS!$F$2:$F$5010,ARQUIVOS_RECEBIDOS!$E$2:$E$5010=LD_01[[#This Row],[DOCUMENTO]])))</f>
        <v>R00</v>
      </c>
      <c r="K964" s="12" cm="1">
        <f t="array" ref="K964">_xlfn.UNIQUE(_xlfn._xlws.FILTER(ARQUIVOS[DATA RECEBIMENTO],(ARQUIVOS[DOCUMENTO]=LD_01[[#This Row],[DOCUMENTO]])*(ARQUIVOS[REVISÃO]=LD_01[[#This Row],[REVISÃO]])))</f>
        <v>45838</v>
      </c>
      <c r="L9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M964" s="6" t="str">
        <f>LD_01[[#This Row],[PASTA]]&amp;"/"&amp;LD_01[[#This Row],[ARQUIVO]]</f>
        <v>MSV-163MS-638-NORTE/31.SI/MSV-163MS-638+600-EDI-EXE-DE-J1-013-R00.pdf</v>
      </c>
    </row>
    <row r="965" spans="1:13" hidden="1" x14ac:dyDescent="0.3">
      <c r="A965" s="6" t="s">
        <v>3745</v>
      </c>
      <c r="B965" s="6" t="str">
        <f>VLOOKUP(LD_01[[#This Row],[DOCUMENTO]],_xlfn.SORTBY(ARQUIVOS_RECEBIDOS!$E$2:$F$5010,ARQUIVOS_RECEBIDOS!$F$2:$F$5010,-1),2,)</f>
        <v>R00</v>
      </c>
      <c r="C965" s="15" t="s">
        <v>5987</v>
      </c>
      <c r="D965" s="6" t="s">
        <v>4320</v>
      </c>
      <c r="E965" s="8" t="s">
        <v>5025</v>
      </c>
      <c r="F965" s="8" t="s">
        <v>4331</v>
      </c>
      <c r="G965" s="6" t="str">
        <f>_xlfn.XLOOKUP(LD_01[[#This Row],[DISCIPLINA]],'CLASSES DE PROJETOS'!$F$3:$F$37,'CLASSES DE PROJETOS'!$C$3:$C$37)</f>
        <v>SI</v>
      </c>
      <c r="H965" t="str">
        <f>_xlfn.TEXTJOIN("/",TRUE,"MSV-163MS-"&amp;LD_01[[#This Row],[TRECHO]],_xlfn.XLOOKUP(LD_01[[#This Row],[SIGLA]],'CLASSES DE PROJETOS'!$C$3:$C$37,'CLASSES DE PROJETOS'!$E$3:$E$37))</f>
        <v>MSV-163MS-638-NORTE/31.SI</v>
      </c>
      <c r="I965" s="6" t="str" cm="1">
        <f t="array" ref="I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J965" s="6" t="str" cm="1">
        <f t="array" ref="J965">_xlfn.TEXTJOIN(", ",TRUE,_xlfn.UNIQUE(_xlfn._xlws.FILTER(ARQUIVOS_RECEBIDOS!$F$2:$F$5010,ARQUIVOS_RECEBIDOS!$E$2:$E$5010=LD_01[[#This Row],[DOCUMENTO]])))</f>
        <v>R00</v>
      </c>
      <c r="K965" s="12" cm="1">
        <f t="array" ref="K965">_xlfn.UNIQUE(_xlfn._xlws.FILTER(ARQUIVOS[DATA RECEBIMENTO],(ARQUIVOS[DOCUMENTO]=LD_01[[#This Row],[DOCUMENTO]])*(ARQUIVOS[REVISÃO]=LD_01[[#This Row],[REVISÃO]])))</f>
        <v>45838</v>
      </c>
      <c r="L9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M965" s="6" t="str">
        <f>LD_01[[#This Row],[PASTA]]&amp;"/"&amp;LD_01[[#This Row],[ARQUIVO]]</f>
        <v>MSV-163MS-638-NORTE/31.SI/MSV-163MS-638+600-EDI-EXE-DE-J1-014-R00.pdf</v>
      </c>
    </row>
    <row r="966" spans="1:13" ht="43.2" x14ac:dyDescent="0.3">
      <c r="A966" s="30" t="s">
        <v>3786</v>
      </c>
      <c r="B966" s="6" t="str">
        <f>VLOOKUP(LD_01[[#This Row],[DOCUMENTO]],_xlfn.SORTBY(ARQUIVOS_RECEBIDOS!$E$2:$F$5010,ARQUIVOS_RECEBIDOS!$F$2:$F$5010,-1),2,)</f>
        <v>R05</v>
      </c>
      <c r="C966" s="15" t="s">
        <v>5987</v>
      </c>
      <c r="D966" s="6" t="s">
        <v>4320</v>
      </c>
      <c r="E966" s="8" t="s">
        <v>4782</v>
      </c>
      <c r="F966" s="8" t="s">
        <v>4337</v>
      </c>
      <c r="G966" s="6" t="str">
        <f>_xlfn.XLOOKUP(LD_01[[#This Row],[DISCIPLINA]],'CLASSES DE PROJETOS'!$F$3:$F$37,'CLASSES DE PROJETOS'!$C$3:$C$37)</f>
        <v>EL</v>
      </c>
      <c r="H966" t="str">
        <f>_xlfn.TEXTJOIN("/",TRUE,"MSV-163MS-"&amp;LD_01[[#This Row],[TRECHO]],_xlfn.XLOOKUP(LD_01[[#This Row],[SIGLA]],'CLASSES DE PROJETOS'!$C$3:$C$37,'CLASSES DE PROJETOS'!$E$3:$E$37))</f>
        <v>MSV-163MS-638-NORTE/14.EL</v>
      </c>
      <c r="I966" s="6" t="str" cm="1">
        <f t="array" ref="I966">_xlfn.TEXTJOIN(",",TRUE,_xlfn._xlws.FILTER(ARQUIVOS[ARQUIVO],(ARQUIVOS[DOCUMENTO]=LD_01[[#This Row],[DOCUMENTO]])*(ARQUIVOS[REVISÃO]=LD_01[[#This Row],[REVISÃO]])*(ARQUIVOS[EXTENSÃO]="pdf")))</f>
        <v>MSV-163MS-638+600-EDI-EXE-DE-K2-001-R05.pdf</v>
      </c>
      <c r="J966" s="6" t="str" cm="1">
        <f t="array" ref="J966">_xlfn.TEXTJOIN(", ",TRUE,_xlfn.UNIQUE(_xlfn._xlws.FILTER(ARQUIVOS_RECEBIDOS!$F$2:$F$5010,ARQUIVOS_RECEBIDOS!$E$2:$E$5010=LD_01[[#This Row],[DOCUMENTO]])))</f>
        <v>R02, R03, R04, R05</v>
      </c>
      <c r="K966" s="12" cm="1">
        <f t="array" ref="K966">_xlfn.UNIQUE(_xlfn._xlws.FILTER(ARQUIVOS[DATA RECEBIMENTO],(ARQUIVOS[DOCUMENTO]=LD_01[[#This Row],[DOCUMENTO]])*(ARQUIVOS[REVISÃO]=LD_01[[#This Row],[REVISÃO]])))</f>
        <v>46189</v>
      </c>
      <c r="L9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M966" s="6" t="str">
        <f>LD_01[[#This Row],[PASTA]]&amp;"/"&amp;LD_01[[#This Row],[ARQUIVO]]</f>
        <v>MSV-163MS-638-NORTE/14.EL/MSV-163MS-638+600-EDI-EXE-DE-K2-001-R05.pdf</v>
      </c>
    </row>
    <row r="967" spans="1:13" ht="43.2" hidden="1" x14ac:dyDescent="0.3">
      <c r="A967" s="6" t="s">
        <v>3787</v>
      </c>
      <c r="B967" s="6" t="str">
        <f>VLOOKUP(LD_01[[#This Row],[DOCUMENTO]],_xlfn.SORTBY(ARQUIVOS_RECEBIDOS!$E$2:$F$5010,ARQUIVOS_RECEBIDOS!$F$2:$F$5010,-1),2,)</f>
        <v>R04</v>
      </c>
      <c r="C967" s="15" t="s">
        <v>5987</v>
      </c>
      <c r="D967" s="6" t="s">
        <v>4320</v>
      </c>
      <c r="E967" s="8" t="s">
        <v>4783</v>
      </c>
      <c r="F967" s="8" t="s">
        <v>4337</v>
      </c>
      <c r="G967" s="6" t="str">
        <f>_xlfn.XLOOKUP(LD_01[[#This Row],[DISCIPLINA]],'CLASSES DE PROJETOS'!$F$3:$F$37,'CLASSES DE PROJETOS'!$C$3:$C$37)</f>
        <v>EL</v>
      </c>
      <c r="H967" t="str">
        <f>_xlfn.TEXTJOIN("/",TRUE,"MSV-163MS-"&amp;LD_01[[#This Row],[TRECHO]],_xlfn.XLOOKUP(LD_01[[#This Row],[SIGLA]],'CLASSES DE PROJETOS'!$C$3:$C$37,'CLASSES DE PROJETOS'!$E$3:$E$37))</f>
        <v>MSV-163MS-638-NORTE/14.EL</v>
      </c>
      <c r="I967" s="6" t="str" cm="1">
        <f t="array" ref="I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J967" s="6" t="str" cm="1">
        <f t="array" ref="J967">_xlfn.TEXTJOIN(", ",TRUE,_xlfn.UNIQUE(_xlfn._xlws.FILTER(ARQUIVOS_RECEBIDOS!$F$2:$F$5010,ARQUIVOS_RECEBIDOS!$E$2:$E$5010=LD_01[[#This Row],[DOCUMENTO]])))</f>
        <v>R02, R03, R04</v>
      </c>
      <c r="K967" s="12" cm="1">
        <f t="array" ref="K967">_xlfn.UNIQUE(_xlfn._xlws.FILTER(ARQUIVOS[DATA RECEBIMENTO],(ARQUIVOS[DOCUMENTO]=LD_01[[#This Row],[DOCUMENTO]])*(ARQUIVOS[REVISÃO]=LD_01[[#This Row],[REVISÃO]])))</f>
        <v>45931</v>
      </c>
      <c r="L9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M967" s="6" t="str">
        <f>LD_01[[#This Row],[PASTA]]&amp;"/"&amp;LD_01[[#This Row],[ARQUIVO]]</f>
        <v>MSV-163MS-638-NORTE/14.EL/MSV-163MS-638+600-EDI-EXE-DE-K2-002-R04.pdf</v>
      </c>
    </row>
    <row r="968" spans="1:13" ht="43.2" x14ac:dyDescent="0.3">
      <c r="A968" s="29" t="s">
        <v>3788</v>
      </c>
      <c r="B968" s="6" t="str">
        <f>VLOOKUP(LD_01[[#This Row],[DOCUMENTO]],_xlfn.SORTBY(ARQUIVOS_RECEBIDOS!$E$2:$F$5010,ARQUIVOS_RECEBIDOS!$F$2:$F$5010,-1),2,)</f>
        <v>R05</v>
      </c>
      <c r="C968" s="15" t="s">
        <v>5987</v>
      </c>
      <c r="D968" s="6" t="s">
        <v>4320</v>
      </c>
      <c r="E968" s="8" t="s">
        <v>4784</v>
      </c>
      <c r="F968" s="8" t="s">
        <v>4337</v>
      </c>
      <c r="G968" s="6" t="str">
        <f>_xlfn.XLOOKUP(LD_01[[#This Row],[DISCIPLINA]],'CLASSES DE PROJETOS'!$F$3:$F$37,'CLASSES DE PROJETOS'!$C$3:$C$37)</f>
        <v>EL</v>
      </c>
      <c r="H968" t="str">
        <f>_xlfn.TEXTJOIN("/",TRUE,"MSV-163MS-"&amp;LD_01[[#This Row],[TRECHO]],_xlfn.XLOOKUP(LD_01[[#This Row],[SIGLA]],'CLASSES DE PROJETOS'!$C$3:$C$37,'CLASSES DE PROJETOS'!$E$3:$E$37))</f>
        <v>MSV-163MS-638-NORTE/14.EL</v>
      </c>
      <c r="I968" s="6" t="str" cm="1">
        <f t="array" ref="I968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J968" s="6" t="str" cm="1">
        <f t="array" ref="J968">_xlfn.TEXTJOIN(", ",TRUE,_xlfn.UNIQUE(_xlfn._xlws.FILTER(ARQUIVOS_RECEBIDOS!$F$2:$F$5010,ARQUIVOS_RECEBIDOS!$E$2:$E$5010=LD_01[[#This Row],[DOCUMENTO]])))</f>
        <v>R02, R03, R04, R05</v>
      </c>
      <c r="K968" s="12" cm="1">
        <f t="array" ref="K968">_xlfn.UNIQUE(_xlfn._xlws.FILTER(ARQUIVOS[DATA RECEBIMENTO],(ARQUIVOS[DOCUMENTO]=LD_01[[#This Row],[DOCUMENTO]])*(ARQUIVOS[REVISÃO]=LD_01[[#This Row],[REVISÃO]])))</f>
        <v>46189</v>
      </c>
      <c r="L9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M968" s="6" t="str">
        <f>LD_01[[#This Row],[PASTA]]&amp;"/"&amp;LD_01[[#This Row],[ARQUIVO]]</f>
        <v>MSV-163MS-638-NORTE/14.EL/MSV-163MS-638+600-EDI-EXE-DE-K2-003-R05.pdf</v>
      </c>
    </row>
    <row r="969" spans="1:13" ht="43.2" x14ac:dyDescent="0.3">
      <c r="A969" s="30" t="s">
        <v>3789</v>
      </c>
      <c r="B969" s="6" t="str">
        <f>VLOOKUP(LD_01[[#This Row],[DOCUMENTO]],_xlfn.SORTBY(ARQUIVOS_RECEBIDOS!$E$2:$F$5010,ARQUIVOS_RECEBIDOS!$F$2:$F$5010,-1),2,)</f>
        <v>R05</v>
      </c>
      <c r="C969" s="15" t="s">
        <v>5987</v>
      </c>
      <c r="D969" s="6" t="s">
        <v>4320</v>
      </c>
      <c r="E969" s="8" t="s">
        <v>4785</v>
      </c>
      <c r="F969" s="8" t="s">
        <v>4337</v>
      </c>
      <c r="G969" s="6" t="str">
        <f>_xlfn.XLOOKUP(LD_01[[#This Row],[DISCIPLINA]],'CLASSES DE PROJETOS'!$F$3:$F$37,'CLASSES DE PROJETOS'!$C$3:$C$37)</f>
        <v>EL</v>
      </c>
      <c r="H969" t="str">
        <f>_xlfn.TEXTJOIN("/",TRUE,"MSV-163MS-"&amp;LD_01[[#This Row],[TRECHO]],_xlfn.XLOOKUP(LD_01[[#This Row],[SIGLA]],'CLASSES DE PROJETOS'!$C$3:$C$37,'CLASSES DE PROJETOS'!$E$3:$E$37))</f>
        <v>MSV-163MS-638-NORTE/14.EL</v>
      </c>
      <c r="I969" s="6" t="str" cm="1">
        <f t="array" ref="I969">_xlfn.TEXTJOIN(",",TRUE,_xlfn._xlws.FILTER(ARQUIVOS[ARQUIVO],(ARQUIVOS[DOCUMENTO]=LD_01[[#This Row],[DOCUMENTO]])*(ARQUIVOS[REVISÃO]=LD_01[[#This Row],[REVISÃO]])*(ARQUIVOS[EXTENSÃO]="pdf")))</f>
        <v>MSV-163MS-638+600-EDI-EXE-DE-K2-004-R05.pdf</v>
      </c>
      <c r="J969" s="6" t="str" cm="1">
        <f t="array" ref="J969">_xlfn.TEXTJOIN(", ",TRUE,_xlfn.UNIQUE(_xlfn._xlws.FILTER(ARQUIVOS_RECEBIDOS!$F$2:$F$5010,ARQUIVOS_RECEBIDOS!$E$2:$E$5010=LD_01[[#This Row],[DOCUMENTO]])))</f>
        <v>R02, R03, R04, R05</v>
      </c>
      <c r="K969" s="12" cm="1">
        <f t="array" ref="K969">_xlfn.UNIQUE(_xlfn._xlws.FILTER(ARQUIVOS[DATA RECEBIMENTO],(ARQUIVOS[DOCUMENTO]=LD_01[[#This Row],[DOCUMENTO]])*(ARQUIVOS[REVISÃO]=LD_01[[#This Row],[REVISÃO]])))</f>
        <v>46189</v>
      </c>
      <c r="L9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M969" s="6" t="str">
        <f>LD_01[[#This Row],[PASTA]]&amp;"/"&amp;LD_01[[#This Row],[ARQUIVO]]</f>
        <v>MSV-163MS-638-NORTE/14.EL/MSV-163MS-638+600-EDI-EXE-DE-K2-004-R05.pdf</v>
      </c>
    </row>
    <row r="970" spans="1:13" ht="43.2" hidden="1" x14ac:dyDescent="0.3">
      <c r="A970" s="6" t="s">
        <v>4056</v>
      </c>
      <c r="B970" s="6" t="str">
        <f>VLOOKUP(LD_01[[#This Row],[DOCUMENTO]],_xlfn.SORTBY(ARQUIVOS_RECEBIDOS!$E$2:$F$5010,ARQUIVOS_RECEBIDOS!$F$2:$F$5010,-1),2,)</f>
        <v>R02</v>
      </c>
      <c r="C970" s="15" t="s">
        <v>5987</v>
      </c>
      <c r="D970" s="6" t="s">
        <v>4320</v>
      </c>
      <c r="E970" s="8" t="s">
        <v>4786</v>
      </c>
      <c r="F970" s="8" t="s">
        <v>4337</v>
      </c>
      <c r="G970" s="6" t="str">
        <f>_xlfn.XLOOKUP(LD_01[[#This Row],[DISCIPLINA]],'CLASSES DE PROJETOS'!$F$3:$F$37,'CLASSES DE PROJETOS'!$C$3:$C$37)</f>
        <v>EL</v>
      </c>
      <c r="H970" t="str">
        <f>_xlfn.TEXTJOIN("/",TRUE,"MSV-163MS-"&amp;LD_01[[#This Row],[TRECHO]],_xlfn.XLOOKUP(LD_01[[#This Row],[SIGLA]],'CLASSES DE PROJETOS'!$C$3:$C$37,'CLASSES DE PROJETOS'!$E$3:$E$37))</f>
        <v>MSV-163MS-638-NORTE/14.EL</v>
      </c>
      <c r="I970" s="6" t="str" cm="1">
        <f t="array" ref="I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J970" s="6" t="str" cm="1">
        <f t="array" ref="J970">_xlfn.TEXTJOIN(", ",TRUE,_xlfn.UNIQUE(_xlfn._xlws.FILTER(ARQUIVOS_RECEBIDOS!$F$2:$F$5010,ARQUIVOS_RECEBIDOS!$E$2:$E$5010=LD_01[[#This Row],[DOCUMENTO]])))</f>
        <v>R01, R02</v>
      </c>
      <c r="K970" s="12" cm="1">
        <f t="array" ref="K970">_xlfn.UNIQUE(_xlfn._xlws.FILTER(ARQUIVOS[DATA RECEBIMENTO],(ARQUIVOS[DOCUMENTO]=LD_01[[#This Row],[DOCUMENTO]])*(ARQUIVOS[REVISÃO]=LD_01[[#This Row],[REVISÃO]])))</f>
        <v>45931</v>
      </c>
      <c r="L9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M970" s="6" t="str">
        <f>LD_01[[#This Row],[PASTA]]&amp;"/"&amp;LD_01[[#This Row],[ARQUIVO]]</f>
        <v>MSV-163MS-638-NORTE/14.EL/MSV-163MS-638+600-EDI-EXE-DE-K2-005-R02.pdf</v>
      </c>
    </row>
    <row r="971" spans="1:13" ht="43.2" x14ac:dyDescent="0.3">
      <c r="A971" s="29" t="s">
        <v>3790</v>
      </c>
      <c r="B971" s="6" t="str">
        <f>VLOOKUP(LD_01[[#This Row],[DOCUMENTO]],_xlfn.SORTBY(ARQUIVOS_RECEBIDOS!$E$2:$F$5010,ARQUIVOS_RECEBIDOS!$F$2:$F$5010,-1),2,)</f>
        <v>R05</v>
      </c>
      <c r="C971" s="15" t="s">
        <v>5987</v>
      </c>
      <c r="D971" s="6" t="s">
        <v>4320</v>
      </c>
      <c r="E971" s="8" t="s">
        <v>4787</v>
      </c>
      <c r="F971" s="8" t="s">
        <v>4337</v>
      </c>
      <c r="G971" s="6" t="str">
        <f>_xlfn.XLOOKUP(LD_01[[#This Row],[DISCIPLINA]],'CLASSES DE PROJETOS'!$F$3:$F$37,'CLASSES DE PROJETOS'!$C$3:$C$37)</f>
        <v>EL</v>
      </c>
      <c r="H971" t="str">
        <f>_xlfn.TEXTJOIN("/",TRUE,"MSV-163MS-"&amp;LD_01[[#This Row],[TRECHO]],_xlfn.XLOOKUP(LD_01[[#This Row],[SIGLA]],'CLASSES DE PROJETOS'!$C$3:$C$37,'CLASSES DE PROJETOS'!$E$3:$E$37))</f>
        <v>MSV-163MS-638-NORTE/14.EL</v>
      </c>
      <c r="I971" s="6" t="str" cm="1">
        <f t="array" ref="I971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J971" s="6" t="str" cm="1">
        <f t="array" ref="J971">_xlfn.TEXTJOIN(", ",TRUE,_xlfn.UNIQUE(_xlfn._xlws.FILTER(ARQUIVOS_RECEBIDOS!$F$2:$F$5010,ARQUIVOS_RECEBIDOS!$E$2:$E$5010=LD_01[[#This Row],[DOCUMENTO]])))</f>
        <v>R02, R03, R05</v>
      </c>
      <c r="K971" s="12" cm="1">
        <f t="array" ref="K971">_xlfn.UNIQUE(_xlfn._xlws.FILTER(ARQUIVOS[DATA RECEBIMENTO],(ARQUIVOS[DOCUMENTO]=LD_01[[#This Row],[DOCUMENTO]])*(ARQUIVOS[REVISÃO]=LD_01[[#This Row],[REVISÃO]])))</f>
        <v>46189</v>
      </c>
      <c r="L9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M971" s="6" t="str">
        <f>LD_01[[#This Row],[PASTA]]&amp;"/"&amp;LD_01[[#This Row],[ARQUIVO]]</f>
        <v>MSV-163MS-638-NORTE/14.EL/MSV-163MS-638+600-EDI-EXE-DE-K3-001-R05.pdf</v>
      </c>
    </row>
    <row r="972" spans="1:13" ht="43.2" x14ac:dyDescent="0.3">
      <c r="A972" s="29" t="s">
        <v>3791</v>
      </c>
      <c r="B972" s="6" t="str">
        <f>VLOOKUP(LD_01[[#This Row],[DOCUMENTO]],_xlfn.SORTBY(ARQUIVOS_RECEBIDOS!$E$2:$F$5010,ARQUIVOS_RECEBIDOS!$F$2:$F$5010,-1),2,)</f>
        <v>R04</v>
      </c>
      <c r="C972" s="15" t="s">
        <v>5987</v>
      </c>
      <c r="D972" s="6" t="s">
        <v>4320</v>
      </c>
      <c r="E972" s="8" t="s">
        <v>4788</v>
      </c>
      <c r="F972" s="8" t="s">
        <v>4337</v>
      </c>
      <c r="G972" s="6" t="str">
        <f>_xlfn.XLOOKUP(LD_01[[#This Row],[DISCIPLINA]],'CLASSES DE PROJETOS'!$F$3:$F$37,'CLASSES DE PROJETOS'!$C$3:$C$37)</f>
        <v>EL</v>
      </c>
      <c r="H972" t="str">
        <f>_xlfn.TEXTJOIN("/",TRUE,"MSV-163MS-"&amp;LD_01[[#This Row],[TRECHO]],_xlfn.XLOOKUP(LD_01[[#This Row],[SIGLA]],'CLASSES DE PROJETOS'!$C$3:$C$37,'CLASSES DE PROJETOS'!$E$3:$E$37))</f>
        <v>MSV-163MS-638-NORTE/14.EL</v>
      </c>
      <c r="I972" s="6" t="str" cm="1">
        <f t="array" ref="I972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J972" s="6" t="str" cm="1">
        <f t="array" ref="J972">_xlfn.TEXTJOIN(", ",TRUE,_xlfn.UNIQUE(_xlfn._xlws.FILTER(ARQUIVOS_RECEBIDOS!$F$2:$F$5010,ARQUIVOS_RECEBIDOS!$E$2:$E$5010=LD_01[[#This Row],[DOCUMENTO]])))</f>
        <v>R02, R03, R04</v>
      </c>
      <c r="K972" s="12" cm="1">
        <f t="array" ref="K972">_xlfn.UNIQUE(_xlfn._xlws.FILTER(ARQUIVOS[DATA RECEBIMENTO],(ARQUIVOS[DOCUMENTO]=LD_01[[#This Row],[DOCUMENTO]])*(ARQUIVOS[REVISÃO]=LD_01[[#This Row],[REVISÃO]])))</f>
        <v>46189</v>
      </c>
      <c r="L9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M972" s="6" t="str">
        <f>LD_01[[#This Row],[PASTA]]&amp;"/"&amp;LD_01[[#This Row],[ARQUIVO]]</f>
        <v>MSV-163MS-638-NORTE/14.EL/MSV-163MS-638+600-EDI-EXE-DE-K3-002-R04.pdf</v>
      </c>
    </row>
    <row r="973" spans="1:13" ht="43.2" x14ac:dyDescent="0.3">
      <c r="A973" s="30" t="s">
        <v>3792</v>
      </c>
      <c r="B973" s="6" t="str">
        <f>VLOOKUP(LD_01[[#This Row],[DOCUMENTO]],_xlfn.SORTBY(ARQUIVOS_RECEBIDOS!$E$2:$F$5010,ARQUIVOS_RECEBIDOS!$F$2:$F$5010,-1),2,)</f>
        <v>R04</v>
      </c>
      <c r="C973" s="15" t="s">
        <v>5987</v>
      </c>
      <c r="D973" s="6" t="s">
        <v>4320</v>
      </c>
      <c r="E973" s="8" t="s">
        <v>4789</v>
      </c>
      <c r="F973" s="8" t="s">
        <v>4337</v>
      </c>
      <c r="G973" s="6" t="str">
        <f>_xlfn.XLOOKUP(LD_01[[#This Row],[DISCIPLINA]],'CLASSES DE PROJETOS'!$F$3:$F$37,'CLASSES DE PROJETOS'!$C$3:$C$37)</f>
        <v>EL</v>
      </c>
      <c r="H973" t="str">
        <f>_xlfn.TEXTJOIN("/",TRUE,"MSV-163MS-"&amp;LD_01[[#This Row],[TRECHO]],_xlfn.XLOOKUP(LD_01[[#This Row],[SIGLA]],'CLASSES DE PROJETOS'!$C$3:$C$37,'CLASSES DE PROJETOS'!$E$3:$E$37))</f>
        <v>MSV-163MS-638-NORTE/14.EL</v>
      </c>
      <c r="I973" s="6" t="str" cm="1">
        <f t="array" ref="I973">_xlfn.TEXTJOIN(",",TRUE,_xlfn._xlws.FILTER(ARQUIVOS[ARQUIVO],(ARQUIVOS[DOCUMENTO]=LD_01[[#This Row],[DOCUMENTO]])*(ARQUIVOS[REVISÃO]=LD_01[[#This Row],[REVISÃO]])*(ARQUIVOS[EXTENSÃO]="pdf")))</f>
        <v>MSV-163MS-638+600-EDI-EXE-DE-K3-003-R04.pdf</v>
      </c>
      <c r="J973" s="6" t="str" cm="1">
        <f t="array" ref="J973">_xlfn.TEXTJOIN(", ",TRUE,_xlfn.UNIQUE(_xlfn._xlws.FILTER(ARQUIVOS_RECEBIDOS!$F$2:$F$5010,ARQUIVOS_RECEBIDOS!$E$2:$E$5010=LD_01[[#This Row],[DOCUMENTO]])))</f>
        <v>R02, R03, R04</v>
      </c>
      <c r="K973" s="12" cm="1">
        <f t="array" ref="K973">_xlfn.UNIQUE(_xlfn._xlws.FILTER(ARQUIVOS[DATA RECEBIMENTO],(ARQUIVOS[DOCUMENTO]=LD_01[[#This Row],[DOCUMENTO]])*(ARQUIVOS[REVISÃO]=LD_01[[#This Row],[REVISÃO]])))</f>
        <v>46189</v>
      </c>
      <c r="L9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M973" s="6" t="str">
        <f>LD_01[[#This Row],[PASTA]]&amp;"/"&amp;LD_01[[#This Row],[ARQUIVO]]</f>
        <v>MSV-163MS-638-NORTE/14.EL/MSV-163MS-638+600-EDI-EXE-DE-K3-003-R04.pdf</v>
      </c>
    </row>
    <row r="974" spans="1:13" ht="28.8" hidden="1" x14ac:dyDescent="0.3">
      <c r="A974" s="6" t="s">
        <v>3752</v>
      </c>
      <c r="B974" s="6" t="str">
        <f>VLOOKUP(LD_01[[#This Row],[DOCUMENTO]],_xlfn.SORTBY(ARQUIVOS_RECEBIDOS!$E$2:$F$5010,ARQUIVOS_RECEBIDOS!$F$2:$F$5010,-1),2,)</f>
        <v>R01</v>
      </c>
      <c r="C974" s="15" t="s">
        <v>5987</v>
      </c>
      <c r="D974" s="6" t="s">
        <v>4320</v>
      </c>
      <c r="E974" s="8" t="s">
        <v>4915</v>
      </c>
      <c r="F974" s="8" t="s">
        <v>5989</v>
      </c>
      <c r="G974" s="6" t="str">
        <f>_xlfn.XLOOKUP(LD_01[[#This Row],[DISCIPLINA]],'CLASSES DE PROJETOS'!$F$3:$F$37,'CLASSES DE PROJETOS'!$C$3:$C$37)</f>
        <v>ES</v>
      </c>
      <c r="H974" t="str">
        <f>_xlfn.TEXTJOIN("/",TRUE,"MSV-163MS-"&amp;LD_01[[#This Row],[TRECHO]],_xlfn.XLOOKUP(LD_01[[#This Row],[SIGLA]],'CLASSES DE PROJETOS'!$C$3:$C$37,'CLASSES DE PROJETOS'!$E$3:$E$37))</f>
        <v>MSV-163MS-638-NORTE/16.ES</v>
      </c>
      <c r="I974" s="6" t="str" cm="1">
        <f t="array" ref="I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J974" s="6" t="str" cm="1">
        <f t="array" ref="J974">_xlfn.TEXTJOIN(", ",TRUE,_xlfn.UNIQUE(_xlfn._xlws.FILTER(ARQUIVOS_RECEBIDOS!$F$2:$F$5010,ARQUIVOS_RECEBIDOS!$E$2:$E$5010=LD_01[[#This Row],[DOCUMENTO]])))</f>
        <v>R00, R01</v>
      </c>
      <c r="K974" s="12" cm="1">
        <f t="array" ref="K974">_xlfn.UNIQUE(_xlfn._xlws.FILTER(ARQUIVOS[DATA RECEBIMENTO],(ARQUIVOS[DOCUMENTO]=LD_01[[#This Row],[DOCUMENTO]])*(ARQUIVOS[REVISÃO]=LD_01[[#This Row],[REVISÃO]])))</f>
        <v>45931</v>
      </c>
      <c r="L9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M974" s="6" t="str">
        <f>LD_01[[#This Row],[PASTA]]&amp;"/"&amp;LD_01[[#This Row],[ARQUIVO]]</f>
        <v>MSV-163MS-638-NORTE/16.ES/MSV-163MS-638+600-EDI-EXE-DE-L2-001-R01.pdf</v>
      </c>
    </row>
    <row r="975" spans="1:13" ht="28.8" hidden="1" x14ac:dyDescent="0.3">
      <c r="A975" s="6" t="s">
        <v>3753</v>
      </c>
      <c r="B975" s="6" t="str">
        <f>VLOOKUP(LD_01[[#This Row],[DOCUMENTO]],_xlfn.SORTBY(ARQUIVOS_RECEBIDOS!$E$2:$F$5010,ARQUIVOS_RECEBIDOS!$F$2:$F$5010,-1),2,)</f>
        <v>R01</v>
      </c>
      <c r="C975" s="15" t="s">
        <v>5987</v>
      </c>
      <c r="D975" s="6" t="s">
        <v>4320</v>
      </c>
      <c r="E975" s="8" t="s">
        <v>4916</v>
      </c>
      <c r="F975" s="8" t="s">
        <v>5989</v>
      </c>
      <c r="G975" s="6" t="str">
        <f>_xlfn.XLOOKUP(LD_01[[#This Row],[DISCIPLINA]],'CLASSES DE PROJETOS'!$F$3:$F$37,'CLASSES DE PROJETOS'!$C$3:$C$37)</f>
        <v>ES</v>
      </c>
      <c r="H975" t="str">
        <f>_xlfn.TEXTJOIN("/",TRUE,"MSV-163MS-"&amp;LD_01[[#This Row],[TRECHO]],_xlfn.XLOOKUP(LD_01[[#This Row],[SIGLA]],'CLASSES DE PROJETOS'!$C$3:$C$37,'CLASSES DE PROJETOS'!$E$3:$E$37))</f>
        <v>MSV-163MS-638-NORTE/16.ES</v>
      </c>
      <c r="I975" s="6" t="str" cm="1">
        <f t="array" ref="I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J975" s="6" t="str" cm="1">
        <f t="array" ref="J975">_xlfn.TEXTJOIN(", ",TRUE,_xlfn.UNIQUE(_xlfn._xlws.FILTER(ARQUIVOS_RECEBIDOS!$F$2:$F$5010,ARQUIVOS_RECEBIDOS!$E$2:$E$5010=LD_01[[#This Row],[DOCUMENTO]])))</f>
        <v>R00, R01</v>
      </c>
      <c r="K975" s="12" cm="1">
        <f t="array" ref="K975">_xlfn.UNIQUE(_xlfn._xlws.FILTER(ARQUIVOS[DATA RECEBIMENTO],(ARQUIVOS[DOCUMENTO]=LD_01[[#This Row],[DOCUMENTO]])*(ARQUIVOS[REVISÃO]=LD_01[[#This Row],[REVISÃO]])))</f>
        <v>45931</v>
      </c>
      <c r="L9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M975" s="6" t="str">
        <f>LD_01[[#This Row],[PASTA]]&amp;"/"&amp;LD_01[[#This Row],[ARQUIVO]]</f>
        <v>MSV-163MS-638-NORTE/16.ES/MSV-163MS-638+600-EDI-EXE-DE-L2-002-R01.pdf</v>
      </c>
    </row>
    <row r="976" spans="1:13" ht="28.8" hidden="1" x14ac:dyDescent="0.3">
      <c r="A976" s="6" t="s">
        <v>3754</v>
      </c>
      <c r="B976" s="6" t="str">
        <f>VLOOKUP(LD_01[[#This Row],[DOCUMENTO]],_xlfn.SORTBY(ARQUIVOS_RECEBIDOS!$E$2:$F$5010,ARQUIVOS_RECEBIDOS!$F$2:$F$5010,-1),2,)</f>
        <v>R01</v>
      </c>
      <c r="C976" s="15" t="s">
        <v>5987</v>
      </c>
      <c r="D976" s="6" t="s">
        <v>4320</v>
      </c>
      <c r="E976" s="8" t="s">
        <v>4917</v>
      </c>
      <c r="F976" s="8" t="s">
        <v>5989</v>
      </c>
      <c r="G976" s="6" t="str">
        <f>_xlfn.XLOOKUP(LD_01[[#This Row],[DISCIPLINA]],'CLASSES DE PROJETOS'!$F$3:$F$37,'CLASSES DE PROJETOS'!$C$3:$C$37)</f>
        <v>ES</v>
      </c>
      <c r="H976" t="str">
        <f>_xlfn.TEXTJOIN("/",TRUE,"MSV-163MS-"&amp;LD_01[[#This Row],[TRECHO]],_xlfn.XLOOKUP(LD_01[[#This Row],[SIGLA]],'CLASSES DE PROJETOS'!$C$3:$C$37,'CLASSES DE PROJETOS'!$E$3:$E$37))</f>
        <v>MSV-163MS-638-NORTE/16.ES</v>
      </c>
      <c r="I976" s="6" t="str" cm="1">
        <f t="array" ref="I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J976" s="6" t="str" cm="1">
        <f t="array" ref="J976">_xlfn.TEXTJOIN(", ",TRUE,_xlfn.UNIQUE(_xlfn._xlws.FILTER(ARQUIVOS_RECEBIDOS!$F$2:$F$5010,ARQUIVOS_RECEBIDOS!$E$2:$E$5010=LD_01[[#This Row],[DOCUMENTO]])))</f>
        <v>R00, R01</v>
      </c>
      <c r="K976" s="12" cm="1">
        <f t="array" ref="K976">_xlfn.UNIQUE(_xlfn._xlws.FILTER(ARQUIVOS[DATA RECEBIMENTO],(ARQUIVOS[DOCUMENTO]=LD_01[[#This Row],[DOCUMENTO]])*(ARQUIVOS[REVISÃO]=LD_01[[#This Row],[REVISÃO]])))</f>
        <v>45931</v>
      </c>
      <c r="L9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M976" s="6" t="str">
        <f>LD_01[[#This Row],[PASTA]]&amp;"/"&amp;LD_01[[#This Row],[ARQUIVO]]</f>
        <v>MSV-163MS-638-NORTE/16.ES/MSV-163MS-638+600-EDI-EXE-DE-L2-003-R01.pdf</v>
      </c>
    </row>
    <row r="977" spans="1:13" ht="28.8" hidden="1" x14ac:dyDescent="0.3">
      <c r="A977" s="6" t="s">
        <v>3755</v>
      </c>
      <c r="B977" s="6" t="str">
        <f>VLOOKUP(LD_01[[#This Row],[DOCUMENTO]],_xlfn.SORTBY(ARQUIVOS_RECEBIDOS!$E$2:$F$5010,ARQUIVOS_RECEBIDOS!$F$2:$F$5010,-1),2,)</f>
        <v>R01</v>
      </c>
      <c r="C977" s="15" t="s">
        <v>5987</v>
      </c>
      <c r="D977" s="6" t="s">
        <v>4320</v>
      </c>
      <c r="E977" s="8" t="s">
        <v>4918</v>
      </c>
      <c r="F977" s="8" t="s">
        <v>5989</v>
      </c>
      <c r="G977" s="6" t="str">
        <f>_xlfn.XLOOKUP(LD_01[[#This Row],[DISCIPLINA]],'CLASSES DE PROJETOS'!$F$3:$F$37,'CLASSES DE PROJETOS'!$C$3:$C$37)</f>
        <v>ES</v>
      </c>
      <c r="H977" t="str">
        <f>_xlfn.TEXTJOIN("/",TRUE,"MSV-163MS-"&amp;LD_01[[#This Row],[TRECHO]],_xlfn.XLOOKUP(LD_01[[#This Row],[SIGLA]],'CLASSES DE PROJETOS'!$C$3:$C$37,'CLASSES DE PROJETOS'!$E$3:$E$37))</f>
        <v>MSV-163MS-638-NORTE/16.ES</v>
      </c>
      <c r="I977" s="6" t="str" cm="1">
        <f t="array" ref="I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J977" s="6" t="str" cm="1">
        <f t="array" ref="J977">_xlfn.TEXTJOIN(", ",TRUE,_xlfn.UNIQUE(_xlfn._xlws.FILTER(ARQUIVOS_RECEBIDOS!$F$2:$F$5010,ARQUIVOS_RECEBIDOS!$E$2:$E$5010=LD_01[[#This Row],[DOCUMENTO]])))</f>
        <v>R00, R01</v>
      </c>
      <c r="K977" s="12" cm="1">
        <f t="array" ref="K977">_xlfn.UNIQUE(_xlfn._xlws.FILTER(ARQUIVOS[DATA RECEBIMENTO],(ARQUIVOS[DOCUMENTO]=LD_01[[#This Row],[DOCUMENTO]])*(ARQUIVOS[REVISÃO]=LD_01[[#This Row],[REVISÃO]])))</f>
        <v>45931</v>
      </c>
      <c r="L9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M977" s="6" t="str">
        <f>LD_01[[#This Row],[PASTA]]&amp;"/"&amp;LD_01[[#This Row],[ARQUIVO]]</f>
        <v>MSV-163MS-638-NORTE/16.ES/MSV-163MS-638+600-EDI-EXE-DE-L2-004-R01.pdf</v>
      </c>
    </row>
    <row r="978" spans="1:13" hidden="1" x14ac:dyDescent="0.3">
      <c r="A978" s="6" t="s">
        <v>3756</v>
      </c>
      <c r="B978" s="6" t="str">
        <f>VLOOKUP(LD_01[[#This Row],[DOCUMENTO]],_xlfn.SORTBY(ARQUIVOS_RECEBIDOS!$E$2:$F$5010,ARQUIVOS_RECEBIDOS!$F$2:$F$5010,-1),2,)</f>
        <v>R01</v>
      </c>
      <c r="C978" s="15" t="s">
        <v>5987</v>
      </c>
      <c r="D978" s="6" t="s">
        <v>4320</v>
      </c>
      <c r="E978" s="8" t="s">
        <v>4919</v>
      </c>
      <c r="F978" s="8" t="s">
        <v>5989</v>
      </c>
      <c r="G978" s="6" t="str">
        <f>_xlfn.XLOOKUP(LD_01[[#This Row],[DISCIPLINA]],'CLASSES DE PROJETOS'!$F$3:$F$37,'CLASSES DE PROJETOS'!$C$3:$C$37)</f>
        <v>ES</v>
      </c>
      <c r="H978" t="str">
        <f>_xlfn.TEXTJOIN("/",TRUE,"MSV-163MS-"&amp;LD_01[[#This Row],[TRECHO]],_xlfn.XLOOKUP(LD_01[[#This Row],[SIGLA]],'CLASSES DE PROJETOS'!$C$3:$C$37,'CLASSES DE PROJETOS'!$E$3:$E$37))</f>
        <v>MSV-163MS-638-NORTE/16.ES</v>
      </c>
      <c r="I978" s="6" t="str" cm="1">
        <f t="array" ref="I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J978" s="6" t="str" cm="1">
        <f t="array" ref="J978">_xlfn.TEXTJOIN(", ",TRUE,_xlfn.UNIQUE(_xlfn._xlws.FILTER(ARQUIVOS_RECEBIDOS!$F$2:$F$5010,ARQUIVOS_RECEBIDOS!$E$2:$E$5010=LD_01[[#This Row],[DOCUMENTO]])))</f>
        <v>R00, R01</v>
      </c>
      <c r="K978" s="12" cm="1">
        <f t="array" ref="K978">_xlfn.UNIQUE(_xlfn._xlws.FILTER(ARQUIVOS[DATA RECEBIMENTO],(ARQUIVOS[DOCUMENTO]=LD_01[[#This Row],[DOCUMENTO]])*(ARQUIVOS[REVISÃO]=LD_01[[#This Row],[REVISÃO]])))</f>
        <v>45931</v>
      </c>
      <c r="L9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M978" s="6" t="str">
        <f>LD_01[[#This Row],[PASTA]]&amp;"/"&amp;LD_01[[#This Row],[ARQUIVO]]</f>
        <v>MSV-163MS-638-NORTE/16.ES/MSV-163MS-638+600-EDI-EXE-DE-L2-005-R01.pdf</v>
      </c>
    </row>
    <row r="979" spans="1:13" ht="28.8" hidden="1" x14ac:dyDescent="0.3">
      <c r="A979" s="6" t="s">
        <v>3757</v>
      </c>
      <c r="B979" s="6" t="str">
        <f>VLOOKUP(LD_01[[#This Row],[DOCUMENTO]],_xlfn.SORTBY(ARQUIVOS_RECEBIDOS!$E$2:$F$5010,ARQUIVOS_RECEBIDOS!$F$2:$F$5010,-1),2,)</f>
        <v>R01</v>
      </c>
      <c r="C979" s="15" t="s">
        <v>5987</v>
      </c>
      <c r="D979" s="6" t="s">
        <v>4320</v>
      </c>
      <c r="E979" s="8" t="s">
        <v>4920</v>
      </c>
      <c r="F979" s="8" t="s">
        <v>5989</v>
      </c>
      <c r="G979" s="6" t="str">
        <f>_xlfn.XLOOKUP(LD_01[[#This Row],[DISCIPLINA]],'CLASSES DE PROJETOS'!$F$3:$F$37,'CLASSES DE PROJETOS'!$C$3:$C$37)</f>
        <v>ES</v>
      </c>
      <c r="H979" t="str">
        <f>_xlfn.TEXTJOIN("/",TRUE,"MSV-163MS-"&amp;LD_01[[#This Row],[TRECHO]],_xlfn.XLOOKUP(LD_01[[#This Row],[SIGLA]],'CLASSES DE PROJETOS'!$C$3:$C$37,'CLASSES DE PROJETOS'!$E$3:$E$37))</f>
        <v>MSV-163MS-638-NORTE/16.ES</v>
      </c>
      <c r="I979" s="6" t="str" cm="1">
        <f t="array" ref="I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J979" s="6" t="str" cm="1">
        <f t="array" ref="J979">_xlfn.TEXTJOIN(", ",TRUE,_xlfn.UNIQUE(_xlfn._xlws.FILTER(ARQUIVOS_RECEBIDOS!$F$2:$F$5010,ARQUIVOS_RECEBIDOS!$E$2:$E$5010=LD_01[[#This Row],[DOCUMENTO]])))</f>
        <v>R00, R01</v>
      </c>
      <c r="K979" s="12" cm="1">
        <f t="array" ref="K979">_xlfn.UNIQUE(_xlfn._xlws.FILTER(ARQUIVOS[DATA RECEBIMENTO],(ARQUIVOS[DOCUMENTO]=LD_01[[#This Row],[DOCUMENTO]])*(ARQUIVOS[REVISÃO]=LD_01[[#This Row],[REVISÃO]])))</f>
        <v>45931</v>
      </c>
      <c r="L9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M979" s="6" t="str">
        <f>LD_01[[#This Row],[PASTA]]&amp;"/"&amp;LD_01[[#This Row],[ARQUIVO]]</f>
        <v>MSV-163MS-638-NORTE/16.ES/MSV-163MS-638+600-EDI-EXE-DE-L2-006-R01.pdf</v>
      </c>
    </row>
    <row r="980" spans="1:13" ht="28.8" hidden="1" x14ac:dyDescent="0.3">
      <c r="A980" s="6" t="s">
        <v>3758</v>
      </c>
      <c r="B980" s="6" t="str">
        <f>VLOOKUP(LD_01[[#This Row],[DOCUMENTO]],_xlfn.SORTBY(ARQUIVOS_RECEBIDOS!$E$2:$F$5010,ARQUIVOS_RECEBIDOS!$F$2:$F$5010,-1),2,)</f>
        <v>R01</v>
      </c>
      <c r="C980" s="15" t="s">
        <v>5987</v>
      </c>
      <c r="D980" s="6" t="s">
        <v>4320</v>
      </c>
      <c r="E980" s="8" t="s">
        <v>4920</v>
      </c>
      <c r="F980" s="8" t="s">
        <v>5989</v>
      </c>
      <c r="G980" s="6" t="str">
        <f>_xlfn.XLOOKUP(LD_01[[#This Row],[DISCIPLINA]],'CLASSES DE PROJETOS'!$F$3:$F$37,'CLASSES DE PROJETOS'!$C$3:$C$37)</f>
        <v>ES</v>
      </c>
      <c r="H980" t="str">
        <f>_xlfn.TEXTJOIN("/",TRUE,"MSV-163MS-"&amp;LD_01[[#This Row],[TRECHO]],_xlfn.XLOOKUP(LD_01[[#This Row],[SIGLA]],'CLASSES DE PROJETOS'!$C$3:$C$37,'CLASSES DE PROJETOS'!$E$3:$E$37))</f>
        <v>MSV-163MS-638-NORTE/16.ES</v>
      </c>
      <c r="I980" s="6" t="str" cm="1">
        <f t="array" ref="I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J980" s="6" t="str" cm="1">
        <f t="array" ref="J980">_xlfn.TEXTJOIN(", ",TRUE,_xlfn.UNIQUE(_xlfn._xlws.FILTER(ARQUIVOS_RECEBIDOS!$F$2:$F$5010,ARQUIVOS_RECEBIDOS!$E$2:$E$5010=LD_01[[#This Row],[DOCUMENTO]])))</f>
        <v>R00, R01</v>
      </c>
      <c r="K980" s="12" cm="1">
        <f t="array" ref="K980">_xlfn.UNIQUE(_xlfn._xlws.FILTER(ARQUIVOS[DATA RECEBIMENTO],(ARQUIVOS[DOCUMENTO]=LD_01[[#This Row],[DOCUMENTO]])*(ARQUIVOS[REVISÃO]=LD_01[[#This Row],[REVISÃO]])))</f>
        <v>45931</v>
      </c>
      <c r="L9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M980" s="6" t="str">
        <f>LD_01[[#This Row],[PASTA]]&amp;"/"&amp;LD_01[[#This Row],[ARQUIVO]]</f>
        <v>MSV-163MS-638-NORTE/16.ES/MSV-163MS-638+600-EDI-EXE-DE-L2-007-R01.pdf</v>
      </c>
    </row>
    <row r="981" spans="1:13" ht="28.8" hidden="1" x14ac:dyDescent="0.3">
      <c r="A981" s="6" t="s">
        <v>3759</v>
      </c>
      <c r="B981" s="6" t="str">
        <f>VLOOKUP(LD_01[[#This Row],[DOCUMENTO]],_xlfn.SORTBY(ARQUIVOS_RECEBIDOS!$E$2:$F$5010,ARQUIVOS_RECEBIDOS!$F$2:$F$5010,-1),2,)</f>
        <v>R01</v>
      </c>
      <c r="C981" s="15" t="s">
        <v>5987</v>
      </c>
      <c r="D981" s="6" t="s">
        <v>4320</v>
      </c>
      <c r="E981" s="8" t="s">
        <v>4921</v>
      </c>
      <c r="F981" s="8" t="s">
        <v>5989</v>
      </c>
      <c r="G981" s="6" t="str">
        <f>_xlfn.XLOOKUP(LD_01[[#This Row],[DISCIPLINA]],'CLASSES DE PROJETOS'!$F$3:$F$37,'CLASSES DE PROJETOS'!$C$3:$C$37)</f>
        <v>ES</v>
      </c>
      <c r="H981" t="str">
        <f>_xlfn.TEXTJOIN("/",TRUE,"MSV-163MS-"&amp;LD_01[[#This Row],[TRECHO]],_xlfn.XLOOKUP(LD_01[[#This Row],[SIGLA]],'CLASSES DE PROJETOS'!$C$3:$C$37,'CLASSES DE PROJETOS'!$E$3:$E$37))</f>
        <v>MSV-163MS-638-NORTE/16.ES</v>
      </c>
      <c r="I981" s="6" t="str" cm="1">
        <f t="array" ref="I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J981" s="6" t="str" cm="1">
        <f t="array" ref="J981">_xlfn.TEXTJOIN(", ",TRUE,_xlfn.UNIQUE(_xlfn._xlws.FILTER(ARQUIVOS_RECEBIDOS!$F$2:$F$5010,ARQUIVOS_RECEBIDOS!$E$2:$E$5010=LD_01[[#This Row],[DOCUMENTO]])))</f>
        <v>R00, R01</v>
      </c>
      <c r="K981" s="12" cm="1">
        <f t="array" ref="K981">_xlfn.UNIQUE(_xlfn._xlws.FILTER(ARQUIVOS[DATA RECEBIMENTO],(ARQUIVOS[DOCUMENTO]=LD_01[[#This Row],[DOCUMENTO]])*(ARQUIVOS[REVISÃO]=LD_01[[#This Row],[REVISÃO]])))</f>
        <v>45931</v>
      </c>
      <c r="L9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M981" s="6" t="str">
        <f>LD_01[[#This Row],[PASTA]]&amp;"/"&amp;LD_01[[#This Row],[ARQUIVO]]</f>
        <v>MSV-163MS-638-NORTE/16.ES/MSV-163MS-638+600-EDI-EXE-DE-L2-008-R01.pdf</v>
      </c>
    </row>
    <row r="982" spans="1:13" ht="28.8" hidden="1" x14ac:dyDescent="0.3">
      <c r="A982" s="6" t="s">
        <v>3760</v>
      </c>
      <c r="B982" s="6" t="str">
        <f>VLOOKUP(LD_01[[#This Row],[DOCUMENTO]],_xlfn.SORTBY(ARQUIVOS_RECEBIDOS!$E$2:$F$5010,ARQUIVOS_RECEBIDOS!$F$2:$F$5010,-1),2,)</f>
        <v>R01</v>
      </c>
      <c r="C982" s="15" t="s">
        <v>5987</v>
      </c>
      <c r="D982" s="6" t="s">
        <v>4320</v>
      </c>
      <c r="E982" s="8" t="s">
        <v>4921</v>
      </c>
      <c r="F982" s="8" t="s">
        <v>5989</v>
      </c>
      <c r="G982" s="6" t="str">
        <f>_xlfn.XLOOKUP(LD_01[[#This Row],[DISCIPLINA]],'CLASSES DE PROJETOS'!$F$3:$F$37,'CLASSES DE PROJETOS'!$C$3:$C$37)</f>
        <v>ES</v>
      </c>
      <c r="H982" t="str">
        <f>_xlfn.TEXTJOIN("/",TRUE,"MSV-163MS-"&amp;LD_01[[#This Row],[TRECHO]],_xlfn.XLOOKUP(LD_01[[#This Row],[SIGLA]],'CLASSES DE PROJETOS'!$C$3:$C$37,'CLASSES DE PROJETOS'!$E$3:$E$37))</f>
        <v>MSV-163MS-638-NORTE/16.ES</v>
      </c>
      <c r="I982" s="6" t="str" cm="1">
        <f t="array" ref="I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J982" s="6" t="str" cm="1">
        <f t="array" ref="J982">_xlfn.TEXTJOIN(", ",TRUE,_xlfn.UNIQUE(_xlfn._xlws.FILTER(ARQUIVOS_RECEBIDOS!$F$2:$F$5010,ARQUIVOS_RECEBIDOS!$E$2:$E$5010=LD_01[[#This Row],[DOCUMENTO]])))</f>
        <v>R00, R01</v>
      </c>
      <c r="K982" s="12" cm="1">
        <f t="array" ref="K982">_xlfn.UNIQUE(_xlfn._xlws.FILTER(ARQUIVOS[DATA RECEBIMENTO],(ARQUIVOS[DOCUMENTO]=LD_01[[#This Row],[DOCUMENTO]])*(ARQUIVOS[REVISÃO]=LD_01[[#This Row],[REVISÃO]])))</f>
        <v>45931</v>
      </c>
      <c r="L9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M982" s="6" t="str">
        <f>LD_01[[#This Row],[PASTA]]&amp;"/"&amp;LD_01[[#This Row],[ARQUIVO]]</f>
        <v>MSV-163MS-638-NORTE/16.ES/MSV-163MS-638+600-EDI-EXE-DE-L2-009-R01.pdf</v>
      </c>
    </row>
    <row r="983" spans="1:13" ht="28.8" hidden="1" x14ac:dyDescent="0.3">
      <c r="A983" s="6" t="s">
        <v>3761</v>
      </c>
      <c r="B983" s="6" t="str">
        <f>VLOOKUP(LD_01[[#This Row],[DOCUMENTO]],_xlfn.SORTBY(ARQUIVOS_RECEBIDOS!$E$2:$F$5010,ARQUIVOS_RECEBIDOS!$F$2:$F$5010,-1),2,)</f>
        <v>R01</v>
      </c>
      <c r="C983" s="15" t="s">
        <v>5987</v>
      </c>
      <c r="D983" s="6" t="s">
        <v>4320</v>
      </c>
      <c r="E983" s="8" t="s">
        <v>4922</v>
      </c>
      <c r="F983" s="8" t="s">
        <v>5989</v>
      </c>
      <c r="G983" s="6" t="str">
        <f>_xlfn.XLOOKUP(LD_01[[#This Row],[DISCIPLINA]],'CLASSES DE PROJETOS'!$F$3:$F$37,'CLASSES DE PROJETOS'!$C$3:$C$37)</f>
        <v>ES</v>
      </c>
      <c r="H983" t="str">
        <f>_xlfn.TEXTJOIN("/",TRUE,"MSV-163MS-"&amp;LD_01[[#This Row],[TRECHO]],_xlfn.XLOOKUP(LD_01[[#This Row],[SIGLA]],'CLASSES DE PROJETOS'!$C$3:$C$37,'CLASSES DE PROJETOS'!$E$3:$E$37))</f>
        <v>MSV-163MS-638-NORTE/16.ES</v>
      </c>
      <c r="I983" s="6" t="str" cm="1">
        <f t="array" ref="I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J983" s="6" t="str" cm="1">
        <f t="array" ref="J983">_xlfn.TEXTJOIN(", ",TRUE,_xlfn.UNIQUE(_xlfn._xlws.FILTER(ARQUIVOS_RECEBIDOS!$F$2:$F$5010,ARQUIVOS_RECEBIDOS!$E$2:$E$5010=LD_01[[#This Row],[DOCUMENTO]])))</f>
        <v>R00, R01</v>
      </c>
      <c r="K983" s="12" cm="1">
        <f t="array" ref="K983">_xlfn.UNIQUE(_xlfn._xlws.FILTER(ARQUIVOS[DATA RECEBIMENTO],(ARQUIVOS[DOCUMENTO]=LD_01[[#This Row],[DOCUMENTO]])*(ARQUIVOS[REVISÃO]=LD_01[[#This Row],[REVISÃO]])))</f>
        <v>45931</v>
      </c>
      <c r="L9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M983" s="6" t="str">
        <f>LD_01[[#This Row],[PASTA]]&amp;"/"&amp;LD_01[[#This Row],[ARQUIVO]]</f>
        <v>MSV-163MS-638-NORTE/16.ES/MSV-163MS-638+600-EDI-EXE-DE-L2-010-R01.pdf</v>
      </c>
    </row>
    <row r="984" spans="1:13" ht="28.8" hidden="1" x14ac:dyDescent="0.3">
      <c r="A984" s="6" t="s">
        <v>3762</v>
      </c>
      <c r="B984" s="6" t="str">
        <f>VLOOKUP(LD_01[[#This Row],[DOCUMENTO]],_xlfn.SORTBY(ARQUIVOS_RECEBIDOS!$E$2:$F$5010,ARQUIVOS_RECEBIDOS!$F$2:$F$5010,-1),2,)</f>
        <v>R01</v>
      </c>
      <c r="C984" s="15" t="s">
        <v>5987</v>
      </c>
      <c r="D984" s="6" t="s">
        <v>4320</v>
      </c>
      <c r="E984" s="8" t="s">
        <v>4922</v>
      </c>
      <c r="F984" s="8" t="s">
        <v>5989</v>
      </c>
      <c r="G984" s="6" t="str">
        <f>_xlfn.XLOOKUP(LD_01[[#This Row],[DISCIPLINA]],'CLASSES DE PROJETOS'!$F$3:$F$37,'CLASSES DE PROJETOS'!$C$3:$C$37)</f>
        <v>ES</v>
      </c>
      <c r="H984" t="str">
        <f>_xlfn.TEXTJOIN("/",TRUE,"MSV-163MS-"&amp;LD_01[[#This Row],[TRECHO]],_xlfn.XLOOKUP(LD_01[[#This Row],[SIGLA]],'CLASSES DE PROJETOS'!$C$3:$C$37,'CLASSES DE PROJETOS'!$E$3:$E$37))</f>
        <v>MSV-163MS-638-NORTE/16.ES</v>
      </c>
      <c r="I984" s="6" t="str" cm="1">
        <f t="array" ref="I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J984" s="6" t="str" cm="1">
        <f t="array" ref="J984">_xlfn.TEXTJOIN(", ",TRUE,_xlfn.UNIQUE(_xlfn._xlws.FILTER(ARQUIVOS_RECEBIDOS!$F$2:$F$5010,ARQUIVOS_RECEBIDOS!$E$2:$E$5010=LD_01[[#This Row],[DOCUMENTO]])))</f>
        <v>R00, R01</v>
      </c>
      <c r="K984" s="12" cm="1">
        <f t="array" ref="K984">_xlfn.UNIQUE(_xlfn._xlws.FILTER(ARQUIVOS[DATA RECEBIMENTO],(ARQUIVOS[DOCUMENTO]=LD_01[[#This Row],[DOCUMENTO]])*(ARQUIVOS[REVISÃO]=LD_01[[#This Row],[REVISÃO]])))</f>
        <v>45931</v>
      </c>
      <c r="L9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M984" s="6" t="str">
        <f>LD_01[[#This Row],[PASTA]]&amp;"/"&amp;LD_01[[#This Row],[ARQUIVO]]</f>
        <v>MSV-163MS-638-NORTE/16.ES/MSV-163MS-638+600-EDI-EXE-DE-L2-011-R01.pdf</v>
      </c>
    </row>
    <row r="985" spans="1:13" ht="28.8" hidden="1" x14ac:dyDescent="0.3">
      <c r="A985" s="6" t="s">
        <v>3763</v>
      </c>
      <c r="B985" s="6" t="str">
        <f>VLOOKUP(LD_01[[#This Row],[DOCUMENTO]],_xlfn.SORTBY(ARQUIVOS_RECEBIDOS!$E$2:$F$5010,ARQUIVOS_RECEBIDOS!$F$2:$F$5010,-1),2,)</f>
        <v>R01</v>
      </c>
      <c r="C985" s="15" t="s">
        <v>5987</v>
      </c>
      <c r="D985" s="6" t="s">
        <v>4320</v>
      </c>
      <c r="E985" s="8" t="s">
        <v>4923</v>
      </c>
      <c r="F985" s="8" t="s">
        <v>5989</v>
      </c>
      <c r="G985" s="6" t="str">
        <f>_xlfn.XLOOKUP(LD_01[[#This Row],[DISCIPLINA]],'CLASSES DE PROJETOS'!$F$3:$F$37,'CLASSES DE PROJETOS'!$C$3:$C$37)</f>
        <v>ES</v>
      </c>
      <c r="H985" t="str">
        <f>_xlfn.TEXTJOIN("/",TRUE,"MSV-163MS-"&amp;LD_01[[#This Row],[TRECHO]],_xlfn.XLOOKUP(LD_01[[#This Row],[SIGLA]],'CLASSES DE PROJETOS'!$C$3:$C$37,'CLASSES DE PROJETOS'!$E$3:$E$37))</f>
        <v>MSV-163MS-638-NORTE/16.ES</v>
      </c>
      <c r="I985" s="6" t="str" cm="1">
        <f t="array" ref="I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J985" s="6" t="str" cm="1">
        <f t="array" ref="J985">_xlfn.TEXTJOIN(", ",TRUE,_xlfn.UNIQUE(_xlfn._xlws.FILTER(ARQUIVOS_RECEBIDOS!$F$2:$F$5010,ARQUIVOS_RECEBIDOS!$E$2:$E$5010=LD_01[[#This Row],[DOCUMENTO]])))</f>
        <v>R00, R01</v>
      </c>
      <c r="K985" s="12" cm="1">
        <f t="array" ref="K985">_xlfn.UNIQUE(_xlfn._xlws.FILTER(ARQUIVOS[DATA RECEBIMENTO],(ARQUIVOS[DOCUMENTO]=LD_01[[#This Row],[DOCUMENTO]])*(ARQUIVOS[REVISÃO]=LD_01[[#This Row],[REVISÃO]])))</f>
        <v>45931</v>
      </c>
      <c r="L9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M985" s="6" t="str">
        <f>LD_01[[#This Row],[PASTA]]&amp;"/"&amp;LD_01[[#This Row],[ARQUIVO]]</f>
        <v>MSV-163MS-638-NORTE/16.ES/MSV-163MS-638+600-EDI-EXE-DE-L2-012-R01.pdf</v>
      </c>
    </row>
    <row r="986" spans="1:13" ht="28.8" hidden="1" x14ac:dyDescent="0.3">
      <c r="A986" s="6" t="s">
        <v>3764</v>
      </c>
      <c r="B986" s="6" t="str">
        <f>VLOOKUP(LD_01[[#This Row],[DOCUMENTO]],_xlfn.SORTBY(ARQUIVOS_RECEBIDOS!$E$2:$F$5010,ARQUIVOS_RECEBIDOS!$F$2:$F$5010,-1),2,)</f>
        <v>R01</v>
      </c>
      <c r="C986" s="15" t="s">
        <v>5987</v>
      </c>
      <c r="D986" s="6" t="s">
        <v>4320</v>
      </c>
      <c r="E986" s="8" t="s">
        <v>4924</v>
      </c>
      <c r="F986" s="8" t="s">
        <v>5989</v>
      </c>
      <c r="G986" s="6" t="str">
        <f>_xlfn.XLOOKUP(LD_01[[#This Row],[DISCIPLINA]],'CLASSES DE PROJETOS'!$F$3:$F$37,'CLASSES DE PROJETOS'!$C$3:$C$37)</f>
        <v>ES</v>
      </c>
      <c r="H986" t="str">
        <f>_xlfn.TEXTJOIN("/",TRUE,"MSV-163MS-"&amp;LD_01[[#This Row],[TRECHO]],_xlfn.XLOOKUP(LD_01[[#This Row],[SIGLA]],'CLASSES DE PROJETOS'!$C$3:$C$37,'CLASSES DE PROJETOS'!$E$3:$E$37))</f>
        <v>MSV-163MS-638-NORTE/16.ES</v>
      </c>
      <c r="I986" s="6" t="str" cm="1">
        <f t="array" ref="I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J986" s="6" t="str" cm="1">
        <f t="array" ref="J986">_xlfn.TEXTJOIN(", ",TRUE,_xlfn.UNIQUE(_xlfn._xlws.FILTER(ARQUIVOS_RECEBIDOS!$F$2:$F$5010,ARQUIVOS_RECEBIDOS!$E$2:$E$5010=LD_01[[#This Row],[DOCUMENTO]])))</f>
        <v>R00, R01</v>
      </c>
      <c r="K986" s="12" cm="1">
        <f t="array" ref="K986">_xlfn.UNIQUE(_xlfn._xlws.FILTER(ARQUIVOS[DATA RECEBIMENTO],(ARQUIVOS[DOCUMENTO]=LD_01[[#This Row],[DOCUMENTO]])*(ARQUIVOS[REVISÃO]=LD_01[[#This Row],[REVISÃO]])))</f>
        <v>45931</v>
      </c>
      <c r="L9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M986" s="6" t="str">
        <f>LD_01[[#This Row],[PASTA]]&amp;"/"&amp;LD_01[[#This Row],[ARQUIVO]]</f>
        <v>MSV-163MS-638-NORTE/16.ES/MSV-163MS-638+600-EDI-EXE-DE-L2-201-R01.pdf</v>
      </c>
    </row>
    <row r="987" spans="1:13" hidden="1" x14ac:dyDescent="0.3">
      <c r="A987" s="6" t="s">
        <v>3765</v>
      </c>
      <c r="B987" s="6" t="str">
        <f>VLOOKUP(LD_01[[#This Row],[DOCUMENTO]],_xlfn.SORTBY(ARQUIVOS_RECEBIDOS!$E$2:$F$5010,ARQUIVOS_RECEBIDOS!$F$2:$F$5010,-1),2,)</f>
        <v>R01</v>
      </c>
      <c r="C987" s="15" t="s">
        <v>5987</v>
      </c>
      <c r="D987" s="6" t="s">
        <v>4320</v>
      </c>
      <c r="E987" s="8" t="s">
        <v>4925</v>
      </c>
      <c r="F987" s="8" t="s">
        <v>5989</v>
      </c>
      <c r="G987" s="6" t="str">
        <f>_xlfn.XLOOKUP(LD_01[[#This Row],[DISCIPLINA]],'CLASSES DE PROJETOS'!$F$3:$F$37,'CLASSES DE PROJETOS'!$C$3:$C$37)</f>
        <v>ES</v>
      </c>
      <c r="H987" t="str">
        <f>_xlfn.TEXTJOIN("/",TRUE,"MSV-163MS-"&amp;LD_01[[#This Row],[TRECHO]],_xlfn.XLOOKUP(LD_01[[#This Row],[SIGLA]],'CLASSES DE PROJETOS'!$C$3:$C$37,'CLASSES DE PROJETOS'!$E$3:$E$37))</f>
        <v>MSV-163MS-638-NORTE/16.ES</v>
      </c>
      <c r="I987" s="6" t="str" cm="1">
        <f t="array" ref="I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J987" s="6" t="str" cm="1">
        <f t="array" ref="J987">_xlfn.TEXTJOIN(", ",TRUE,_xlfn.UNIQUE(_xlfn._xlws.FILTER(ARQUIVOS_RECEBIDOS!$F$2:$F$5010,ARQUIVOS_RECEBIDOS!$E$2:$E$5010=LD_01[[#This Row],[DOCUMENTO]])))</f>
        <v>R00, R01</v>
      </c>
      <c r="K987" s="12" cm="1">
        <f t="array" ref="K987">_xlfn.UNIQUE(_xlfn._xlws.FILTER(ARQUIVOS[DATA RECEBIMENTO],(ARQUIVOS[DOCUMENTO]=LD_01[[#This Row],[DOCUMENTO]])*(ARQUIVOS[REVISÃO]=LD_01[[#This Row],[REVISÃO]])))</f>
        <v>45931</v>
      </c>
      <c r="L9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M987" s="6" t="str">
        <f>LD_01[[#This Row],[PASTA]]&amp;"/"&amp;LD_01[[#This Row],[ARQUIVO]]</f>
        <v>MSV-163MS-638-NORTE/16.ES/MSV-163MS-638+600-EDI-EXE-DE-L2-202-R01.pdf</v>
      </c>
    </row>
    <row r="988" spans="1:13" ht="28.8" hidden="1" x14ac:dyDescent="0.3">
      <c r="A988" s="6" t="s">
        <v>3766</v>
      </c>
      <c r="B988" s="6" t="str">
        <f>VLOOKUP(LD_01[[#This Row],[DOCUMENTO]],_xlfn.SORTBY(ARQUIVOS_RECEBIDOS!$E$2:$F$5010,ARQUIVOS_RECEBIDOS!$F$2:$F$5010,-1),2,)</f>
        <v>R01</v>
      </c>
      <c r="C988" s="15" t="s">
        <v>5987</v>
      </c>
      <c r="D988" s="6" t="s">
        <v>4320</v>
      </c>
      <c r="E988" s="8" t="s">
        <v>4926</v>
      </c>
      <c r="F988" s="8" t="s">
        <v>5989</v>
      </c>
      <c r="G988" s="6" t="str">
        <f>_xlfn.XLOOKUP(LD_01[[#This Row],[DISCIPLINA]],'CLASSES DE PROJETOS'!$F$3:$F$37,'CLASSES DE PROJETOS'!$C$3:$C$37)</f>
        <v>ES</v>
      </c>
      <c r="H988" t="str">
        <f>_xlfn.TEXTJOIN("/",TRUE,"MSV-163MS-"&amp;LD_01[[#This Row],[TRECHO]],_xlfn.XLOOKUP(LD_01[[#This Row],[SIGLA]],'CLASSES DE PROJETOS'!$C$3:$C$37,'CLASSES DE PROJETOS'!$E$3:$E$37))</f>
        <v>MSV-163MS-638-NORTE/16.ES</v>
      </c>
      <c r="I988" s="6" t="str" cm="1">
        <f t="array" ref="I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J988" s="6" t="str" cm="1">
        <f t="array" ref="J988">_xlfn.TEXTJOIN(", ",TRUE,_xlfn.UNIQUE(_xlfn._xlws.FILTER(ARQUIVOS_RECEBIDOS!$F$2:$F$5010,ARQUIVOS_RECEBIDOS!$E$2:$E$5010=LD_01[[#This Row],[DOCUMENTO]])))</f>
        <v>R00, R01</v>
      </c>
      <c r="K988" s="12" cm="1">
        <f t="array" ref="K988">_xlfn.UNIQUE(_xlfn._xlws.FILTER(ARQUIVOS[DATA RECEBIMENTO],(ARQUIVOS[DOCUMENTO]=LD_01[[#This Row],[DOCUMENTO]])*(ARQUIVOS[REVISÃO]=LD_01[[#This Row],[REVISÃO]])))</f>
        <v>45931</v>
      </c>
      <c r="L9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M988" s="6" t="str">
        <f>LD_01[[#This Row],[PASTA]]&amp;"/"&amp;LD_01[[#This Row],[ARQUIVO]]</f>
        <v>MSV-163MS-638-NORTE/16.ES/MSV-163MS-638+600-EDI-EXE-DE-L2-203-R01.pdf</v>
      </c>
    </row>
    <row r="989" spans="1:13" ht="28.8" hidden="1" x14ac:dyDescent="0.3">
      <c r="A989" s="6" t="s">
        <v>3767</v>
      </c>
      <c r="B989" s="6" t="str">
        <f>VLOOKUP(LD_01[[#This Row],[DOCUMENTO]],_xlfn.SORTBY(ARQUIVOS_RECEBIDOS!$E$2:$F$5010,ARQUIVOS_RECEBIDOS!$F$2:$F$5010,-1),2,)</f>
        <v>R01</v>
      </c>
      <c r="C989" s="15" t="s">
        <v>5987</v>
      </c>
      <c r="D989" s="6" t="s">
        <v>4320</v>
      </c>
      <c r="E989" s="8" t="s">
        <v>4927</v>
      </c>
      <c r="F989" s="8" t="s">
        <v>5989</v>
      </c>
      <c r="G989" s="6" t="str">
        <f>_xlfn.XLOOKUP(LD_01[[#This Row],[DISCIPLINA]],'CLASSES DE PROJETOS'!$F$3:$F$37,'CLASSES DE PROJETOS'!$C$3:$C$37)</f>
        <v>ES</v>
      </c>
      <c r="H989" t="str">
        <f>_xlfn.TEXTJOIN("/",TRUE,"MSV-163MS-"&amp;LD_01[[#This Row],[TRECHO]],_xlfn.XLOOKUP(LD_01[[#This Row],[SIGLA]],'CLASSES DE PROJETOS'!$C$3:$C$37,'CLASSES DE PROJETOS'!$E$3:$E$37))</f>
        <v>MSV-163MS-638-NORTE/16.ES</v>
      </c>
      <c r="I989" s="6" t="str" cm="1">
        <f t="array" ref="I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J989" s="6" t="str" cm="1">
        <f t="array" ref="J989">_xlfn.TEXTJOIN(", ",TRUE,_xlfn.UNIQUE(_xlfn._xlws.FILTER(ARQUIVOS_RECEBIDOS!$F$2:$F$5010,ARQUIVOS_RECEBIDOS!$E$2:$E$5010=LD_01[[#This Row],[DOCUMENTO]])))</f>
        <v>R00, R01</v>
      </c>
      <c r="K989" s="12" cm="1">
        <f t="array" ref="K989">_xlfn.UNIQUE(_xlfn._xlws.FILTER(ARQUIVOS[DATA RECEBIMENTO],(ARQUIVOS[DOCUMENTO]=LD_01[[#This Row],[DOCUMENTO]])*(ARQUIVOS[REVISÃO]=LD_01[[#This Row],[REVISÃO]])))</f>
        <v>45931</v>
      </c>
      <c r="L9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M989" s="6" t="str">
        <f>LD_01[[#This Row],[PASTA]]&amp;"/"&amp;LD_01[[#This Row],[ARQUIVO]]</f>
        <v>MSV-163MS-638-NORTE/16.ES/MSV-163MS-638+600-EDI-EXE-DE-L2-301-R01.pdf</v>
      </c>
    </row>
    <row r="990" spans="1:13" ht="28.8" hidden="1" x14ac:dyDescent="0.3">
      <c r="A990" s="6" t="s">
        <v>3768</v>
      </c>
      <c r="B990" s="6" t="str">
        <f>VLOOKUP(LD_01[[#This Row],[DOCUMENTO]],_xlfn.SORTBY(ARQUIVOS_RECEBIDOS!$E$2:$F$5010,ARQUIVOS_RECEBIDOS!$F$2:$F$5010,-1),2,)</f>
        <v>R01</v>
      </c>
      <c r="C990" s="15" t="s">
        <v>5987</v>
      </c>
      <c r="D990" s="6" t="s">
        <v>4320</v>
      </c>
      <c r="E990" s="8" t="s">
        <v>4928</v>
      </c>
      <c r="F990" s="8" t="s">
        <v>5989</v>
      </c>
      <c r="G990" s="6" t="str">
        <f>_xlfn.XLOOKUP(LD_01[[#This Row],[DISCIPLINA]],'CLASSES DE PROJETOS'!$F$3:$F$37,'CLASSES DE PROJETOS'!$C$3:$C$37)</f>
        <v>ES</v>
      </c>
      <c r="H990" t="str">
        <f>_xlfn.TEXTJOIN("/",TRUE,"MSV-163MS-"&amp;LD_01[[#This Row],[TRECHO]],_xlfn.XLOOKUP(LD_01[[#This Row],[SIGLA]],'CLASSES DE PROJETOS'!$C$3:$C$37,'CLASSES DE PROJETOS'!$E$3:$E$37))</f>
        <v>MSV-163MS-638-NORTE/16.ES</v>
      </c>
      <c r="I990" s="6" t="str" cm="1">
        <f t="array" ref="I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J990" s="6" t="str" cm="1">
        <f t="array" ref="J990">_xlfn.TEXTJOIN(", ",TRUE,_xlfn.UNIQUE(_xlfn._xlws.FILTER(ARQUIVOS_RECEBIDOS!$F$2:$F$5010,ARQUIVOS_RECEBIDOS!$E$2:$E$5010=LD_01[[#This Row],[DOCUMENTO]])))</f>
        <v>R00, R01</v>
      </c>
      <c r="K990" s="12" cm="1">
        <f t="array" ref="K990">_xlfn.UNIQUE(_xlfn._xlws.FILTER(ARQUIVOS[DATA RECEBIMENTO],(ARQUIVOS[DOCUMENTO]=LD_01[[#This Row],[DOCUMENTO]])*(ARQUIVOS[REVISÃO]=LD_01[[#This Row],[REVISÃO]])))</f>
        <v>45931</v>
      </c>
      <c r="L9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M990" s="6" t="str">
        <f>LD_01[[#This Row],[PASTA]]&amp;"/"&amp;LD_01[[#This Row],[ARQUIVO]]</f>
        <v>MSV-163MS-638-NORTE/16.ES/MSV-163MS-638+600-EDI-EXE-DE-L2-302-R01.pdf</v>
      </c>
    </row>
    <row r="991" spans="1:13" ht="43.2" hidden="1" x14ac:dyDescent="0.3">
      <c r="A991" s="6" t="s">
        <v>3769</v>
      </c>
      <c r="B991" s="6" t="str">
        <f>VLOOKUP(LD_01[[#This Row],[DOCUMENTO]],_xlfn.SORTBY(ARQUIVOS_RECEBIDOS!$E$2:$F$5010,ARQUIVOS_RECEBIDOS!$F$2:$F$5010,-1),2,)</f>
        <v>R01</v>
      </c>
      <c r="C991" s="15" t="s">
        <v>5987</v>
      </c>
      <c r="D991" s="6" t="s">
        <v>4320</v>
      </c>
      <c r="E991" s="8" t="s">
        <v>4929</v>
      </c>
      <c r="F991" s="8" t="s">
        <v>5989</v>
      </c>
      <c r="G991" s="6" t="str">
        <f>_xlfn.XLOOKUP(LD_01[[#This Row],[DISCIPLINA]],'CLASSES DE PROJETOS'!$F$3:$F$37,'CLASSES DE PROJETOS'!$C$3:$C$37)</f>
        <v>ES</v>
      </c>
      <c r="H991" t="str">
        <f>_xlfn.TEXTJOIN("/",TRUE,"MSV-163MS-"&amp;LD_01[[#This Row],[TRECHO]],_xlfn.XLOOKUP(LD_01[[#This Row],[SIGLA]],'CLASSES DE PROJETOS'!$C$3:$C$37,'CLASSES DE PROJETOS'!$E$3:$E$37))</f>
        <v>MSV-163MS-638-NORTE/16.ES</v>
      </c>
      <c r="I991" s="6" t="str" cm="1">
        <f t="array" ref="I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J991" s="6" t="str" cm="1">
        <f t="array" ref="J991">_xlfn.TEXTJOIN(", ",TRUE,_xlfn.UNIQUE(_xlfn._xlws.FILTER(ARQUIVOS_RECEBIDOS!$F$2:$F$5010,ARQUIVOS_RECEBIDOS!$E$2:$E$5010=LD_01[[#This Row],[DOCUMENTO]])))</f>
        <v>R00, R01</v>
      </c>
      <c r="K991" s="12" cm="1">
        <f t="array" ref="K991">_xlfn.UNIQUE(_xlfn._xlws.FILTER(ARQUIVOS[DATA RECEBIMENTO],(ARQUIVOS[DOCUMENTO]=LD_01[[#This Row],[DOCUMENTO]])*(ARQUIVOS[REVISÃO]=LD_01[[#This Row],[REVISÃO]])))</f>
        <v>45931</v>
      </c>
      <c r="L9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M991" s="6" t="str">
        <f>LD_01[[#This Row],[PASTA]]&amp;"/"&amp;LD_01[[#This Row],[ARQUIVO]]</f>
        <v>MSV-163MS-638-NORTE/16.ES/MSV-163MS-638+600-EDI-EXE-DE-L2-303-R01.pdf</v>
      </c>
    </row>
    <row r="992" spans="1:13" ht="28.8" hidden="1" x14ac:dyDescent="0.3">
      <c r="A992" s="6" t="s">
        <v>3770</v>
      </c>
      <c r="B992" s="6" t="str">
        <f>VLOOKUP(LD_01[[#This Row],[DOCUMENTO]],_xlfn.SORTBY(ARQUIVOS_RECEBIDOS!$E$2:$F$5010,ARQUIVOS_RECEBIDOS!$F$2:$F$5010,-1),2,)</f>
        <v>R02</v>
      </c>
      <c r="C992" s="15" t="s">
        <v>5987</v>
      </c>
      <c r="D992" s="6" t="s">
        <v>4320</v>
      </c>
      <c r="E992" s="8" t="s">
        <v>4930</v>
      </c>
      <c r="F992" s="8" t="s">
        <v>5989</v>
      </c>
      <c r="G992" s="6" t="str">
        <f>_xlfn.XLOOKUP(LD_01[[#This Row],[DISCIPLINA]],'CLASSES DE PROJETOS'!$F$3:$F$37,'CLASSES DE PROJETOS'!$C$3:$C$37)</f>
        <v>ES</v>
      </c>
      <c r="H992" t="str">
        <f>_xlfn.TEXTJOIN("/",TRUE,"MSV-163MS-"&amp;LD_01[[#This Row],[TRECHO]],_xlfn.XLOOKUP(LD_01[[#This Row],[SIGLA]],'CLASSES DE PROJETOS'!$C$3:$C$37,'CLASSES DE PROJETOS'!$E$3:$E$37))</f>
        <v>MSV-163MS-638-NORTE/16.ES</v>
      </c>
      <c r="I992" s="6" t="str" cm="1">
        <f t="array" ref="I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J992" s="6" t="str" cm="1">
        <f t="array" ref="J992">_xlfn.TEXTJOIN(", ",TRUE,_xlfn.UNIQUE(_xlfn._xlws.FILTER(ARQUIVOS_RECEBIDOS!$F$2:$F$5010,ARQUIVOS_RECEBIDOS!$E$2:$E$5010=LD_01[[#This Row],[DOCUMENTO]])))</f>
        <v>R00, R01, R02</v>
      </c>
      <c r="K992" s="12" cm="1">
        <f t="array" ref="K992">_xlfn.UNIQUE(_xlfn._xlws.FILTER(ARQUIVOS[DATA RECEBIMENTO],(ARQUIVOS[DOCUMENTO]=LD_01[[#This Row],[DOCUMENTO]])*(ARQUIVOS[REVISÃO]=LD_01[[#This Row],[REVISÃO]])))</f>
        <v>46129</v>
      </c>
      <c r="L9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M992" s="6" t="str">
        <f>LD_01[[#This Row],[PASTA]]&amp;"/"&amp;LD_01[[#This Row],[ARQUIVO]]</f>
        <v>MSV-163MS-638-NORTE/16.ES/MSV-163MS-638+600-EDI-EXE-DE-L2-401-R02.pdf</v>
      </c>
    </row>
    <row r="993" spans="1:13" hidden="1" x14ac:dyDescent="0.3">
      <c r="A993" s="6" t="s">
        <v>3771</v>
      </c>
      <c r="B993" s="6" t="str">
        <f>VLOOKUP(LD_01[[#This Row],[DOCUMENTO]],_xlfn.SORTBY(ARQUIVOS_RECEBIDOS!$E$2:$F$5010,ARQUIVOS_RECEBIDOS!$F$2:$F$5010,-1),2,)</f>
        <v>R01</v>
      </c>
      <c r="C993" s="15" t="s">
        <v>5987</v>
      </c>
      <c r="D993" s="6" t="s">
        <v>4320</v>
      </c>
      <c r="E993" s="8" t="s">
        <v>4931</v>
      </c>
      <c r="F993" s="8" t="s">
        <v>5989</v>
      </c>
      <c r="G993" s="6" t="str">
        <f>_xlfn.XLOOKUP(LD_01[[#This Row],[DISCIPLINA]],'CLASSES DE PROJETOS'!$F$3:$F$37,'CLASSES DE PROJETOS'!$C$3:$C$37)</f>
        <v>ES</v>
      </c>
      <c r="H993" t="str">
        <f>_xlfn.TEXTJOIN("/",TRUE,"MSV-163MS-"&amp;LD_01[[#This Row],[TRECHO]],_xlfn.XLOOKUP(LD_01[[#This Row],[SIGLA]],'CLASSES DE PROJETOS'!$C$3:$C$37,'CLASSES DE PROJETOS'!$E$3:$E$37))</f>
        <v>MSV-163MS-638-NORTE/16.ES</v>
      </c>
      <c r="I993" s="6" t="str" cm="1">
        <f t="array" ref="I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J993" s="6" t="str" cm="1">
        <f t="array" ref="J993">_xlfn.TEXTJOIN(", ",TRUE,_xlfn.UNIQUE(_xlfn._xlws.FILTER(ARQUIVOS_RECEBIDOS!$F$2:$F$5010,ARQUIVOS_RECEBIDOS!$E$2:$E$5010=LD_01[[#This Row],[DOCUMENTO]])))</f>
        <v>R00, R01</v>
      </c>
      <c r="K993" s="12" cm="1">
        <f t="array" ref="K993">_xlfn.UNIQUE(_xlfn._xlws.FILTER(ARQUIVOS[DATA RECEBIMENTO],(ARQUIVOS[DOCUMENTO]=LD_01[[#This Row],[DOCUMENTO]])*(ARQUIVOS[REVISÃO]=LD_01[[#This Row],[REVISÃO]])))</f>
        <v>45931</v>
      </c>
      <c r="L9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M993" s="6" t="str">
        <f>LD_01[[#This Row],[PASTA]]&amp;"/"&amp;LD_01[[#This Row],[ARQUIVO]]</f>
        <v>MSV-163MS-638-NORTE/16.ES/MSV-163MS-638+600-EDI-EXE-DE-L2-402-R01.pdf</v>
      </c>
    </row>
    <row r="994" spans="1:13" ht="28.8" hidden="1" x14ac:dyDescent="0.3">
      <c r="A994" s="6" t="s">
        <v>3772</v>
      </c>
      <c r="B994" s="6" t="str">
        <f>VLOOKUP(LD_01[[#This Row],[DOCUMENTO]],_xlfn.SORTBY(ARQUIVOS_RECEBIDOS!$E$2:$F$5010,ARQUIVOS_RECEBIDOS!$F$2:$F$5010,-1),2,)</f>
        <v>R01</v>
      </c>
      <c r="C994" s="15" t="s">
        <v>5987</v>
      </c>
      <c r="D994" s="6" t="s">
        <v>4320</v>
      </c>
      <c r="E994" s="8" t="s">
        <v>4932</v>
      </c>
      <c r="F994" s="8" t="s">
        <v>5989</v>
      </c>
      <c r="G994" s="6" t="str">
        <f>_xlfn.XLOOKUP(LD_01[[#This Row],[DISCIPLINA]],'CLASSES DE PROJETOS'!$F$3:$F$37,'CLASSES DE PROJETOS'!$C$3:$C$37)</f>
        <v>ES</v>
      </c>
      <c r="H994" t="str">
        <f>_xlfn.TEXTJOIN("/",TRUE,"MSV-163MS-"&amp;LD_01[[#This Row],[TRECHO]],_xlfn.XLOOKUP(LD_01[[#This Row],[SIGLA]],'CLASSES DE PROJETOS'!$C$3:$C$37,'CLASSES DE PROJETOS'!$E$3:$E$37))</f>
        <v>MSV-163MS-638-NORTE/16.ES</v>
      </c>
      <c r="I994" s="6" t="str" cm="1">
        <f t="array" ref="I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J994" s="6" t="str" cm="1">
        <f t="array" ref="J994">_xlfn.TEXTJOIN(", ",TRUE,_xlfn.UNIQUE(_xlfn._xlws.FILTER(ARQUIVOS_RECEBIDOS!$F$2:$F$5010,ARQUIVOS_RECEBIDOS!$E$2:$E$5010=LD_01[[#This Row],[DOCUMENTO]])))</f>
        <v>R00, R01</v>
      </c>
      <c r="K994" s="12" cm="1">
        <f t="array" ref="K994">_xlfn.UNIQUE(_xlfn._xlws.FILTER(ARQUIVOS[DATA RECEBIMENTO],(ARQUIVOS[DOCUMENTO]=LD_01[[#This Row],[DOCUMENTO]])*(ARQUIVOS[REVISÃO]=LD_01[[#This Row],[REVISÃO]])))</f>
        <v>45931</v>
      </c>
      <c r="L9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M994" s="6" t="str">
        <f>LD_01[[#This Row],[PASTA]]&amp;"/"&amp;LD_01[[#This Row],[ARQUIVO]]</f>
        <v>MSV-163MS-638-NORTE/16.ES/MSV-163MS-638+600-EDI-EXE-DE-L2-403-R01.pdf</v>
      </c>
    </row>
    <row r="995" spans="1:13" hidden="1" x14ac:dyDescent="0.3">
      <c r="A995" s="6" t="s">
        <v>3773</v>
      </c>
      <c r="B995" s="6" t="str">
        <f>VLOOKUP(LD_01[[#This Row],[DOCUMENTO]],_xlfn.SORTBY(ARQUIVOS_RECEBIDOS!$E$2:$F$5010,ARQUIVOS_RECEBIDOS!$F$2:$F$5010,-1),2,)</f>
        <v>R01</v>
      </c>
      <c r="C995" s="15" t="s">
        <v>5987</v>
      </c>
      <c r="D995" s="6" t="s">
        <v>4320</v>
      </c>
      <c r="E995" s="8" t="s">
        <v>4933</v>
      </c>
      <c r="F995" s="8" t="s">
        <v>5989</v>
      </c>
      <c r="G995" s="6" t="str">
        <f>_xlfn.XLOOKUP(LD_01[[#This Row],[DISCIPLINA]],'CLASSES DE PROJETOS'!$F$3:$F$37,'CLASSES DE PROJETOS'!$C$3:$C$37)</f>
        <v>ES</v>
      </c>
      <c r="H995" t="str">
        <f>_xlfn.TEXTJOIN("/",TRUE,"MSV-163MS-"&amp;LD_01[[#This Row],[TRECHO]],_xlfn.XLOOKUP(LD_01[[#This Row],[SIGLA]],'CLASSES DE PROJETOS'!$C$3:$C$37,'CLASSES DE PROJETOS'!$E$3:$E$37))</f>
        <v>MSV-163MS-638-NORTE/16.ES</v>
      </c>
      <c r="I995" s="6" t="str" cm="1">
        <f t="array" ref="I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J995" s="6" t="str" cm="1">
        <f t="array" ref="J995">_xlfn.TEXTJOIN(", ",TRUE,_xlfn.UNIQUE(_xlfn._xlws.FILTER(ARQUIVOS_RECEBIDOS!$F$2:$F$5010,ARQUIVOS_RECEBIDOS!$E$2:$E$5010=LD_01[[#This Row],[DOCUMENTO]])))</f>
        <v>R00, R01</v>
      </c>
      <c r="K995" s="12" cm="1">
        <f t="array" ref="K995">_xlfn.UNIQUE(_xlfn._xlws.FILTER(ARQUIVOS[DATA RECEBIMENTO],(ARQUIVOS[DOCUMENTO]=LD_01[[#This Row],[DOCUMENTO]])*(ARQUIVOS[REVISÃO]=LD_01[[#This Row],[REVISÃO]])))</f>
        <v>45931</v>
      </c>
      <c r="L9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M995" s="6" t="str">
        <f>LD_01[[#This Row],[PASTA]]&amp;"/"&amp;LD_01[[#This Row],[ARQUIVO]]</f>
        <v>MSV-163MS-638-NORTE/16.ES/MSV-163MS-638+600-EDI-EXE-DE-L2-404-R01.pdf</v>
      </c>
    </row>
    <row r="996" spans="1:13" ht="28.8" hidden="1" x14ac:dyDescent="0.3">
      <c r="A996" s="6" t="s">
        <v>3774</v>
      </c>
      <c r="B996" s="6" t="str">
        <f>VLOOKUP(LD_01[[#This Row],[DOCUMENTO]],_xlfn.SORTBY(ARQUIVOS_RECEBIDOS!$E$2:$F$5010,ARQUIVOS_RECEBIDOS!$F$2:$F$5010,-1),2,)</f>
        <v>R02</v>
      </c>
      <c r="C996" s="15" t="s">
        <v>5987</v>
      </c>
      <c r="D996" s="6" t="s">
        <v>4320</v>
      </c>
      <c r="E996" s="8" t="s">
        <v>4934</v>
      </c>
      <c r="F996" s="8" t="s">
        <v>5989</v>
      </c>
      <c r="G996" s="6" t="str">
        <f>_xlfn.XLOOKUP(LD_01[[#This Row],[DISCIPLINA]],'CLASSES DE PROJETOS'!$F$3:$F$37,'CLASSES DE PROJETOS'!$C$3:$C$37)</f>
        <v>ES</v>
      </c>
      <c r="H996" t="str">
        <f>_xlfn.TEXTJOIN("/",TRUE,"MSV-163MS-"&amp;LD_01[[#This Row],[TRECHO]],_xlfn.XLOOKUP(LD_01[[#This Row],[SIGLA]],'CLASSES DE PROJETOS'!$C$3:$C$37,'CLASSES DE PROJETOS'!$E$3:$E$37))</f>
        <v>MSV-163MS-638-NORTE/16.ES</v>
      </c>
      <c r="I996" s="6" t="str" cm="1">
        <f t="array" ref="I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J996" s="6" t="str" cm="1">
        <f t="array" ref="J996">_xlfn.TEXTJOIN(", ",TRUE,_xlfn.UNIQUE(_xlfn._xlws.FILTER(ARQUIVOS_RECEBIDOS!$F$2:$F$5010,ARQUIVOS_RECEBIDOS!$E$2:$E$5010=LD_01[[#This Row],[DOCUMENTO]])))</f>
        <v>R00, R01, R02</v>
      </c>
      <c r="K996" s="12" cm="1">
        <f t="array" ref="K996">_xlfn.UNIQUE(_xlfn._xlws.FILTER(ARQUIVOS[DATA RECEBIMENTO],(ARQUIVOS[DOCUMENTO]=LD_01[[#This Row],[DOCUMENTO]])*(ARQUIVOS[REVISÃO]=LD_01[[#This Row],[REVISÃO]])))</f>
        <v>46129</v>
      </c>
      <c r="L9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M996" s="6" t="str">
        <f>LD_01[[#This Row],[PASTA]]&amp;"/"&amp;LD_01[[#This Row],[ARQUIVO]]</f>
        <v>MSV-163MS-638-NORTE/16.ES/MSV-163MS-638+600-EDI-EXE-DE-L2-501-R02.pdf</v>
      </c>
    </row>
    <row r="997" spans="1:13" hidden="1" x14ac:dyDescent="0.3">
      <c r="A997" s="6" t="s">
        <v>3775</v>
      </c>
      <c r="B997" s="6" t="str">
        <f>VLOOKUP(LD_01[[#This Row],[DOCUMENTO]],_xlfn.SORTBY(ARQUIVOS_RECEBIDOS!$E$2:$F$5010,ARQUIVOS_RECEBIDOS!$F$2:$F$5010,-1),2,)</f>
        <v>R01</v>
      </c>
      <c r="C997" s="15" t="s">
        <v>5987</v>
      </c>
      <c r="D997" s="6" t="s">
        <v>4320</v>
      </c>
      <c r="E997" s="8" t="s">
        <v>4935</v>
      </c>
      <c r="F997" s="8" t="s">
        <v>5989</v>
      </c>
      <c r="G997" s="6" t="str">
        <f>_xlfn.XLOOKUP(LD_01[[#This Row],[DISCIPLINA]],'CLASSES DE PROJETOS'!$F$3:$F$37,'CLASSES DE PROJETOS'!$C$3:$C$37)</f>
        <v>ES</v>
      </c>
      <c r="H997" t="str">
        <f>_xlfn.TEXTJOIN("/",TRUE,"MSV-163MS-"&amp;LD_01[[#This Row],[TRECHO]],_xlfn.XLOOKUP(LD_01[[#This Row],[SIGLA]],'CLASSES DE PROJETOS'!$C$3:$C$37,'CLASSES DE PROJETOS'!$E$3:$E$37))</f>
        <v>MSV-163MS-638-NORTE/16.ES</v>
      </c>
      <c r="I997" s="6" t="str" cm="1">
        <f t="array" ref="I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J997" s="6" t="str" cm="1">
        <f t="array" ref="J997">_xlfn.TEXTJOIN(", ",TRUE,_xlfn.UNIQUE(_xlfn._xlws.FILTER(ARQUIVOS_RECEBIDOS!$F$2:$F$5010,ARQUIVOS_RECEBIDOS!$E$2:$E$5010=LD_01[[#This Row],[DOCUMENTO]])))</f>
        <v>R00, R01</v>
      </c>
      <c r="K997" s="12" cm="1">
        <f t="array" ref="K997">_xlfn.UNIQUE(_xlfn._xlws.FILTER(ARQUIVOS[DATA RECEBIMENTO],(ARQUIVOS[DOCUMENTO]=LD_01[[#This Row],[DOCUMENTO]])*(ARQUIVOS[REVISÃO]=LD_01[[#This Row],[REVISÃO]])))</f>
        <v>45931</v>
      </c>
      <c r="L9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M997" s="6" t="str">
        <f>LD_01[[#This Row],[PASTA]]&amp;"/"&amp;LD_01[[#This Row],[ARQUIVO]]</f>
        <v>MSV-163MS-638-NORTE/16.ES/MSV-163MS-638+600-EDI-EXE-DE-L3-001-R01.pdf</v>
      </c>
    </row>
    <row r="998" spans="1:13" ht="28.8" hidden="1" x14ac:dyDescent="0.3">
      <c r="A998" s="6" t="s">
        <v>3776</v>
      </c>
      <c r="B998" s="6" t="str">
        <f>VLOOKUP(LD_01[[#This Row],[DOCUMENTO]],_xlfn.SORTBY(ARQUIVOS_RECEBIDOS!$E$2:$F$5010,ARQUIVOS_RECEBIDOS!$F$2:$F$5010,-1),2,)</f>
        <v>R01</v>
      </c>
      <c r="C998" s="15" t="s">
        <v>5987</v>
      </c>
      <c r="D998" s="6" t="s">
        <v>4320</v>
      </c>
      <c r="E998" s="8" t="s">
        <v>4936</v>
      </c>
      <c r="F998" s="8" t="s">
        <v>5989</v>
      </c>
      <c r="G998" s="6" t="str">
        <f>_xlfn.XLOOKUP(LD_01[[#This Row],[DISCIPLINA]],'CLASSES DE PROJETOS'!$F$3:$F$37,'CLASSES DE PROJETOS'!$C$3:$C$37)</f>
        <v>ES</v>
      </c>
      <c r="H998" t="str">
        <f>_xlfn.TEXTJOIN("/",TRUE,"MSV-163MS-"&amp;LD_01[[#This Row],[TRECHO]],_xlfn.XLOOKUP(LD_01[[#This Row],[SIGLA]],'CLASSES DE PROJETOS'!$C$3:$C$37,'CLASSES DE PROJETOS'!$E$3:$E$37))</f>
        <v>MSV-163MS-638-NORTE/16.ES</v>
      </c>
      <c r="I998" s="6" t="str" cm="1">
        <f t="array" ref="I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J998" s="6" t="str" cm="1">
        <f t="array" ref="J998">_xlfn.TEXTJOIN(", ",TRUE,_xlfn.UNIQUE(_xlfn._xlws.FILTER(ARQUIVOS_RECEBIDOS!$F$2:$F$5010,ARQUIVOS_RECEBIDOS!$E$2:$E$5010=LD_01[[#This Row],[DOCUMENTO]])))</f>
        <v>R00, R01</v>
      </c>
      <c r="K998" s="12" cm="1">
        <f t="array" ref="K998">_xlfn.UNIQUE(_xlfn._xlws.FILTER(ARQUIVOS[DATA RECEBIMENTO],(ARQUIVOS[DOCUMENTO]=LD_01[[#This Row],[DOCUMENTO]])*(ARQUIVOS[REVISÃO]=LD_01[[#This Row],[REVISÃO]])))</f>
        <v>45931</v>
      </c>
      <c r="L9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M998" s="6" t="str">
        <f>LD_01[[#This Row],[PASTA]]&amp;"/"&amp;LD_01[[#This Row],[ARQUIVO]]</f>
        <v>MSV-163MS-638-NORTE/16.ES/MSV-163MS-638+600-EDI-EXE-DE-L3-002-R01.pdf</v>
      </c>
    </row>
    <row r="999" spans="1:13" ht="28.8" hidden="1" x14ac:dyDescent="0.3">
      <c r="A999" s="6" t="s">
        <v>3777</v>
      </c>
      <c r="B999" s="6" t="str">
        <f>VLOOKUP(LD_01[[#This Row],[DOCUMENTO]],_xlfn.SORTBY(ARQUIVOS_RECEBIDOS!$E$2:$F$5010,ARQUIVOS_RECEBIDOS!$F$2:$F$5010,-1),2,)</f>
        <v>R01</v>
      </c>
      <c r="C999" s="15" t="s">
        <v>5987</v>
      </c>
      <c r="D999" s="6" t="s">
        <v>4320</v>
      </c>
      <c r="E999" s="8" t="s">
        <v>4937</v>
      </c>
      <c r="F999" s="8" t="s">
        <v>5989</v>
      </c>
      <c r="G999" s="6" t="str">
        <f>_xlfn.XLOOKUP(LD_01[[#This Row],[DISCIPLINA]],'CLASSES DE PROJETOS'!$F$3:$F$37,'CLASSES DE PROJETOS'!$C$3:$C$37)</f>
        <v>ES</v>
      </c>
      <c r="H999" t="str">
        <f>_xlfn.TEXTJOIN("/",TRUE,"MSV-163MS-"&amp;LD_01[[#This Row],[TRECHO]],_xlfn.XLOOKUP(LD_01[[#This Row],[SIGLA]],'CLASSES DE PROJETOS'!$C$3:$C$37,'CLASSES DE PROJETOS'!$E$3:$E$37))</f>
        <v>MSV-163MS-638-NORTE/16.ES</v>
      </c>
      <c r="I999" s="6" t="str" cm="1">
        <f t="array" ref="I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J999" s="6" t="str" cm="1">
        <f t="array" ref="J999">_xlfn.TEXTJOIN(", ",TRUE,_xlfn.UNIQUE(_xlfn._xlws.FILTER(ARQUIVOS_RECEBIDOS!$F$2:$F$5010,ARQUIVOS_RECEBIDOS!$E$2:$E$5010=LD_01[[#This Row],[DOCUMENTO]])))</f>
        <v>R00, R01</v>
      </c>
      <c r="K999" s="12" cm="1">
        <f t="array" ref="K999">_xlfn.UNIQUE(_xlfn._xlws.FILTER(ARQUIVOS[DATA RECEBIMENTO],(ARQUIVOS[DOCUMENTO]=LD_01[[#This Row],[DOCUMENTO]])*(ARQUIVOS[REVISÃO]=LD_01[[#This Row],[REVISÃO]])))</f>
        <v>45931</v>
      </c>
      <c r="L9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M999" s="6" t="str">
        <f>LD_01[[#This Row],[PASTA]]&amp;"/"&amp;LD_01[[#This Row],[ARQUIVO]]</f>
        <v>MSV-163MS-638-NORTE/16.ES/MSV-163MS-638+600-EDI-EXE-DE-L3-003-R01.pdf</v>
      </c>
    </row>
    <row r="1000" spans="1:13" ht="28.8" hidden="1" x14ac:dyDescent="0.3">
      <c r="A1000" s="6" t="s">
        <v>3778</v>
      </c>
      <c r="B1000" s="6" t="str">
        <f>VLOOKUP(LD_01[[#This Row],[DOCUMENTO]],_xlfn.SORTBY(ARQUIVOS_RECEBIDOS!$E$2:$F$5010,ARQUIVOS_RECEBIDOS!$F$2:$F$5010,-1),2,)</f>
        <v>R01</v>
      </c>
      <c r="C1000" s="15" t="s">
        <v>5987</v>
      </c>
      <c r="D1000" s="6" t="s">
        <v>4320</v>
      </c>
      <c r="E1000" s="8" t="s">
        <v>4938</v>
      </c>
      <c r="F1000" s="8" t="s">
        <v>5989</v>
      </c>
      <c r="G1000" s="6" t="str">
        <f>_xlfn.XLOOKUP(LD_01[[#This Row],[DISCIPLINA]],'CLASSES DE PROJETOS'!$F$3:$F$37,'CLASSES DE PROJETOS'!$C$3:$C$37)</f>
        <v>ES</v>
      </c>
      <c r="H1000" t="str">
        <f>_xlfn.TEXTJOIN("/",TRUE,"MSV-163MS-"&amp;LD_01[[#This Row],[TRECHO]],_xlfn.XLOOKUP(LD_01[[#This Row],[SIGLA]],'CLASSES DE PROJETOS'!$C$3:$C$37,'CLASSES DE PROJETOS'!$E$3:$E$37))</f>
        <v>MSV-163MS-638-NORTE/16.ES</v>
      </c>
      <c r="I1000" s="6" t="str" cm="1">
        <f t="array" ref="I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J1000" s="6" t="str" cm="1">
        <f t="array" ref="J1000">_xlfn.TEXTJOIN(", ",TRUE,_xlfn.UNIQUE(_xlfn._xlws.FILTER(ARQUIVOS_RECEBIDOS!$F$2:$F$5010,ARQUIVOS_RECEBIDOS!$E$2:$E$5010=LD_01[[#This Row],[DOCUMENTO]])))</f>
        <v>R00, R01</v>
      </c>
      <c r="K1000" s="12" cm="1">
        <f t="array" ref="K1000">_xlfn.UNIQUE(_xlfn._xlws.FILTER(ARQUIVOS[DATA RECEBIMENTO],(ARQUIVOS[DOCUMENTO]=LD_01[[#This Row],[DOCUMENTO]])*(ARQUIVOS[REVISÃO]=LD_01[[#This Row],[REVISÃO]])))</f>
        <v>45931</v>
      </c>
      <c r="L10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M1000" s="6" t="str">
        <f>LD_01[[#This Row],[PASTA]]&amp;"/"&amp;LD_01[[#This Row],[ARQUIVO]]</f>
        <v>MSV-163MS-638-NORTE/16.ES/MSV-163MS-638+600-EDI-EXE-DE-L3-004-R01.pdf</v>
      </c>
    </row>
    <row r="1001" spans="1:13" hidden="1" x14ac:dyDescent="0.3">
      <c r="A1001" s="6" t="s">
        <v>3779</v>
      </c>
      <c r="B1001" s="6" t="str">
        <f>VLOOKUP(LD_01[[#This Row],[DOCUMENTO]],_xlfn.SORTBY(ARQUIVOS_RECEBIDOS!$E$2:$F$5010,ARQUIVOS_RECEBIDOS!$F$2:$F$5010,-1),2,)</f>
        <v>R01</v>
      </c>
      <c r="C1001" s="15" t="s">
        <v>5987</v>
      </c>
      <c r="D1001" s="6" t="s">
        <v>4320</v>
      </c>
      <c r="E1001" s="8" t="s">
        <v>4933</v>
      </c>
      <c r="F1001" s="8" t="s">
        <v>5989</v>
      </c>
      <c r="G1001" s="6" t="str">
        <f>_xlfn.XLOOKUP(LD_01[[#This Row],[DISCIPLINA]],'CLASSES DE PROJETOS'!$F$3:$F$37,'CLASSES DE PROJETOS'!$C$3:$C$37)</f>
        <v>ES</v>
      </c>
      <c r="H1001" t="str">
        <f>_xlfn.TEXTJOIN("/",TRUE,"MSV-163MS-"&amp;LD_01[[#This Row],[TRECHO]],_xlfn.XLOOKUP(LD_01[[#This Row],[SIGLA]],'CLASSES DE PROJETOS'!$C$3:$C$37,'CLASSES DE PROJETOS'!$E$3:$E$37))</f>
        <v>MSV-163MS-638-NORTE/16.ES</v>
      </c>
      <c r="I1001" s="6" t="str" cm="1">
        <f t="array" ref="I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J1001" s="6" t="str" cm="1">
        <f t="array" ref="J1001">_xlfn.TEXTJOIN(", ",TRUE,_xlfn.UNIQUE(_xlfn._xlws.FILTER(ARQUIVOS_RECEBIDOS!$F$2:$F$5010,ARQUIVOS_RECEBIDOS!$E$2:$E$5010=LD_01[[#This Row],[DOCUMENTO]])))</f>
        <v>R00, R01</v>
      </c>
      <c r="K1001" s="12" cm="1">
        <f t="array" ref="K1001">_xlfn.UNIQUE(_xlfn._xlws.FILTER(ARQUIVOS[DATA RECEBIMENTO],(ARQUIVOS[DOCUMENTO]=LD_01[[#This Row],[DOCUMENTO]])*(ARQUIVOS[REVISÃO]=LD_01[[#This Row],[REVISÃO]])))</f>
        <v>45931</v>
      </c>
      <c r="L10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M1001" s="6" t="str">
        <f>LD_01[[#This Row],[PASTA]]&amp;"/"&amp;LD_01[[#This Row],[ARQUIVO]]</f>
        <v>MSV-163MS-638-NORTE/16.ES/MSV-163MS-638+600-EDI-EXE-DE-L3-005-R01.pdf</v>
      </c>
    </row>
    <row r="1002" spans="1:13" ht="43.2" hidden="1" x14ac:dyDescent="0.3">
      <c r="A1002" s="6" t="s">
        <v>3825</v>
      </c>
      <c r="B1002" s="6" t="str">
        <f>VLOOKUP(LD_01[[#This Row],[DOCUMENTO]],_xlfn.SORTBY(ARQUIVOS_RECEBIDOS!$E$2:$F$5010,ARQUIVOS_RECEBIDOS!$F$2:$F$5010,-1),2,)</f>
        <v>R02</v>
      </c>
      <c r="C1002" s="15" t="s">
        <v>5987</v>
      </c>
      <c r="D1002" s="6" t="s">
        <v>4320</v>
      </c>
      <c r="E1002" s="8" t="s">
        <v>4087</v>
      </c>
      <c r="F1002" s="8" t="s">
        <v>4333</v>
      </c>
      <c r="G1002" s="6" t="str">
        <f>_xlfn.XLOOKUP(LD_01[[#This Row],[DISCIPLINA]],'CLASSES DE PROJETOS'!$F$3:$F$37,'CLASSES DE PROJETOS'!$C$3:$C$37)</f>
        <v>IN</v>
      </c>
      <c r="H1002" t="str">
        <f>_xlfn.TEXTJOIN("/",TRUE,"MSV-163MS-"&amp;LD_01[[#This Row],[TRECHO]],_xlfn.XLOOKUP(LD_01[[#This Row],[SIGLA]],'CLASSES DE PROJETOS'!$C$3:$C$37,'CLASSES DE PROJETOS'!$E$3:$E$37))</f>
        <v>MSV-163MS-638-NORTE/23.IN</v>
      </c>
      <c r="I1002" s="6" t="str" cm="1">
        <f t="array" ref="I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J1002" s="6" t="str" cm="1">
        <f t="array" ref="J1002">_xlfn.TEXTJOIN(", ",TRUE,_xlfn.UNIQUE(_xlfn._xlws.FILTER(ARQUIVOS_RECEBIDOS!$F$2:$F$5010,ARQUIVOS_RECEBIDOS!$E$2:$E$5010=LD_01[[#This Row],[DOCUMENTO]])))</f>
        <v>R00, R02</v>
      </c>
      <c r="K1002" s="12" cm="1">
        <f t="array" ref="K1002">_xlfn.UNIQUE(_xlfn._xlws.FILTER(ARQUIVOS[DATA RECEBIMENTO],(ARQUIVOS[DOCUMENTO]=LD_01[[#This Row],[DOCUMENTO]])*(ARQUIVOS[REVISÃO]=LD_01[[#This Row],[REVISÃO]])))</f>
        <v>45931</v>
      </c>
      <c r="L10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M1002" s="6" t="str">
        <f>LD_01[[#This Row],[PASTA]]&amp;"/"&amp;LD_01[[#This Row],[ARQUIVO]]</f>
        <v>MSV-163MS-638-NORTE/23.IN/MSV-163MS-638+600-EDI-EXE-DE-M1-001-R02.pdf</v>
      </c>
    </row>
    <row r="1003" spans="1:13" hidden="1" x14ac:dyDescent="0.3">
      <c r="A1003" s="6" t="s">
        <v>3915</v>
      </c>
      <c r="B1003" s="6" t="str">
        <f>VLOOKUP(LD_01[[#This Row],[DOCUMENTO]],_xlfn.SORTBY(ARQUIVOS_RECEBIDOS!$E$2:$F$5010,ARQUIVOS_RECEBIDOS!$F$2:$F$5010,-1),2,)</f>
        <v>R03</v>
      </c>
      <c r="C1003" s="15" t="s">
        <v>5987</v>
      </c>
      <c r="D1003" s="6" t="s">
        <v>4320</v>
      </c>
      <c r="E1003" s="8" t="s">
        <v>4087</v>
      </c>
      <c r="F1003" s="8" t="s">
        <v>4334</v>
      </c>
      <c r="G1003" s="6" t="str">
        <f>_xlfn.XLOOKUP(LD_01[[#This Row],[DISCIPLINA]],'CLASSES DE PROJETOS'!$F$3:$F$37,'CLASSES DE PROJETOS'!$C$3:$C$37)</f>
        <v>PA</v>
      </c>
      <c r="H1003" t="str">
        <f>_xlfn.TEXTJOIN("/",TRUE,"MSV-163MS-"&amp;LD_01[[#This Row],[TRECHO]],_xlfn.XLOOKUP(LD_01[[#This Row],[SIGLA]],'CLASSES DE PROJETOS'!$C$3:$C$37,'CLASSES DE PROJETOS'!$E$3:$E$37))</f>
        <v>MSV-163MS-638-NORTE/27.PA</v>
      </c>
      <c r="I1003" s="6" t="str" cm="1">
        <f t="array" ref="I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J1003" s="6" t="str" cm="1">
        <f t="array" ref="J1003">_xlfn.TEXTJOIN(", ",TRUE,_xlfn.UNIQUE(_xlfn._xlws.FILTER(ARQUIVOS_RECEBIDOS!$F$2:$F$5010,ARQUIVOS_RECEBIDOS!$E$2:$E$5010=LD_01[[#This Row],[DOCUMENTO]])))</f>
        <v>R01, R02, R03</v>
      </c>
      <c r="K1003" s="12" cm="1">
        <f t="array" ref="K1003">_xlfn.UNIQUE(_xlfn._xlws.FILTER(ARQUIVOS[DATA RECEBIMENTO],(ARQUIVOS[DOCUMENTO]=LD_01[[#This Row],[DOCUMENTO]])*(ARQUIVOS[REVISÃO]=LD_01[[#This Row],[REVISÃO]])))</f>
        <v>45931</v>
      </c>
      <c r="L10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M1003" s="6" t="str">
        <f>LD_01[[#This Row],[PASTA]]&amp;"/"&amp;LD_01[[#This Row],[ARQUIVO]]</f>
        <v>MSV-163MS-638-NORTE/27.PA/MSV-163MS-638+600-EDI-EXE-DE-N2-001-R03.pdf</v>
      </c>
    </row>
    <row r="1004" spans="1:13" hidden="1" x14ac:dyDescent="0.3">
      <c r="A1004" s="6" t="s">
        <v>3916</v>
      </c>
      <c r="B1004" s="6" t="str">
        <f>VLOOKUP(LD_01[[#This Row],[DOCUMENTO]],_xlfn.SORTBY(ARQUIVOS_RECEBIDOS!$E$2:$F$5010,ARQUIVOS_RECEBIDOS!$F$2:$F$5010,-1),2,)</f>
        <v>R03</v>
      </c>
      <c r="C1004" s="15" t="s">
        <v>5987</v>
      </c>
      <c r="D1004" s="6" t="s">
        <v>4320</v>
      </c>
      <c r="E1004" s="8" t="s">
        <v>4087</v>
      </c>
      <c r="F1004" s="8" t="s">
        <v>4334</v>
      </c>
      <c r="G1004" s="6" t="str">
        <f>_xlfn.XLOOKUP(LD_01[[#This Row],[DISCIPLINA]],'CLASSES DE PROJETOS'!$F$3:$F$37,'CLASSES DE PROJETOS'!$C$3:$C$37)</f>
        <v>PA</v>
      </c>
      <c r="H1004" t="str">
        <f>_xlfn.TEXTJOIN("/",TRUE,"MSV-163MS-"&amp;LD_01[[#This Row],[TRECHO]],_xlfn.XLOOKUP(LD_01[[#This Row],[SIGLA]],'CLASSES DE PROJETOS'!$C$3:$C$37,'CLASSES DE PROJETOS'!$E$3:$E$37))</f>
        <v>MSV-163MS-638-NORTE/27.PA</v>
      </c>
      <c r="I1004" s="6" t="str" cm="1">
        <f t="array" ref="I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J1004" s="6" t="str" cm="1">
        <f t="array" ref="J1004">_xlfn.TEXTJOIN(", ",TRUE,_xlfn.UNIQUE(_xlfn._xlws.FILTER(ARQUIVOS_RECEBIDOS!$F$2:$F$5010,ARQUIVOS_RECEBIDOS!$E$2:$E$5010=LD_01[[#This Row],[DOCUMENTO]])))</f>
        <v>R01, R02, R03</v>
      </c>
      <c r="K1004" s="12" cm="1">
        <f t="array" ref="K1004">_xlfn.UNIQUE(_xlfn._xlws.FILTER(ARQUIVOS[DATA RECEBIMENTO],(ARQUIVOS[DOCUMENTO]=LD_01[[#This Row],[DOCUMENTO]])*(ARQUIVOS[REVISÃO]=LD_01[[#This Row],[REVISÃO]])))</f>
        <v>45931</v>
      </c>
      <c r="L10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M1004" s="6" t="str">
        <f>LD_01[[#This Row],[PASTA]]&amp;"/"&amp;LD_01[[#This Row],[ARQUIVO]]</f>
        <v>MSV-163MS-638-NORTE/27.PA/MSV-163MS-638+600-EDI-EXE-DE-N2-002-R03.pdf</v>
      </c>
    </row>
    <row r="1005" spans="1:13" hidden="1" x14ac:dyDescent="0.3">
      <c r="A1005" s="6" t="s">
        <v>3917</v>
      </c>
      <c r="B1005" s="6" t="str">
        <f>VLOOKUP(LD_01[[#This Row],[DOCUMENTO]],_xlfn.SORTBY(ARQUIVOS_RECEBIDOS!$E$2:$F$5010,ARQUIVOS_RECEBIDOS!$F$2:$F$5010,-1),2,)</f>
        <v>R02</v>
      </c>
      <c r="C1005" s="15" t="s">
        <v>5987</v>
      </c>
      <c r="D1005" s="6" t="s">
        <v>4320</v>
      </c>
      <c r="E1005" s="8" t="s">
        <v>5021</v>
      </c>
      <c r="F1005" s="8" t="s">
        <v>4334</v>
      </c>
      <c r="G1005" s="6" t="str">
        <f>_xlfn.XLOOKUP(LD_01[[#This Row],[DISCIPLINA]],'CLASSES DE PROJETOS'!$F$3:$F$37,'CLASSES DE PROJETOS'!$C$3:$C$37)</f>
        <v>PA</v>
      </c>
      <c r="H1005" t="str">
        <f>_xlfn.TEXTJOIN("/",TRUE,"MSV-163MS-"&amp;LD_01[[#This Row],[TRECHO]],_xlfn.XLOOKUP(LD_01[[#This Row],[SIGLA]],'CLASSES DE PROJETOS'!$C$3:$C$37,'CLASSES DE PROJETOS'!$E$3:$E$37))</f>
        <v>MSV-163MS-638-NORTE/27.PA</v>
      </c>
      <c r="I1005" s="6" t="str" cm="1">
        <f t="array" ref="I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J1005" s="6" t="str" cm="1">
        <f t="array" ref="J1005">_xlfn.TEXTJOIN(", ",TRUE,_xlfn.UNIQUE(_xlfn._xlws.FILTER(ARQUIVOS_RECEBIDOS!$F$2:$F$5010,ARQUIVOS_RECEBIDOS!$E$2:$E$5010=LD_01[[#This Row],[DOCUMENTO]])))</f>
        <v>R01, R02</v>
      </c>
      <c r="K1005" s="12" cm="1">
        <f t="array" ref="K1005">_xlfn.UNIQUE(_xlfn._xlws.FILTER(ARQUIVOS[DATA RECEBIMENTO],(ARQUIVOS[DOCUMENTO]=LD_01[[#This Row],[DOCUMENTO]])*(ARQUIVOS[REVISÃO]=LD_01[[#This Row],[REVISÃO]])))</f>
        <v>45859</v>
      </c>
      <c r="L10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M1005" s="6" t="str">
        <f>LD_01[[#This Row],[PASTA]]&amp;"/"&amp;LD_01[[#This Row],[ARQUIVO]]</f>
        <v>MSV-163MS-638-NORTE/27.PA/MSV-163MS-638+600-EDI-EXE-DE-N2-003-R02.pdf</v>
      </c>
    </row>
    <row r="1006" spans="1:13" ht="28.8" hidden="1" x14ac:dyDescent="0.3">
      <c r="A1006" s="6" t="s">
        <v>3918</v>
      </c>
      <c r="B1006" s="6" t="str">
        <f>VLOOKUP(LD_01[[#This Row],[DOCUMENTO]],_xlfn.SORTBY(ARQUIVOS_RECEBIDOS!$E$2:$F$5010,ARQUIVOS_RECEBIDOS!$F$2:$F$5010,-1),2,)</f>
        <v>R02</v>
      </c>
      <c r="C1006" s="15" t="s">
        <v>5987</v>
      </c>
      <c r="D1006" s="6" t="s">
        <v>4320</v>
      </c>
      <c r="E1006" s="8" t="s">
        <v>5022</v>
      </c>
      <c r="F1006" s="8" t="s">
        <v>4334</v>
      </c>
      <c r="G1006" s="6" t="str">
        <f>_xlfn.XLOOKUP(LD_01[[#This Row],[DISCIPLINA]],'CLASSES DE PROJETOS'!$F$3:$F$37,'CLASSES DE PROJETOS'!$C$3:$C$37)</f>
        <v>PA</v>
      </c>
      <c r="H1006" t="str">
        <f>_xlfn.TEXTJOIN("/",TRUE,"MSV-163MS-"&amp;LD_01[[#This Row],[TRECHO]],_xlfn.XLOOKUP(LD_01[[#This Row],[SIGLA]],'CLASSES DE PROJETOS'!$C$3:$C$37,'CLASSES DE PROJETOS'!$E$3:$E$37))</f>
        <v>MSV-163MS-638-NORTE/27.PA</v>
      </c>
      <c r="I1006" s="6" t="str" cm="1">
        <f t="array" ref="I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J1006" s="6" t="str" cm="1">
        <f t="array" ref="J1006">_xlfn.TEXTJOIN(", ",TRUE,_xlfn.UNIQUE(_xlfn._xlws.FILTER(ARQUIVOS_RECEBIDOS!$F$2:$F$5010,ARQUIVOS_RECEBIDOS!$E$2:$E$5010=LD_01[[#This Row],[DOCUMENTO]])))</f>
        <v>R01, R02</v>
      </c>
      <c r="K1006" s="12" cm="1">
        <f t="array" ref="K1006">_xlfn.UNIQUE(_xlfn._xlws.FILTER(ARQUIVOS[DATA RECEBIMENTO],(ARQUIVOS[DOCUMENTO]=LD_01[[#This Row],[DOCUMENTO]])*(ARQUIVOS[REVISÃO]=LD_01[[#This Row],[REVISÃO]])))</f>
        <v>45859</v>
      </c>
      <c r="L10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M1006" s="6" t="str">
        <f>LD_01[[#This Row],[PASTA]]&amp;"/"&amp;LD_01[[#This Row],[ARQUIVO]]</f>
        <v>MSV-163MS-638-NORTE/27.PA/MSV-163MS-638+600-EDI-EXE-DE-N2-004-R02.pdf</v>
      </c>
    </row>
    <row r="1007" spans="1:13" ht="28.8" hidden="1" x14ac:dyDescent="0.3">
      <c r="A1007" s="6" t="s">
        <v>4057</v>
      </c>
      <c r="B1007" s="6" t="str">
        <f>VLOOKUP(LD_01[[#This Row],[DOCUMENTO]],_xlfn.SORTBY(ARQUIVOS_RECEBIDOS!$E$2:$F$5010,ARQUIVOS_RECEBIDOS!$F$2:$F$5010,-1),2,)</f>
        <v>R02</v>
      </c>
      <c r="C1007" s="15" t="s">
        <v>5987</v>
      </c>
      <c r="D1007" s="6" t="s">
        <v>4320</v>
      </c>
      <c r="E1007" s="8" t="s">
        <v>5022</v>
      </c>
      <c r="F1007" s="8" t="s">
        <v>4334</v>
      </c>
      <c r="G1007" s="6" t="str">
        <f>_xlfn.XLOOKUP(LD_01[[#This Row],[DISCIPLINA]],'CLASSES DE PROJETOS'!$F$3:$F$37,'CLASSES DE PROJETOS'!$C$3:$C$37)</f>
        <v>PA</v>
      </c>
      <c r="H1007" t="str">
        <f>_xlfn.TEXTJOIN("/",TRUE,"MSV-163MS-"&amp;LD_01[[#This Row],[TRECHO]],_xlfn.XLOOKUP(LD_01[[#This Row],[SIGLA]],'CLASSES DE PROJETOS'!$C$3:$C$37,'CLASSES DE PROJETOS'!$E$3:$E$37))</f>
        <v>MSV-163MS-638-NORTE/27.PA</v>
      </c>
      <c r="I1007" s="6" t="str" cm="1">
        <f t="array" ref="I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J1007" s="6" t="str" cm="1">
        <f t="array" ref="J1007">_xlfn.TEXTJOIN(", ",TRUE,_xlfn.UNIQUE(_xlfn._xlws.FILTER(ARQUIVOS_RECEBIDOS!$F$2:$F$5010,ARQUIVOS_RECEBIDOS!$E$2:$E$5010=LD_01[[#This Row],[DOCUMENTO]])))</f>
        <v>R02</v>
      </c>
      <c r="K1007" s="12" cm="1">
        <f t="array" ref="K1007">_xlfn.UNIQUE(_xlfn._xlws.FILTER(ARQUIVOS[DATA RECEBIMENTO],(ARQUIVOS[DOCUMENTO]=LD_01[[#This Row],[DOCUMENTO]])*(ARQUIVOS[REVISÃO]=LD_01[[#This Row],[REVISÃO]])))</f>
        <v>45859</v>
      </c>
      <c r="L10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M1007" s="6" t="str">
        <f>LD_01[[#This Row],[PASTA]]&amp;"/"&amp;LD_01[[#This Row],[ARQUIVO]]</f>
        <v>MSV-163MS-638-NORTE/27.PA/MSV-163MS-638+600-EDI-EXE-DE-N2-005-R02.pdf</v>
      </c>
    </row>
    <row r="1008" spans="1:13" ht="28.8" hidden="1" x14ac:dyDescent="0.3">
      <c r="A1008" s="6" t="s">
        <v>3830</v>
      </c>
      <c r="B1008" s="6" t="str">
        <f>VLOOKUP(LD_01[[#This Row],[DOCUMENTO]],_xlfn.SORTBY(ARQUIVOS_RECEBIDOS!$E$2:$F$5010,ARQUIVOS_RECEBIDOS!$F$2:$F$5010,-1),2,)</f>
        <v>R03</v>
      </c>
      <c r="C1008" s="15" t="s">
        <v>5987</v>
      </c>
      <c r="D1008" s="6" t="s">
        <v>4320</v>
      </c>
      <c r="E1008" s="8" t="s">
        <v>4087</v>
      </c>
      <c r="F1008" s="8" t="s">
        <v>4144</v>
      </c>
      <c r="G1008" s="6" t="str">
        <f>_xlfn.XLOOKUP(LD_01[[#This Row],[DISCIPLINA]],'CLASSES DE PROJETOS'!$F$3:$F$37,'CLASSES DE PROJETOS'!$C$3:$C$37)</f>
        <v>DV</v>
      </c>
      <c r="H1008" t="str">
        <f>_xlfn.TEXTJOIN("/",TRUE,"MSV-163MS-"&amp;LD_01[[#This Row],[TRECHO]],_xlfn.XLOOKUP(LD_01[[#This Row],[SIGLA]],'CLASSES DE PROJETOS'!$C$3:$C$37,'CLASSES DE PROJETOS'!$E$3:$E$37))</f>
        <v>MSV-163MS-638-NORTE/12.DV</v>
      </c>
      <c r="I1008" s="6" t="str" cm="1">
        <f t="array" ref="I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J1008" s="6" t="str" cm="1">
        <f t="array" ref="J1008">_xlfn.TEXTJOIN(", ",TRUE,_xlfn.UNIQUE(_xlfn._xlws.FILTER(ARQUIVOS_RECEBIDOS!$F$2:$F$5010,ARQUIVOS_RECEBIDOS!$E$2:$E$5010=LD_01[[#This Row],[DOCUMENTO]])))</f>
        <v>R01, R03</v>
      </c>
      <c r="K1008" s="12" cm="1">
        <f t="array" ref="K1008">_xlfn.UNIQUE(_xlfn._xlws.FILTER(ARQUIVOS[DATA RECEBIMENTO],(ARQUIVOS[DOCUMENTO]=LD_01[[#This Row],[DOCUMENTO]])*(ARQUIVOS[REVISÃO]=LD_01[[#This Row],[REVISÃO]])))</f>
        <v>45931</v>
      </c>
      <c r="L10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M1008" s="6" t="str">
        <f>LD_01[[#This Row],[PASTA]]&amp;"/"&amp;LD_01[[#This Row],[ARQUIVO]]</f>
        <v>MSV-163MS-638-NORTE/12.DV/MSV-163MS-638+600-EDI-EXE-DE-O2-001-R03.pdf</v>
      </c>
    </row>
    <row r="1009" spans="1:13" ht="28.8" hidden="1" x14ac:dyDescent="0.3">
      <c r="A1009" s="6" t="s">
        <v>3831</v>
      </c>
      <c r="B1009" s="6" t="str">
        <f>VLOOKUP(LD_01[[#This Row],[DOCUMENTO]],_xlfn.SORTBY(ARQUIVOS_RECEBIDOS!$E$2:$F$5010,ARQUIVOS_RECEBIDOS!$F$2:$F$5010,-1),2,)</f>
        <v>R03</v>
      </c>
      <c r="C1009" s="15" t="s">
        <v>5987</v>
      </c>
      <c r="D1009" s="6" t="s">
        <v>4320</v>
      </c>
      <c r="E1009" s="8" t="s">
        <v>4087</v>
      </c>
      <c r="F1009" s="8" t="s">
        <v>4144</v>
      </c>
      <c r="G1009" s="6" t="str">
        <f>_xlfn.XLOOKUP(LD_01[[#This Row],[DISCIPLINA]],'CLASSES DE PROJETOS'!$F$3:$F$37,'CLASSES DE PROJETOS'!$C$3:$C$37)</f>
        <v>DV</v>
      </c>
      <c r="H1009" t="str">
        <f>_xlfn.TEXTJOIN("/",TRUE,"MSV-163MS-"&amp;LD_01[[#This Row],[TRECHO]],_xlfn.XLOOKUP(LD_01[[#This Row],[SIGLA]],'CLASSES DE PROJETOS'!$C$3:$C$37,'CLASSES DE PROJETOS'!$E$3:$E$37))</f>
        <v>MSV-163MS-638-NORTE/12.DV</v>
      </c>
      <c r="I1009" s="6" t="str" cm="1">
        <f t="array" ref="I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J1009" s="6" t="str" cm="1">
        <f t="array" ref="J1009">_xlfn.TEXTJOIN(", ",TRUE,_xlfn.UNIQUE(_xlfn._xlws.FILTER(ARQUIVOS_RECEBIDOS!$F$2:$F$5010,ARQUIVOS_RECEBIDOS!$E$2:$E$5010=LD_01[[#This Row],[DOCUMENTO]])))</f>
        <v>R01, R02, R03</v>
      </c>
      <c r="K1009" s="12" cm="1">
        <f t="array" ref="K1009">_xlfn.UNIQUE(_xlfn._xlws.FILTER(ARQUIVOS[DATA RECEBIMENTO],(ARQUIVOS[DOCUMENTO]=LD_01[[#This Row],[DOCUMENTO]])*(ARQUIVOS[REVISÃO]=LD_01[[#This Row],[REVISÃO]])))</f>
        <v>45931</v>
      </c>
      <c r="L10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M1009" s="6" t="str">
        <f>LD_01[[#This Row],[PASTA]]&amp;"/"&amp;LD_01[[#This Row],[ARQUIVO]]</f>
        <v>MSV-163MS-638-NORTE/12.DV/MSV-163MS-638+600-EDI-EXE-DE-O2-002-R03.pdf</v>
      </c>
    </row>
    <row r="1010" spans="1:13" ht="28.8" hidden="1" x14ac:dyDescent="0.3">
      <c r="A1010" s="6" t="s">
        <v>3832</v>
      </c>
      <c r="B1010" s="6" t="str">
        <f>VLOOKUP(LD_01[[#This Row],[DOCUMENTO]],_xlfn.SORTBY(ARQUIVOS_RECEBIDOS!$E$2:$F$5010,ARQUIVOS_RECEBIDOS!$F$2:$F$5010,-1),2,)</f>
        <v>R03</v>
      </c>
      <c r="C1010" s="15" t="s">
        <v>5987</v>
      </c>
      <c r="D1010" s="6" t="s">
        <v>4320</v>
      </c>
      <c r="E1010" s="8" t="s">
        <v>4087</v>
      </c>
      <c r="F1010" s="8" t="s">
        <v>4144</v>
      </c>
      <c r="G1010" s="6" t="str">
        <f>_xlfn.XLOOKUP(LD_01[[#This Row],[DISCIPLINA]],'CLASSES DE PROJETOS'!$F$3:$F$37,'CLASSES DE PROJETOS'!$C$3:$C$37)</f>
        <v>DV</v>
      </c>
      <c r="H1010" t="str">
        <f>_xlfn.TEXTJOIN("/",TRUE,"MSV-163MS-"&amp;LD_01[[#This Row],[TRECHO]],_xlfn.XLOOKUP(LD_01[[#This Row],[SIGLA]],'CLASSES DE PROJETOS'!$C$3:$C$37,'CLASSES DE PROJETOS'!$E$3:$E$37))</f>
        <v>MSV-163MS-638-NORTE/12.DV</v>
      </c>
      <c r="I1010" s="6" t="str" cm="1">
        <f t="array" ref="I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J1010" s="6" t="str" cm="1">
        <f t="array" ref="J1010">_xlfn.TEXTJOIN(", ",TRUE,_xlfn.UNIQUE(_xlfn._xlws.FILTER(ARQUIVOS_RECEBIDOS!$F$2:$F$5010,ARQUIVOS_RECEBIDOS!$E$2:$E$5010=LD_01[[#This Row],[DOCUMENTO]])))</f>
        <v>R01, R02, R03</v>
      </c>
      <c r="K1010" s="12" cm="1">
        <f t="array" ref="K1010">_xlfn.UNIQUE(_xlfn._xlws.FILTER(ARQUIVOS[DATA RECEBIMENTO],(ARQUIVOS[DOCUMENTO]=LD_01[[#This Row],[DOCUMENTO]])*(ARQUIVOS[REVISÃO]=LD_01[[#This Row],[REVISÃO]])))</f>
        <v>45931</v>
      </c>
      <c r="L10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M1010" s="6" t="str">
        <f>LD_01[[#This Row],[PASTA]]&amp;"/"&amp;LD_01[[#This Row],[ARQUIVO]]</f>
        <v>MSV-163MS-638-NORTE/12.DV/MSV-163MS-638+600-EDI-EXE-DE-O2-003-R03.pdf</v>
      </c>
    </row>
    <row r="1011" spans="1:13" ht="28.8" hidden="1" x14ac:dyDescent="0.3">
      <c r="A1011" s="6" t="s">
        <v>3833</v>
      </c>
      <c r="B1011" s="6" t="str">
        <f>VLOOKUP(LD_01[[#This Row],[DOCUMENTO]],_xlfn.SORTBY(ARQUIVOS_RECEBIDOS!$E$2:$F$5010,ARQUIVOS_RECEBIDOS!$F$2:$F$5010,-1),2,)</f>
        <v>R03</v>
      </c>
      <c r="C1011" s="15" t="s">
        <v>5987</v>
      </c>
      <c r="D1011" s="6" t="s">
        <v>4320</v>
      </c>
      <c r="E1011" s="8" t="s">
        <v>4087</v>
      </c>
      <c r="F1011" s="8" t="s">
        <v>4144</v>
      </c>
      <c r="G1011" s="6" t="str">
        <f>_xlfn.XLOOKUP(LD_01[[#This Row],[DISCIPLINA]],'CLASSES DE PROJETOS'!$F$3:$F$37,'CLASSES DE PROJETOS'!$C$3:$C$37)</f>
        <v>DV</v>
      </c>
      <c r="H1011" t="str">
        <f>_xlfn.TEXTJOIN("/",TRUE,"MSV-163MS-"&amp;LD_01[[#This Row],[TRECHO]],_xlfn.XLOOKUP(LD_01[[#This Row],[SIGLA]],'CLASSES DE PROJETOS'!$C$3:$C$37,'CLASSES DE PROJETOS'!$E$3:$E$37))</f>
        <v>MSV-163MS-638-NORTE/12.DV</v>
      </c>
      <c r="I1011" s="6" t="str" cm="1">
        <f t="array" ref="I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J1011" s="6" t="str" cm="1">
        <f t="array" ref="J1011">_xlfn.TEXTJOIN(", ",TRUE,_xlfn.UNIQUE(_xlfn._xlws.FILTER(ARQUIVOS_RECEBIDOS!$F$2:$F$5010,ARQUIVOS_RECEBIDOS!$E$2:$E$5010=LD_01[[#This Row],[DOCUMENTO]])))</f>
        <v>R01, R02, R03</v>
      </c>
      <c r="K1011" s="12" cm="1">
        <f t="array" ref="K1011">_xlfn.UNIQUE(_xlfn._xlws.FILTER(ARQUIVOS[DATA RECEBIMENTO],(ARQUIVOS[DOCUMENTO]=LD_01[[#This Row],[DOCUMENTO]])*(ARQUIVOS[REVISÃO]=LD_01[[#This Row],[REVISÃO]])))</f>
        <v>45931</v>
      </c>
      <c r="L10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M1011" s="6" t="str">
        <f>LD_01[[#This Row],[PASTA]]&amp;"/"&amp;LD_01[[#This Row],[ARQUIVO]]</f>
        <v>MSV-163MS-638-NORTE/12.DV/MSV-163MS-638+600-EDI-EXE-DE-O2-004-R03.pdf</v>
      </c>
    </row>
    <row r="1012" spans="1:13" ht="28.8" hidden="1" x14ac:dyDescent="0.3">
      <c r="A1012" s="6" t="s">
        <v>3834</v>
      </c>
      <c r="B1012" s="6" t="str">
        <f>VLOOKUP(LD_01[[#This Row],[DOCUMENTO]],_xlfn.SORTBY(ARQUIVOS_RECEBIDOS!$E$2:$F$5010,ARQUIVOS_RECEBIDOS!$F$2:$F$5010,-1),2,)</f>
        <v>R03</v>
      </c>
      <c r="C1012" s="15" t="s">
        <v>5987</v>
      </c>
      <c r="D1012" s="6" t="s">
        <v>4320</v>
      </c>
      <c r="E1012" s="8" t="s">
        <v>4087</v>
      </c>
      <c r="F1012" s="8" t="s">
        <v>4144</v>
      </c>
      <c r="G1012" s="6" t="str">
        <f>_xlfn.XLOOKUP(LD_01[[#This Row],[DISCIPLINA]],'CLASSES DE PROJETOS'!$F$3:$F$37,'CLASSES DE PROJETOS'!$C$3:$C$37)</f>
        <v>DV</v>
      </c>
      <c r="H1012" t="str">
        <f>_xlfn.TEXTJOIN("/",TRUE,"MSV-163MS-"&amp;LD_01[[#This Row],[TRECHO]],_xlfn.XLOOKUP(LD_01[[#This Row],[SIGLA]],'CLASSES DE PROJETOS'!$C$3:$C$37,'CLASSES DE PROJETOS'!$E$3:$E$37))</f>
        <v>MSV-163MS-638-NORTE/12.DV</v>
      </c>
      <c r="I1012" s="6" t="str" cm="1">
        <f t="array" ref="I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J1012" s="6" t="str" cm="1">
        <f t="array" ref="J1012">_xlfn.TEXTJOIN(", ",TRUE,_xlfn.UNIQUE(_xlfn._xlws.FILTER(ARQUIVOS_RECEBIDOS!$F$2:$F$5010,ARQUIVOS_RECEBIDOS!$E$2:$E$5010=LD_01[[#This Row],[DOCUMENTO]])))</f>
        <v>R01, R02, R03</v>
      </c>
      <c r="K1012" s="12" cm="1">
        <f t="array" ref="K1012">_xlfn.UNIQUE(_xlfn._xlws.FILTER(ARQUIVOS[DATA RECEBIMENTO],(ARQUIVOS[DOCUMENTO]=LD_01[[#This Row],[DOCUMENTO]])*(ARQUIVOS[REVISÃO]=LD_01[[#This Row],[REVISÃO]])))</f>
        <v>45931</v>
      </c>
      <c r="L10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M1012" s="6" t="str">
        <f>LD_01[[#This Row],[PASTA]]&amp;"/"&amp;LD_01[[#This Row],[ARQUIVO]]</f>
        <v>MSV-163MS-638-NORTE/12.DV/MSV-163MS-638+600-EDI-EXE-DE-O2-005-R03.pdf</v>
      </c>
    </row>
    <row r="1013" spans="1:13" ht="28.8" hidden="1" x14ac:dyDescent="0.3">
      <c r="A1013" s="6" t="s">
        <v>3835</v>
      </c>
      <c r="B1013" s="6" t="str">
        <f>VLOOKUP(LD_01[[#This Row],[DOCUMENTO]],_xlfn.SORTBY(ARQUIVOS_RECEBIDOS!$E$2:$F$5010,ARQUIVOS_RECEBIDOS!$F$2:$F$5010,-1),2,)</f>
        <v>R03</v>
      </c>
      <c r="C1013" s="15" t="s">
        <v>5987</v>
      </c>
      <c r="D1013" s="6" t="s">
        <v>4320</v>
      </c>
      <c r="E1013" s="8" t="s">
        <v>4087</v>
      </c>
      <c r="F1013" s="8" t="s">
        <v>4144</v>
      </c>
      <c r="G1013" s="6" t="str">
        <f>_xlfn.XLOOKUP(LD_01[[#This Row],[DISCIPLINA]],'CLASSES DE PROJETOS'!$F$3:$F$37,'CLASSES DE PROJETOS'!$C$3:$C$37)</f>
        <v>DV</v>
      </c>
      <c r="H1013" t="str">
        <f>_xlfn.TEXTJOIN("/",TRUE,"MSV-163MS-"&amp;LD_01[[#This Row],[TRECHO]],_xlfn.XLOOKUP(LD_01[[#This Row],[SIGLA]],'CLASSES DE PROJETOS'!$C$3:$C$37,'CLASSES DE PROJETOS'!$E$3:$E$37))</f>
        <v>MSV-163MS-638-NORTE/12.DV</v>
      </c>
      <c r="I1013" s="6" t="str" cm="1">
        <f t="array" ref="I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J1013" s="6" t="str" cm="1">
        <f t="array" ref="J1013">_xlfn.TEXTJOIN(", ",TRUE,_xlfn.UNIQUE(_xlfn._xlws.FILTER(ARQUIVOS_RECEBIDOS!$F$2:$F$5010,ARQUIVOS_RECEBIDOS!$E$2:$E$5010=LD_01[[#This Row],[DOCUMENTO]])))</f>
        <v>R01, R02, R03</v>
      </c>
      <c r="K1013" s="12" cm="1">
        <f t="array" ref="K1013">_xlfn.UNIQUE(_xlfn._xlws.FILTER(ARQUIVOS[DATA RECEBIMENTO],(ARQUIVOS[DOCUMENTO]=LD_01[[#This Row],[DOCUMENTO]])*(ARQUIVOS[REVISÃO]=LD_01[[#This Row],[REVISÃO]])))</f>
        <v>45931</v>
      </c>
      <c r="L10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M1013" s="6" t="str">
        <f>LD_01[[#This Row],[PASTA]]&amp;"/"&amp;LD_01[[#This Row],[ARQUIVO]]</f>
        <v>MSV-163MS-638-NORTE/12.DV/MSV-163MS-638+600-EDI-EXE-DE-O2-006-R03.pdf</v>
      </c>
    </row>
    <row r="1014" spans="1:13" ht="28.8" hidden="1" x14ac:dyDescent="0.3">
      <c r="A1014" s="6" t="s">
        <v>3836</v>
      </c>
      <c r="B1014" s="6" t="str">
        <f>VLOOKUP(LD_01[[#This Row],[DOCUMENTO]],_xlfn.SORTBY(ARQUIVOS_RECEBIDOS!$E$2:$F$5010,ARQUIVOS_RECEBIDOS!$F$2:$F$5010,-1),2,)</f>
        <v>R03</v>
      </c>
      <c r="C1014" s="15" t="s">
        <v>5987</v>
      </c>
      <c r="D1014" s="6" t="s">
        <v>4320</v>
      </c>
      <c r="E1014" s="8" t="s">
        <v>4087</v>
      </c>
      <c r="F1014" s="8" t="s">
        <v>4144</v>
      </c>
      <c r="G1014" s="6" t="str">
        <f>_xlfn.XLOOKUP(LD_01[[#This Row],[DISCIPLINA]],'CLASSES DE PROJETOS'!$F$3:$F$37,'CLASSES DE PROJETOS'!$C$3:$C$37)</f>
        <v>DV</v>
      </c>
      <c r="H1014" t="str">
        <f>_xlfn.TEXTJOIN("/",TRUE,"MSV-163MS-"&amp;LD_01[[#This Row],[TRECHO]],_xlfn.XLOOKUP(LD_01[[#This Row],[SIGLA]],'CLASSES DE PROJETOS'!$C$3:$C$37,'CLASSES DE PROJETOS'!$E$3:$E$37))</f>
        <v>MSV-163MS-638-NORTE/12.DV</v>
      </c>
      <c r="I1014" s="6" t="str" cm="1">
        <f t="array" ref="I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J1014" s="6" t="str" cm="1">
        <f t="array" ref="J1014">_xlfn.TEXTJOIN(", ",TRUE,_xlfn.UNIQUE(_xlfn._xlws.FILTER(ARQUIVOS_RECEBIDOS!$F$2:$F$5010,ARQUIVOS_RECEBIDOS!$E$2:$E$5010=LD_01[[#This Row],[DOCUMENTO]])))</f>
        <v>R01, R02, R03</v>
      </c>
      <c r="K1014" s="12" cm="1">
        <f t="array" ref="K1014">_xlfn.UNIQUE(_xlfn._xlws.FILTER(ARQUIVOS[DATA RECEBIMENTO],(ARQUIVOS[DOCUMENTO]=LD_01[[#This Row],[DOCUMENTO]])*(ARQUIVOS[REVISÃO]=LD_01[[#This Row],[REVISÃO]])))</f>
        <v>45931</v>
      </c>
      <c r="L10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M1014" s="6" t="str">
        <f>LD_01[[#This Row],[PASTA]]&amp;"/"&amp;LD_01[[#This Row],[ARQUIVO]]</f>
        <v>MSV-163MS-638-NORTE/12.DV/MSV-163MS-638+600-EDI-EXE-DE-O2-007-R03.pdf</v>
      </c>
    </row>
    <row r="1015" spans="1:13" ht="28.8" hidden="1" x14ac:dyDescent="0.3">
      <c r="A1015" s="6" t="s">
        <v>3837</v>
      </c>
      <c r="B1015" s="6" t="str">
        <f>VLOOKUP(LD_01[[#This Row],[DOCUMENTO]],_xlfn.SORTBY(ARQUIVOS_RECEBIDOS!$E$2:$F$5010,ARQUIVOS_RECEBIDOS!$F$2:$F$5010,-1),2,)</f>
        <v>R03</v>
      </c>
      <c r="C1015" s="15" t="s">
        <v>5987</v>
      </c>
      <c r="D1015" s="6" t="s">
        <v>4320</v>
      </c>
      <c r="E1015" s="8" t="s">
        <v>4087</v>
      </c>
      <c r="F1015" s="8" t="s">
        <v>4144</v>
      </c>
      <c r="G1015" s="6" t="str">
        <f>_xlfn.XLOOKUP(LD_01[[#This Row],[DISCIPLINA]],'CLASSES DE PROJETOS'!$F$3:$F$37,'CLASSES DE PROJETOS'!$C$3:$C$37)</f>
        <v>DV</v>
      </c>
      <c r="H1015" t="str">
        <f>_xlfn.TEXTJOIN("/",TRUE,"MSV-163MS-"&amp;LD_01[[#This Row],[TRECHO]],_xlfn.XLOOKUP(LD_01[[#This Row],[SIGLA]],'CLASSES DE PROJETOS'!$C$3:$C$37,'CLASSES DE PROJETOS'!$E$3:$E$37))</f>
        <v>MSV-163MS-638-NORTE/12.DV</v>
      </c>
      <c r="I1015" s="6" t="str" cm="1">
        <f t="array" ref="I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J1015" s="6" t="str" cm="1">
        <f t="array" ref="J1015">_xlfn.TEXTJOIN(", ",TRUE,_xlfn.UNIQUE(_xlfn._xlws.FILTER(ARQUIVOS_RECEBIDOS!$F$2:$F$5010,ARQUIVOS_RECEBIDOS!$E$2:$E$5010=LD_01[[#This Row],[DOCUMENTO]])))</f>
        <v>R01, R02, R03</v>
      </c>
      <c r="K1015" s="12" cm="1">
        <f t="array" ref="K1015">_xlfn.UNIQUE(_xlfn._xlws.FILTER(ARQUIVOS[DATA RECEBIMENTO],(ARQUIVOS[DOCUMENTO]=LD_01[[#This Row],[DOCUMENTO]])*(ARQUIVOS[REVISÃO]=LD_01[[#This Row],[REVISÃO]])))</f>
        <v>45931</v>
      </c>
      <c r="L10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M1015" s="6" t="str">
        <f>LD_01[[#This Row],[PASTA]]&amp;"/"&amp;LD_01[[#This Row],[ARQUIVO]]</f>
        <v>MSV-163MS-638-NORTE/12.DV/MSV-163MS-638+600-EDI-EXE-DE-O2-008-R03.pdf</v>
      </c>
    </row>
    <row r="1016" spans="1:13" ht="28.8" hidden="1" x14ac:dyDescent="0.3">
      <c r="A1016" s="6" t="s">
        <v>3838</v>
      </c>
      <c r="B1016" s="6" t="str">
        <f>VLOOKUP(LD_01[[#This Row],[DOCUMENTO]],_xlfn.SORTBY(ARQUIVOS_RECEBIDOS!$E$2:$F$5010,ARQUIVOS_RECEBIDOS!$F$2:$F$5010,-1),2,)</f>
        <v>R03</v>
      </c>
      <c r="C1016" s="15" t="s">
        <v>5987</v>
      </c>
      <c r="D1016" s="6" t="s">
        <v>4320</v>
      </c>
      <c r="E1016" s="8" t="s">
        <v>4087</v>
      </c>
      <c r="F1016" s="8" t="s">
        <v>4144</v>
      </c>
      <c r="G1016" s="6" t="str">
        <f>_xlfn.XLOOKUP(LD_01[[#This Row],[DISCIPLINA]],'CLASSES DE PROJETOS'!$F$3:$F$37,'CLASSES DE PROJETOS'!$C$3:$C$37)</f>
        <v>DV</v>
      </c>
      <c r="H1016" t="str">
        <f>_xlfn.TEXTJOIN("/",TRUE,"MSV-163MS-"&amp;LD_01[[#This Row],[TRECHO]],_xlfn.XLOOKUP(LD_01[[#This Row],[SIGLA]],'CLASSES DE PROJETOS'!$C$3:$C$37,'CLASSES DE PROJETOS'!$E$3:$E$37))</f>
        <v>MSV-163MS-638-NORTE/12.DV</v>
      </c>
      <c r="I1016" s="6" t="str" cm="1">
        <f t="array" ref="I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J1016" s="6" t="str" cm="1">
        <f t="array" ref="J1016">_xlfn.TEXTJOIN(", ",TRUE,_xlfn.UNIQUE(_xlfn._xlws.FILTER(ARQUIVOS_RECEBIDOS!$F$2:$F$5010,ARQUIVOS_RECEBIDOS!$E$2:$E$5010=LD_01[[#This Row],[DOCUMENTO]])))</f>
        <v>R01, R02, R03</v>
      </c>
      <c r="K1016" s="12" cm="1">
        <f t="array" ref="K1016">_xlfn.UNIQUE(_xlfn._xlws.FILTER(ARQUIVOS[DATA RECEBIMENTO],(ARQUIVOS[DOCUMENTO]=LD_01[[#This Row],[DOCUMENTO]])*(ARQUIVOS[REVISÃO]=LD_01[[#This Row],[REVISÃO]])))</f>
        <v>45931</v>
      </c>
      <c r="L10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M1016" s="6" t="str">
        <f>LD_01[[#This Row],[PASTA]]&amp;"/"&amp;LD_01[[#This Row],[ARQUIVO]]</f>
        <v>MSV-163MS-638-NORTE/12.DV/MSV-163MS-638+600-EDI-EXE-DE-O2-009-R03.pdf</v>
      </c>
    </row>
    <row r="1017" spans="1:13" ht="28.8" hidden="1" x14ac:dyDescent="0.3">
      <c r="A1017" s="6" t="s">
        <v>3839</v>
      </c>
      <c r="B1017" s="6" t="str">
        <f>VLOOKUP(LD_01[[#This Row],[DOCUMENTO]],_xlfn.SORTBY(ARQUIVOS_RECEBIDOS!$E$2:$F$5010,ARQUIVOS_RECEBIDOS!$F$2:$F$5010,-1),2,)</f>
        <v>R03</v>
      </c>
      <c r="C1017" s="15" t="s">
        <v>5987</v>
      </c>
      <c r="D1017" s="6" t="s">
        <v>4320</v>
      </c>
      <c r="E1017" s="8" t="s">
        <v>4087</v>
      </c>
      <c r="F1017" s="8" t="s">
        <v>4144</v>
      </c>
      <c r="G1017" s="6" t="str">
        <f>_xlfn.XLOOKUP(LD_01[[#This Row],[DISCIPLINA]],'CLASSES DE PROJETOS'!$F$3:$F$37,'CLASSES DE PROJETOS'!$C$3:$C$37)</f>
        <v>DV</v>
      </c>
      <c r="H1017" t="str">
        <f>_xlfn.TEXTJOIN("/",TRUE,"MSV-163MS-"&amp;LD_01[[#This Row],[TRECHO]],_xlfn.XLOOKUP(LD_01[[#This Row],[SIGLA]],'CLASSES DE PROJETOS'!$C$3:$C$37,'CLASSES DE PROJETOS'!$E$3:$E$37))</f>
        <v>MSV-163MS-638-NORTE/12.DV</v>
      </c>
      <c r="I1017" s="6" t="str" cm="1">
        <f t="array" ref="I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J1017" s="6" t="str" cm="1">
        <f t="array" ref="J1017">_xlfn.TEXTJOIN(", ",TRUE,_xlfn.UNIQUE(_xlfn._xlws.FILTER(ARQUIVOS_RECEBIDOS!$F$2:$F$5010,ARQUIVOS_RECEBIDOS!$E$2:$E$5010=LD_01[[#This Row],[DOCUMENTO]])))</f>
        <v>R01, R02, R03</v>
      </c>
      <c r="K1017" s="12" cm="1">
        <f t="array" ref="K1017">_xlfn.UNIQUE(_xlfn._xlws.FILTER(ARQUIVOS[DATA RECEBIMENTO],(ARQUIVOS[DOCUMENTO]=LD_01[[#This Row],[DOCUMENTO]])*(ARQUIVOS[REVISÃO]=LD_01[[#This Row],[REVISÃO]])))</f>
        <v>45931</v>
      </c>
      <c r="L10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M1017" s="6" t="str">
        <f>LD_01[[#This Row],[PASTA]]&amp;"/"&amp;LD_01[[#This Row],[ARQUIVO]]</f>
        <v>MSV-163MS-638-NORTE/12.DV/MSV-163MS-638+600-EDI-EXE-DE-O2-010-R03.pdf</v>
      </c>
    </row>
    <row r="1018" spans="1:13" ht="28.8" hidden="1" x14ac:dyDescent="0.3">
      <c r="A1018" s="6" t="s">
        <v>3840</v>
      </c>
      <c r="B1018" s="6" t="str">
        <f>VLOOKUP(LD_01[[#This Row],[DOCUMENTO]],_xlfn.SORTBY(ARQUIVOS_RECEBIDOS!$E$2:$F$5010,ARQUIVOS_RECEBIDOS!$F$2:$F$5010,-1),2,)</f>
        <v>R03</v>
      </c>
      <c r="C1018" s="15" t="s">
        <v>5987</v>
      </c>
      <c r="D1018" s="6" t="s">
        <v>4320</v>
      </c>
      <c r="E1018" s="8" t="s">
        <v>4087</v>
      </c>
      <c r="F1018" s="8" t="s">
        <v>4144</v>
      </c>
      <c r="G1018" s="6" t="str">
        <f>_xlfn.XLOOKUP(LD_01[[#This Row],[DISCIPLINA]],'CLASSES DE PROJETOS'!$F$3:$F$37,'CLASSES DE PROJETOS'!$C$3:$C$37)</f>
        <v>DV</v>
      </c>
      <c r="H1018" t="str">
        <f>_xlfn.TEXTJOIN("/",TRUE,"MSV-163MS-"&amp;LD_01[[#This Row],[TRECHO]],_xlfn.XLOOKUP(LD_01[[#This Row],[SIGLA]],'CLASSES DE PROJETOS'!$C$3:$C$37,'CLASSES DE PROJETOS'!$E$3:$E$37))</f>
        <v>MSV-163MS-638-NORTE/12.DV</v>
      </c>
      <c r="I1018" s="6" t="str" cm="1">
        <f t="array" ref="I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J1018" s="6" t="str" cm="1">
        <f t="array" ref="J1018">_xlfn.TEXTJOIN(", ",TRUE,_xlfn.UNIQUE(_xlfn._xlws.FILTER(ARQUIVOS_RECEBIDOS!$F$2:$F$5010,ARQUIVOS_RECEBIDOS!$E$2:$E$5010=LD_01[[#This Row],[DOCUMENTO]])))</f>
        <v>R01, R02, R03</v>
      </c>
      <c r="K1018" s="12" cm="1">
        <f t="array" ref="K1018">_xlfn.UNIQUE(_xlfn._xlws.FILTER(ARQUIVOS[DATA RECEBIMENTO],(ARQUIVOS[DOCUMENTO]=LD_01[[#This Row],[DOCUMENTO]])*(ARQUIVOS[REVISÃO]=LD_01[[#This Row],[REVISÃO]])))</f>
        <v>45931</v>
      </c>
      <c r="L10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M1018" s="6" t="str">
        <f>LD_01[[#This Row],[PASTA]]&amp;"/"&amp;LD_01[[#This Row],[ARQUIVO]]</f>
        <v>MSV-163MS-638-NORTE/12.DV/MSV-163MS-638+600-EDI-EXE-DE-O2-011-R03.pdf</v>
      </c>
    </row>
    <row r="1019" spans="1:13" ht="28.8" hidden="1" x14ac:dyDescent="0.3">
      <c r="A1019" s="6" t="s">
        <v>3841</v>
      </c>
      <c r="B1019" s="6" t="str">
        <f>VLOOKUP(LD_01[[#This Row],[DOCUMENTO]],_xlfn.SORTBY(ARQUIVOS_RECEBIDOS!$E$2:$F$5010,ARQUIVOS_RECEBIDOS!$F$2:$F$5010,-1),2,)</f>
        <v>R03</v>
      </c>
      <c r="C1019" s="15" t="s">
        <v>5987</v>
      </c>
      <c r="D1019" s="6" t="s">
        <v>4320</v>
      </c>
      <c r="E1019" s="8" t="s">
        <v>4087</v>
      </c>
      <c r="F1019" s="8" t="s">
        <v>4144</v>
      </c>
      <c r="G1019" s="6" t="str">
        <f>_xlfn.XLOOKUP(LD_01[[#This Row],[DISCIPLINA]],'CLASSES DE PROJETOS'!$F$3:$F$37,'CLASSES DE PROJETOS'!$C$3:$C$37)</f>
        <v>DV</v>
      </c>
      <c r="H1019" t="str">
        <f>_xlfn.TEXTJOIN("/",TRUE,"MSV-163MS-"&amp;LD_01[[#This Row],[TRECHO]],_xlfn.XLOOKUP(LD_01[[#This Row],[SIGLA]],'CLASSES DE PROJETOS'!$C$3:$C$37,'CLASSES DE PROJETOS'!$E$3:$E$37))</f>
        <v>MSV-163MS-638-NORTE/12.DV</v>
      </c>
      <c r="I1019" s="6" t="str" cm="1">
        <f t="array" ref="I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J1019" s="6" t="str" cm="1">
        <f t="array" ref="J1019">_xlfn.TEXTJOIN(", ",TRUE,_xlfn.UNIQUE(_xlfn._xlws.FILTER(ARQUIVOS_RECEBIDOS!$F$2:$F$5010,ARQUIVOS_RECEBIDOS!$E$2:$E$5010=LD_01[[#This Row],[DOCUMENTO]])))</f>
        <v>R01, R02, R03</v>
      </c>
      <c r="K1019" s="12" cm="1">
        <f t="array" ref="K1019">_xlfn.UNIQUE(_xlfn._xlws.FILTER(ARQUIVOS[DATA RECEBIMENTO],(ARQUIVOS[DOCUMENTO]=LD_01[[#This Row],[DOCUMENTO]])*(ARQUIVOS[REVISÃO]=LD_01[[#This Row],[REVISÃO]])))</f>
        <v>45931</v>
      </c>
      <c r="L10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M1019" s="6" t="str">
        <f>LD_01[[#This Row],[PASTA]]&amp;"/"&amp;LD_01[[#This Row],[ARQUIVO]]</f>
        <v>MSV-163MS-638-NORTE/12.DV/MSV-163MS-638+600-EDI-EXE-DE-O2-012-R03.pdf</v>
      </c>
    </row>
    <row r="1020" spans="1:13" ht="28.8" hidden="1" x14ac:dyDescent="0.3">
      <c r="A1020" s="6" t="s">
        <v>3842</v>
      </c>
      <c r="B1020" s="6" t="str">
        <f>VLOOKUP(LD_01[[#This Row],[DOCUMENTO]],_xlfn.SORTBY(ARQUIVOS_RECEBIDOS!$E$2:$F$5010,ARQUIVOS_RECEBIDOS!$F$2:$F$5010,-1),2,)</f>
        <v>R02</v>
      </c>
      <c r="C1020" s="15" t="s">
        <v>5987</v>
      </c>
      <c r="D1020" s="6" t="s">
        <v>4320</v>
      </c>
      <c r="E1020" s="8" t="s">
        <v>5016</v>
      </c>
      <c r="F1020" s="8" t="s">
        <v>4144</v>
      </c>
      <c r="G1020" s="6" t="str">
        <f>_xlfn.XLOOKUP(LD_01[[#This Row],[DISCIPLINA]],'CLASSES DE PROJETOS'!$F$3:$F$37,'CLASSES DE PROJETOS'!$C$3:$C$37)</f>
        <v>DV</v>
      </c>
      <c r="H1020" t="str">
        <f>_xlfn.TEXTJOIN("/",TRUE,"MSV-163MS-"&amp;LD_01[[#This Row],[TRECHO]],_xlfn.XLOOKUP(LD_01[[#This Row],[SIGLA]],'CLASSES DE PROJETOS'!$C$3:$C$37,'CLASSES DE PROJETOS'!$E$3:$E$37))</f>
        <v>MSV-163MS-638-NORTE/12.DV</v>
      </c>
      <c r="I1020" s="6" t="str" cm="1">
        <f t="array" ref="I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J1020" s="6" t="str" cm="1">
        <f t="array" ref="J1020">_xlfn.TEXTJOIN(", ",TRUE,_xlfn.UNIQUE(_xlfn._xlws.FILTER(ARQUIVOS_RECEBIDOS!$F$2:$F$5010,ARQUIVOS_RECEBIDOS!$E$2:$E$5010=LD_01[[#This Row],[DOCUMENTO]])))</f>
        <v>R00, R01, R02</v>
      </c>
      <c r="K1020" s="12" cm="1">
        <f t="array" ref="K1020">_xlfn.UNIQUE(_xlfn._xlws.FILTER(ARQUIVOS[DATA RECEBIMENTO],(ARQUIVOS[DOCUMENTO]=LD_01[[#This Row],[DOCUMENTO]])*(ARQUIVOS[REVISÃO]=LD_01[[#This Row],[REVISÃO]])))</f>
        <v>45931</v>
      </c>
      <c r="L10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M1020" s="6" t="str">
        <f>LD_01[[#This Row],[PASTA]]&amp;"/"&amp;LD_01[[#This Row],[ARQUIVO]]</f>
        <v>MSV-163MS-638-NORTE/12.DV/MSV-163MS-638+600-EDI-EXE-DE-O2-013-R02.pdf</v>
      </c>
    </row>
    <row r="1021" spans="1:13" ht="28.8" hidden="1" x14ac:dyDescent="0.3">
      <c r="A1021" s="6" t="s">
        <v>3843</v>
      </c>
      <c r="B1021" s="6" t="str">
        <f>VLOOKUP(LD_01[[#This Row],[DOCUMENTO]],_xlfn.SORTBY(ARQUIVOS_RECEBIDOS!$E$2:$F$5010,ARQUIVOS_RECEBIDOS!$F$2:$F$5010,-1),2,)</f>
        <v>R02</v>
      </c>
      <c r="C1021" s="15" t="s">
        <v>5987</v>
      </c>
      <c r="D1021" s="6" t="s">
        <v>4320</v>
      </c>
      <c r="E1021" s="8" t="s">
        <v>5016</v>
      </c>
      <c r="F1021" s="8" t="s">
        <v>4144</v>
      </c>
      <c r="G1021" s="6" t="str">
        <f>_xlfn.XLOOKUP(LD_01[[#This Row],[DISCIPLINA]],'CLASSES DE PROJETOS'!$F$3:$F$37,'CLASSES DE PROJETOS'!$C$3:$C$37)</f>
        <v>DV</v>
      </c>
      <c r="H1021" t="str">
        <f>_xlfn.TEXTJOIN("/",TRUE,"MSV-163MS-"&amp;LD_01[[#This Row],[TRECHO]],_xlfn.XLOOKUP(LD_01[[#This Row],[SIGLA]],'CLASSES DE PROJETOS'!$C$3:$C$37,'CLASSES DE PROJETOS'!$E$3:$E$37))</f>
        <v>MSV-163MS-638-NORTE/12.DV</v>
      </c>
      <c r="I1021" s="6" t="str" cm="1">
        <f t="array" ref="I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J1021" s="6" t="str" cm="1">
        <f t="array" ref="J1021">_xlfn.TEXTJOIN(", ",TRUE,_xlfn.UNIQUE(_xlfn._xlws.FILTER(ARQUIVOS_RECEBIDOS!$F$2:$F$5010,ARQUIVOS_RECEBIDOS!$E$2:$E$5010=LD_01[[#This Row],[DOCUMENTO]])))</f>
        <v>R00, R01, R02</v>
      </c>
      <c r="K1021" s="12" cm="1">
        <f t="array" ref="K1021">_xlfn.UNIQUE(_xlfn._xlws.FILTER(ARQUIVOS[DATA RECEBIMENTO],(ARQUIVOS[DOCUMENTO]=LD_01[[#This Row],[DOCUMENTO]])*(ARQUIVOS[REVISÃO]=LD_01[[#This Row],[REVISÃO]])))</f>
        <v>45931</v>
      </c>
      <c r="L10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M1021" s="6" t="str">
        <f>LD_01[[#This Row],[PASTA]]&amp;"/"&amp;LD_01[[#This Row],[ARQUIVO]]</f>
        <v>MSV-163MS-638-NORTE/12.DV/MSV-163MS-638+600-EDI-EXE-DE-O2-014-R02.pdf</v>
      </c>
    </row>
    <row r="1022" spans="1:13" ht="28.8" hidden="1" x14ac:dyDescent="0.3">
      <c r="A1022" s="6" t="s">
        <v>3844</v>
      </c>
      <c r="B1022" s="6" t="str">
        <f>VLOOKUP(LD_01[[#This Row],[DOCUMENTO]],_xlfn.SORTBY(ARQUIVOS_RECEBIDOS!$E$2:$F$5010,ARQUIVOS_RECEBIDOS!$F$2:$F$5010,-1),2,)</f>
        <v>R02</v>
      </c>
      <c r="C1022" s="15" t="s">
        <v>5987</v>
      </c>
      <c r="D1022" s="6" t="s">
        <v>4320</v>
      </c>
      <c r="E1022" s="8" t="s">
        <v>5016</v>
      </c>
      <c r="F1022" s="8" t="s">
        <v>4144</v>
      </c>
      <c r="G1022" s="6" t="str">
        <f>_xlfn.XLOOKUP(LD_01[[#This Row],[DISCIPLINA]],'CLASSES DE PROJETOS'!$F$3:$F$37,'CLASSES DE PROJETOS'!$C$3:$C$37)</f>
        <v>DV</v>
      </c>
      <c r="H1022" t="str">
        <f>_xlfn.TEXTJOIN("/",TRUE,"MSV-163MS-"&amp;LD_01[[#This Row],[TRECHO]],_xlfn.XLOOKUP(LD_01[[#This Row],[SIGLA]],'CLASSES DE PROJETOS'!$C$3:$C$37,'CLASSES DE PROJETOS'!$E$3:$E$37))</f>
        <v>MSV-163MS-638-NORTE/12.DV</v>
      </c>
      <c r="I1022" s="6" t="str" cm="1">
        <f t="array" ref="I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J1022" s="6" t="str" cm="1">
        <f t="array" ref="J1022">_xlfn.TEXTJOIN(", ",TRUE,_xlfn.UNIQUE(_xlfn._xlws.FILTER(ARQUIVOS_RECEBIDOS!$F$2:$F$5010,ARQUIVOS_RECEBIDOS!$E$2:$E$5010=LD_01[[#This Row],[DOCUMENTO]])))</f>
        <v>R00, R01, R02</v>
      </c>
      <c r="K1022" s="12" cm="1">
        <f t="array" ref="K1022">_xlfn.UNIQUE(_xlfn._xlws.FILTER(ARQUIVOS[DATA RECEBIMENTO],(ARQUIVOS[DOCUMENTO]=LD_01[[#This Row],[DOCUMENTO]])*(ARQUIVOS[REVISÃO]=LD_01[[#This Row],[REVISÃO]])))</f>
        <v>45931</v>
      </c>
      <c r="L10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M1022" s="6" t="str">
        <f>LD_01[[#This Row],[PASTA]]&amp;"/"&amp;LD_01[[#This Row],[ARQUIVO]]</f>
        <v>MSV-163MS-638-NORTE/12.DV/MSV-163MS-638+600-EDI-EXE-DE-O2-015-R02.pdf</v>
      </c>
    </row>
    <row r="1023" spans="1:13" ht="28.8" hidden="1" x14ac:dyDescent="0.3">
      <c r="A1023" s="6" t="s">
        <v>3845</v>
      </c>
      <c r="B1023" s="6" t="str">
        <f>VLOOKUP(LD_01[[#This Row],[DOCUMENTO]],_xlfn.SORTBY(ARQUIVOS_RECEBIDOS!$E$2:$F$5010,ARQUIVOS_RECEBIDOS!$F$2:$F$5010,-1),2,)</f>
        <v>R02</v>
      </c>
      <c r="C1023" s="15" t="s">
        <v>5987</v>
      </c>
      <c r="D1023" s="6" t="s">
        <v>4320</v>
      </c>
      <c r="E1023" s="8" t="s">
        <v>5016</v>
      </c>
      <c r="F1023" s="8" t="s">
        <v>4144</v>
      </c>
      <c r="G1023" s="6" t="str">
        <f>_xlfn.XLOOKUP(LD_01[[#This Row],[DISCIPLINA]],'CLASSES DE PROJETOS'!$F$3:$F$37,'CLASSES DE PROJETOS'!$C$3:$C$37)</f>
        <v>DV</v>
      </c>
      <c r="H1023" t="str">
        <f>_xlfn.TEXTJOIN("/",TRUE,"MSV-163MS-"&amp;LD_01[[#This Row],[TRECHO]],_xlfn.XLOOKUP(LD_01[[#This Row],[SIGLA]],'CLASSES DE PROJETOS'!$C$3:$C$37,'CLASSES DE PROJETOS'!$E$3:$E$37))</f>
        <v>MSV-163MS-638-NORTE/12.DV</v>
      </c>
      <c r="I1023" s="6" t="str" cm="1">
        <f t="array" ref="I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J1023" s="6" t="str" cm="1">
        <f t="array" ref="J1023">_xlfn.TEXTJOIN(", ",TRUE,_xlfn.UNIQUE(_xlfn._xlws.FILTER(ARQUIVOS_RECEBIDOS!$F$2:$F$5010,ARQUIVOS_RECEBIDOS!$E$2:$E$5010=LD_01[[#This Row],[DOCUMENTO]])))</f>
        <v>R00, R01, R02</v>
      </c>
      <c r="K1023" s="12" cm="1">
        <f t="array" ref="K1023">_xlfn.UNIQUE(_xlfn._xlws.FILTER(ARQUIVOS[DATA RECEBIMENTO],(ARQUIVOS[DOCUMENTO]=LD_01[[#This Row],[DOCUMENTO]])*(ARQUIVOS[REVISÃO]=LD_01[[#This Row],[REVISÃO]])))</f>
        <v>45931</v>
      </c>
      <c r="L10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M1023" s="6" t="str">
        <f>LD_01[[#This Row],[PASTA]]&amp;"/"&amp;LD_01[[#This Row],[ARQUIVO]]</f>
        <v>MSV-163MS-638-NORTE/12.DV/MSV-163MS-638+600-EDI-EXE-DE-O2-016-R02.pdf</v>
      </c>
    </row>
    <row r="1024" spans="1:13" ht="28.8" hidden="1" x14ac:dyDescent="0.3">
      <c r="A1024" s="6" t="s">
        <v>3846</v>
      </c>
      <c r="B1024" s="6" t="str">
        <f>VLOOKUP(LD_01[[#This Row],[DOCUMENTO]],_xlfn.SORTBY(ARQUIVOS_RECEBIDOS!$E$2:$F$5010,ARQUIVOS_RECEBIDOS!$F$2:$F$5010,-1),2,)</f>
        <v>R02</v>
      </c>
      <c r="C1024" s="15" t="s">
        <v>5987</v>
      </c>
      <c r="D1024" s="6" t="s">
        <v>4320</v>
      </c>
      <c r="E1024" s="8" t="s">
        <v>5017</v>
      </c>
      <c r="F1024" s="8" t="s">
        <v>4144</v>
      </c>
      <c r="G1024" s="6" t="str">
        <f>_xlfn.XLOOKUP(LD_01[[#This Row],[DISCIPLINA]],'CLASSES DE PROJETOS'!$F$3:$F$37,'CLASSES DE PROJETOS'!$C$3:$C$37)</f>
        <v>DV</v>
      </c>
      <c r="H1024" t="str">
        <f>_xlfn.TEXTJOIN("/",TRUE,"MSV-163MS-"&amp;LD_01[[#This Row],[TRECHO]],_xlfn.XLOOKUP(LD_01[[#This Row],[SIGLA]],'CLASSES DE PROJETOS'!$C$3:$C$37,'CLASSES DE PROJETOS'!$E$3:$E$37))</f>
        <v>MSV-163MS-638-NORTE/12.DV</v>
      </c>
      <c r="I1024" s="6" t="str" cm="1">
        <f t="array" ref="I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J1024" s="6" t="str" cm="1">
        <f t="array" ref="J1024">_xlfn.TEXTJOIN(", ",TRUE,_xlfn.UNIQUE(_xlfn._xlws.FILTER(ARQUIVOS_RECEBIDOS!$F$2:$F$5010,ARQUIVOS_RECEBIDOS!$E$2:$E$5010=LD_01[[#This Row],[DOCUMENTO]])))</f>
        <v>R00, R01, R02</v>
      </c>
      <c r="K1024" s="12" cm="1">
        <f t="array" ref="K1024">_xlfn.UNIQUE(_xlfn._xlws.FILTER(ARQUIVOS[DATA RECEBIMENTO],(ARQUIVOS[DOCUMENTO]=LD_01[[#This Row],[DOCUMENTO]])*(ARQUIVOS[REVISÃO]=LD_01[[#This Row],[REVISÃO]])))</f>
        <v>45931</v>
      </c>
      <c r="L10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M1024" s="6" t="str">
        <f>LD_01[[#This Row],[PASTA]]&amp;"/"&amp;LD_01[[#This Row],[ARQUIVO]]</f>
        <v>MSV-163MS-638-NORTE/12.DV/MSV-163MS-638+600-EDI-EXE-DE-O2-017-R02.pdf</v>
      </c>
    </row>
    <row r="1025" spans="1:13" ht="28.8" hidden="1" x14ac:dyDescent="0.3">
      <c r="A1025" s="6" t="s">
        <v>3847</v>
      </c>
      <c r="B1025" s="6" t="str">
        <f>VLOOKUP(LD_01[[#This Row],[DOCUMENTO]],_xlfn.SORTBY(ARQUIVOS_RECEBIDOS!$E$2:$F$5010,ARQUIVOS_RECEBIDOS!$F$2:$F$5010,-1),2,)</f>
        <v>R02</v>
      </c>
      <c r="C1025" s="15" t="s">
        <v>5987</v>
      </c>
      <c r="D1025" s="6" t="s">
        <v>4320</v>
      </c>
      <c r="E1025" s="8" t="s">
        <v>5018</v>
      </c>
      <c r="F1025" s="8" t="s">
        <v>4144</v>
      </c>
      <c r="G1025" s="6" t="str">
        <f>_xlfn.XLOOKUP(LD_01[[#This Row],[DISCIPLINA]],'CLASSES DE PROJETOS'!$F$3:$F$37,'CLASSES DE PROJETOS'!$C$3:$C$37)</f>
        <v>DV</v>
      </c>
      <c r="H1025" t="str">
        <f>_xlfn.TEXTJOIN("/",TRUE,"MSV-163MS-"&amp;LD_01[[#This Row],[TRECHO]],_xlfn.XLOOKUP(LD_01[[#This Row],[SIGLA]],'CLASSES DE PROJETOS'!$C$3:$C$37,'CLASSES DE PROJETOS'!$E$3:$E$37))</f>
        <v>MSV-163MS-638-NORTE/12.DV</v>
      </c>
      <c r="I1025" s="6" t="str" cm="1">
        <f t="array" ref="I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J1025" s="6" t="str" cm="1">
        <f t="array" ref="J1025">_xlfn.TEXTJOIN(", ",TRUE,_xlfn.UNIQUE(_xlfn._xlws.FILTER(ARQUIVOS_RECEBIDOS!$F$2:$F$5010,ARQUIVOS_RECEBIDOS!$E$2:$E$5010=LD_01[[#This Row],[DOCUMENTO]])))</f>
        <v>R00, R01, R02</v>
      </c>
      <c r="K1025" s="12" cm="1">
        <f t="array" ref="K1025">_xlfn.UNIQUE(_xlfn._xlws.FILTER(ARQUIVOS[DATA RECEBIMENTO],(ARQUIVOS[DOCUMENTO]=LD_01[[#This Row],[DOCUMENTO]])*(ARQUIVOS[REVISÃO]=LD_01[[#This Row],[REVISÃO]])))</f>
        <v>45931</v>
      </c>
      <c r="L10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M1025" s="6" t="str">
        <f>LD_01[[#This Row],[PASTA]]&amp;"/"&amp;LD_01[[#This Row],[ARQUIVO]]</f>
        <v>MSV-163MS-638-NORTE/12.DV/MSV-163MS-638+600-EDI-EXE-DE-O2-018-R02.pdf</v>
      </c>
    </row>
    <row r="1026" spans="1:13" ht="28.8" hidden="1" x14ac:dyDescent="0.3">
      <c r="A1026" s="6" t="s">
        <v>3848</v>
      </c>
      <c r="B1026" s="6" t="str">
        <f>VLOOKUP(LD_01[[#This Row],[DOCUMENTO]],_xlfn.SORTBY(ARQUIVOS_RECEBIDOS!$E$2:$F$5010,ARQUIVOS_RECEBIDOS!$F$2:$F$5010,-1),2,)</f>
        <v>R01</v>
      </c>
      <c r="C1026" s="15" t="s">
        <v>5987</v>
      </c>
      <c r="D1026" s="6" t="s">
        <v>4320</v>
      </c>
      <c r="E1026" s="8" t="s">
        <v>4089</v>
      </c>
      <c r="F1026" s="8" t="s">
        <v>4144</v>
      </c>
      <c r="G1026" s="6" t="str">
        <f>_xlfn.XLOOKUP(LD_01[[#This Row],[DISCIPLINA]],'CLASSES DE PROJETOS'!$F$3:$F$37,'CLASSES DE PROJETOS'!$C$3:$C$37)</f>
        <v>DV</v>
      </c>
      <c r="H1026" t="str">
        <f>_xlfn.TEXTJOIN("/",TRUE,"MSV-163MS-"&amp;LD_01[[#This Row],[TRECHO]],_xlfn.XLOOKUP(LD_01[[#This Row],[SIGLA]],'CLASSES DE PROJETOS'!$C$3:$C$37,'CLASSES DE PROJETOS'!$E$3:$E$37))</f>
        <v>MSV-163MS-638-NORTE/12.DV</v>
      </c>
      <c r="I1026" s="6" t="str" cm="1">
        <f t="array" ref="I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J1026" s="6" t="str" cm="1">
        <f t="array" ref="J1026">_xlfn.TEXTJOIN(", ",TRUE,_xlfn.UNIQUE(_xlfn._xlws.FILTER(ARQUIVOS_RECEBIDOS!$F$2:$F$5010,ARQUIVOS_RECEBIDOS!$E$2:$E$5010=LD_01[[#This Row],[DOCUMENTO]])))</f>
        <v>R00, R01</v>
      </c>
      <c r="K1026" s="12" cm="1">
        <f t="array" ref="K1026">_xlfn.UNIQUE(_xlfn._xlws.FILTER(ARQUIVOS[DATA RECEBIMENTO],(ARQUIVOS[DOCUMENTO]=LD_01[[#This Row],[DOCUMENTO]])*(ARQUIVOS[REVISÃO]=LD_01[[#This Row],[REVISÃO]])))</f>
        <v>45859</v>
      </c>
      <c r="L10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M1026" s="6" t="str">
        <f>LD_01[[#This Row],[PASTA]]&amp;"/"&amp;LD_01[[#This Row],[ARQUIVO]]</f>
        <v>MSV-163MS-638-NORTE/12.DV/MSV-163MS-638+600-EDI-EXE-DE-O2-019-R01.pdf</v>
      </c>
    </row>
    <row r="1027" spans="1:13" ht="28.8" hidden="1" x14ac:dyDescent="0.3">
      <c r="A1027" s="6" t="s">
        <v>3849</v>
      </c>
      <c r="B1027" s="6" t="str">
        <f>VLOOKUP(LD_01[[#This Row],[DOCUMENTO]],_xlfn.SORTBY(ARQUIVOS_RECEBIDOS!$E$2:$F$5010,ARQUIVOS_RECEBIDOS!$F$2:$F$5010,-1),2,)</f>
        <v>R00</v>
      </c>
      <c r="C1027" s="15" t="s">
        <v>5987</v>
      </c>
      <c r="D1027" s="6" t="s">
        <v>4320</v>
      </c>
      <c r="E1027" s="8" t="s">
        <v>5019</v>
      </c>
      <c r="F1027" s="8" t="s">
        <v>4144</v>
      </c>
      <c r="G1027" s="6" t="str">
        <f>_xlfn.XLOOKUP(LD_01[[#This Row],[DISCIPLINA]],'CLASSES DE PROJETOS'!$F$3:$F$37,'CLASSES DE PROJETOS'!$C$3:$C$37)</f>
        <v>DV</v>
      </c>
      <c r="H1027" t="str">
        <f>_xlfn.TEXTJOIN("/",TRUE,"MSV-163MS-"&amp;LD_01[[#This Row],[TRECHO]],_xlfn.XLOOKUP(LD_01[[#This Row],[SIGLA]],'CLASSES DE PROJETOS'!$C$3:$C$37,'CLASSES DE PROJETOS'!$E$3:$E$37))</f>
        <v>MSV-163MS-638-NORTE/12.DV</v>
      </c>
      <c r="I1027" s="6" t="str" cm="1">
        <f t="array" ref="I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J1027" s="6" t="str" cm="1">
        <f t="array" ref="J1027">_xlfn.TEXTJOIN(", ",TRUE,_xlfn.UNIQUE(_xlfn._xlws.FILTER(ARQUIVOS_RECEBIDOS!$F$2:$F$5010,ARQUIVOS_RECEBIDOS!$E$2:$E$5010=LD_01[[#This Row],[DOCUMENTO]])))</f>
        <v>R00</v>
      </c>
      <c r="K1027" s="12" cm="1">
        <f t="array" ref="K1027">_xlfn.UNIQUE(_xlfn._xlws.FILTER(ARQUIVOS[DATA RECEBIMENTO],(ARQUIVOS[DOCUMENTO]=LD_01[[#This Row],[DOCUMENTO]])*(ARQUIVOS[REVISÃO]=LD_01[[#This Row],[REVISÃO]])))</f>
        <v>45838</v>
      </c>
      <c r="L10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M1027" s="6" t="str">
        <f>LD_01[[#This Row],[PASTA]]&amp;"/"&amp;LD_01[[#This Row],[ARQUIVO]]</f>
        <v>MSV-163MS-638-NORTE/12.DV/MSV-163MS-638+600-EDI-EXE-DE-O2-020-R00.pdf</v>
      </c>
    </row>
    <row r="1028" spans="1:13" ht="28.8" hidden="1" x14ac:dyDescent="0.3">
      <c r="A1028" s="6" t="s">
        <v>3851</v>
      </c>
      <c r="B1028" s="6" t="str">
        <f>VLOOKUP(LD_01[[#This Row],[DOCUMENTO]],_xlfn.SORTBY(ARQUIVOS_RECEBIDOS!$E$2:$F$5010,ARQUIVOS_RECEBIDOS!$F$2:$F$5010,-1),2,)</f>
        <v>R02</v>
      </c>
      <c r="C1028" s="15" t="s">
        <v>5987</v>
      </c>
      <c r="D1028" s="6" t="s">
        <v>4320</v>
      </c>
      <c r="E1028" s="8" t="s">
        <v>4203</v>
      </c>
      <c r="F1028" s="8" t="s">
        <v>4339</v>
      </c>
      <c r="G1028" s="6" t="str">
        <f>_xlfn.XLOOKUP(LD_01[[#This Row],[DISCIPLINA]],'CLASSES DE PROJETOS'!$F$3:$F$37,'CLASSES DE PROJETOS'!$C$3:$C$37)</f>
        <v>AQ</v>
      </c>
      <c r="H1028" t="str">
        <f>_xlfn.TEXTJOIN("/",TRUE,"MSV-163MS-"&amp;LD_01[[#This Row],[TRECHO]],_xlfn.XLOOKUP(LD_01[[#This Row],[SIGLA]],'CLASSES DE PROJETOS'!$C$3:$C$37,'CLASSES DE PROJETOS'!$E$3:$E$37))</f>
        <v>MSV-163MS-638-NORTE/03.AQ</v>
      </c>
      <c r="I1028" s="6" t="str" cm="1">
        <f t="array" ref="I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J1028" s="6" t="str" cm="1">
        <f t="array" ref="J1028">_xlfn.TEXTJOIN(", ",TRUE,_xlfn.UNIQUE(_xlfn._xlws.FILTER(ARQUIVOS_RECEBIDOS!$F$2:$F$5010,ARQUIVOS_RECEBIDOS!$E$2:$E$5010=LD_01[[#This Row],[DOCUMENTO]])))</f>
        <v>R00, R01, R02</v>
      </c>
      <c r="K1028" s="12" cm="1">
        <f t="array" ref="K1028">_xlfn.UNIQUE(_xlfn._xlws.FILTER(ARQUIVOS[DATA RECEBIMENTO],(ARQUIVOS[DOCUMENTO]=LD_01[[#This Row],[DOCUMENTO]])*(ARQUIVOS[REVISÃO]=LD_01[[#This Row],[REVISÃO]])))</f>
        <v>45931</v>
      </c>
      <c r="L10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M1028" s="6" t="str">
        <f>LD_01[[#This Row],[PASTA]]&amp;"/"&amp;LD_01[[#This Row],[ARQUIVO]]</f>
        <v>MSV-163MS-638-NORTE/03.AQ/MSV-163MS-638+600-EDI-EXE-DE-P1-001-R02.pdf</v>
      </c>
    </row>
    <row r="1029" spans="1:13" ht="28.8" hidden="1" x14ac:dyDescent="0.3">
      <c r="A1029" s="6" t="s">
        <v>3852</v>
      </c>
      <c r="B1029" s="6" t="str">
        <f>VLOOKUP(LD_01[[#This Row],[DOCUMENTO]],_xlfn.SORTBY(ARQUIVOS_RECEBIDOS!$E$2:$F$5010,ARQUIVOS_RECEBIDOS!$F$2:$F$5010,-1),2,)</f>
        <v>R02</v>
      </c>
      <c r="C1029" s="15" t="s">
        <v>5987</v>
      </c>
      <c r="D1029" s="6" t="s">
        <v>4320</v>
      </c>
      <c r="E1029" s="8" t="s">
        <v>4204</v>
      </c>
      <c r="F1029" s="8" t="s">
        <v>4339</v>
      </c>
      <c r="G1029" s="6" t="str">
        <f>_xlfn.XLOOKUP(LD_01[[#This Row],[DISCIPLINA]],'CLASSES DE PROJETOS'!$F$3:$F$37,'CLASSES DE PROJETOS'!$C$3:$C$37)</f>
        <v>AQ</v>
      </c>
      <c r="H1029" t="str">
        <f>_xlfn.TEXTJOIN("/",TRUE,"MSV-163MS-"&amp;LD_01[[#This Row],[TRECHO]],_xlfn.XLOOKUP(LD_01[[#This Row],[SIGLA]],'CLASSES DE PROJETOS'!$C$3:$C$37,'CLASSES DE PROJETOS'!$E$3:$E$37))</f>
        <v>MSV-163MS-638-NORTE/03.AQ</v>
      </c>
      <c r="I1029" s="6" t="str" cm="1">
        <f t="array" ref="I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J1029" s="6" t="str" cm="1">
        <f t="array" ref="J1029">_xlfn.TEXTJOIN(", ",TRUE,_xlfn.UNIQUE(_xlfn._xlws.FILTER(ARQUIVOS_RECEBIDOS!$F$2:$F$5010,ARQUIVOS_RECEBIDOS!$E$2:$E$5010=LD_01[[#This Row],[DOCUMENTO]])))</f>
        <v>R00, R01, R02</v>
      </c>
      <c r="K1029" s="12" cm="1">
        <f t="array" ref="K1029">_xlfn.UNIQUE(_xlfn._xlws.FILTER(ARQUIVOS[DATA RECEBIMENTO],(ARQUIVOS[DOCUMENTO]=LD_01[[#This Row],[DOCUMENTO]])*(ARQUIVOS[REVISÃO]=LD_01[[#This Row],[REVISÃO]])))</f>
        <v>45931</v>
      </c>
      <c r="L10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M1029" s="6" t="str">
        <f>LD_01[[#This Row],[PASTA]]&amp;"/"&amp;LD_01[[#This Row],[ARQUIVO]]</f>
        <v>MSV-163MS-638-NORTE/03.AQ/MSV-163MS-638+600-EDI-EXE-DE-P1-002-R02.pdf</v>
      </c>
    </row>
    <row r="1030" spans="1:13" ht="28.8" hidden="1" x14ac:dyDescent="0.3">
      <c r="A1030" s="6" t="s">
        <v>3853</v>
      </c>
      <c r="B1030" s="6" t="str">
        <f>VLOOKUP(LD_01[[#This Row],[DOCUMENTO]],_xlfn.SORTBY(ARQUIVOS_RECEBIDOS!$E$2:$F$5010,ARQUIVOS_RECEBIDOS!$F$2:$F$5010,-1),2,)</f>
        <v>R02</v>
      </c>
      <c r="C1030" s="15" t="s">
        <v>5987</v>
      </c>
      <c r="D1030" s="6" t="s">
        <v>4320</v>
      </c>
      <c r="E1030" s="8" t="s">
        <v>4205</v>
      </c>
      <c r="F1030" s="8" t="s">
        <v>4339</v>
      </c>
      <c r="G1030" s="6" t="str">
        <f>_xlfn.XLOOKUP(LD_01[[#This Row],[DISCIPLINA]],'CLASSES DE PROJETOS'!$F$3:$F$37,'CLASSES DE PROJETOS'!$C$3:$C$37)</f>
        <v>AQ</v>
      </c>
      <c r="H1030" t="str">
        <f>_xlfn.TEXTJOIN("/",TRUE,"MSV-163MS-"&amp;LD_01[[#This Row],[TRECHO]],_xlfn.XLOOKUP(LD_01[[#This Row],[SIGLA]],'CLASSES DE PROJETOS'!$C$3:$C$37,'CLASSES DE PROJETOS'!$E$3:$E$37))</f>
        <v>MSV-163MS-638-NORTE/03.AQ</v>
      </c>
      <c r="I1030" s="6" t="str" cm="1">
        <f t="array" ref="I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J1030" s="6" t="str" cm="1">
        <f t="array" ref="J1030">_xlfn.TEXTJOIN(", ",TRUE,_xlfn.UNIQUE(_xlfn._xlws.FILTER(ARQUIVOS_RECEBIDOS!$F$2:$F$5010,ARQUIVOS_RECEBIDOS!$E$2:$E$5010=LD_01[[#This Row],[DOCUMENTO]])))</f>
        <v>R00, R01, R02</v>
      </c>
      <c r="K1030" s="12" cm="1">
        <f t="array" ref="K1030">_xlfn.UNIQUE(_xlfn._xlws.FILTER(ARQUIVOS[DATA RECEBIMENTO],(ARQUIVOS[DOCUMENTO]=LD_01[[#This Row],[DOCUMENTO]])*(ARQUIVOS[REVISÃO]=LD_01[[#This Row],[REVISÃO]])))</f>
        <v>45931</v>
      </c>
      <c r="L10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M1030" s="6" t="str">
        <f>LD_01[[#This Row],[PASTA]]&amp;"/"&amp;LD_01[[#This Row],[ARQUIVO]]</f>
        <v>MSV-163MS-638-NORTE/03.AQ/MSV-163MS-638+600-EDI-EXE-DE-P1-003-R02.pdf</v>
      </c>
    </row>
    <row r="1031" spans="1:13" ht="28.8" hidden="1" x14ac:dyDescent="0.3">
      <c r="A1031" s="6" t="s">
        <v>3854</v>
      </c>
      <c r="B1031" s="6" t="str">
        <f>VLOOKUP(LD_01[[#This Row],[DOCUMENTO]],_xlfn.SORTBY(ARQUIVOS_RECEBIDOS!$E$2:$F$5010,ARQUIVOS_RECEBIDOS!$F$2:$F$5010,-1),2,)</f>
        <v>R02</v>
      </c>
      <c r="C1031" s="15" t="s">
        <v>5987</v>
      </c>
      <c r="D1031" s="6" t="s">
        <v>4320</v>
      </c>
      <c r="E1031" s="8" t="s">
        <v>4206</v>
      </c>
      <c r="F1031" s="8" t="s">
        <v>4339</v>
      </c>
      <c r="G1031" s="6" t="str">
        <f>_xlfn.XLOOKUP(LD_01[[#This Row],[DISCIPLINA]],'CLASSES DE PROJETOS'!$F$3:$F$37,'CLASSES DE PROJETOS'!$C$3:$C$37)</f>
        <v>AQ</v>
      </c>
      <c r="H1031" t="str">
        <f>_xlfn.TEXTJOIN("/",TRUE,"MSV-163MS-"&amp;LD_01[[#This Row],[TRECHO]],_xlfn.XLOOKUP(LD_01[[#This Row],[SIGLA]],'CLASSES DE PROJETOS'!$C$3:$C$37,'CLASSES DE PROJETOS'!$E$3:$E$37))</f>
        <v>MSV-163MS-638-NORTE/03.AQ</v>
      </c>
      <c r="I1031" s="6" t="str" cm="1">
        <f t="array" ref="I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J1031" s="6" t="str" cm="1">
        <f t="array" ref="J1031">_xlfn.TEXTJOIN(", ",TRUE,_xlfn.UNIQUE(_xlfn._xlws.FILTER(ARQUIVOS_RECEBIDOS!$F$2:$F$5010,ARQUIVOS_RECEBIDOS!$E$2:$E$5010=LD_01[[#This Row],[DOCUMENTO]])))</f>
        <v>R00, R01, R02</v>
      </c>
      <c r="K1031" s="12" cm="1">
        <f t="array" ref="K1031">_xlfn.UNIQUE(_xlfn._xlws.FILTER(ARQUIVOS[DATA RECEBIMENTO],(ARQUIVOS[DOCUMENTO]=LD_01[[#This Row],[DOCUMENTO]])*(ARQUIVOS[REVISÃO]=LD_01[[#This Row],[REVISÃO]])))</f>
        <v>45931</v>
      </c>
      <c r="L10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M1031" s="6" t="str">
        <f>LD_01[[#This Row],[PASTA]]&amp;"/"&amp;LD_01[[#This Row],[ARQUIVO]]</f>
        <v>MSV-163MS-638-NORTE/03.AQ/MSV-163MS-638+600-EDI-EXE-DE-P1-004-R02.pdf</v>
      </c>
    </row>
    <row r="1032" spans="1:13" hidden="1" x14ac:dyDescent="0.3">
      <c r="A1032" s="6" t="s">
        <v>3855</v>
      </c>
      <c r="B1032" s="6" t="str">
        <f>VLOOKUP(LD_01[[#This Row],[DOCUMENTO]],_xlfn.SORTBY(ARQUIVOS_RECEBIDOS!$E$2:$F$5010,ARQUIVOS_RECEBIDOS!$F$2:$F$5010,-1),2,)</f>
        <v>R02</v>
      </c>
      <c r="C1032" s="15" t="s">
        <v>5987</v>
      </c>
      <c r="D1032" s="6" t="s">
        <v>4320</v>
      </c>
      <c r="E1032" s="8" t="s">
        <v>4207</v>
      </c>
      <c r="F1032" s="8" t="s">
        <v>4339</v>
      </c>
      <c r="G1032" s="6" t="str">
        <f>_xlfn.XLOOKUP(LD_01[[#This Row],[DISCIPLINA]],'CLASSES DE PROJETOS'!$F$3:$F$37,'CLASSES DE PROJETOS'!$C$3:$C$37)</f>
        <v>AQ</v>
      </c>
      <c r="H1032" t="str">
        <f>_xlfn.TEXTJOIN("/",TRUE,"MSV-163MS-"&amp;LD_01[[#This Row],[TRECHO]],_xlfn.XLOOKUP(LD_01[[#This Row],[SIGLA]],'CLASSES DE PROJETOS'!$C$3:$C$37,'CLASSES DE PROJETOS'!$E$3:$E$37))</f>
        <v>MSV-163MS-638-NORTE/03.AQ</v>
      </c>
      <c r="I1032" s="6" t="str" cm="1">
        <f t="array" ref="I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J1032" s="6" t="str" cm="1">
        <f t="array" ref="J1032">_xlfn.TEXTJOIN(", ",TRUE,_xlfn.UNIQUE(_xlfn._xlws.FILTER(ARQUIVOS_RECEBIDOS!$F$2:$F$5010,ARQUIVOS_RECEBIDOS!$E$2:$E$5010=LD_01[[#This Row],[DOCUMENTO]])))</f>
        <v>R00, R01, R02</v>
      </c>
      <c r="K1032" s="12" cm="1">
        <f t="array" ref="K1032">_xlfn.UNIQUE(_xlfn._xlws.FILTER(ARQUIVOS[DATA RECEBIMENTO],(ARQUIVOS[DOCUMENTO]=LD_01[[#This Row],[DOCUMENTO]])*(ARQUIVOS[REVISÃO]=LD_01[[#This Row],[REVISÃO]])))</f>
        <v>45931</v>
      </c>
      <c r="L10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M1032" s="6" t="str">
        <f>LD_01[[#This Row],[PASTA]]&amp;"/"&amp;LD_01[[#This Row],[ARQUIVO]]</f>
        <v>MSV-163MS-638-NORTE/03.AQ/MSV-163MS-638+600-EDI-EXE-DE-P1-005-R02.pdf</v>
      </c>
    </row>
    <row r="1033" spans="1:13" hidden="1" x14ac:dyDescent="0.3">
      <c r="A1033" s="6" t="s">
        <v>3856</v>
      </c>
      <c r="B1033" s="6" t="str">
        <f>VLOOKUP(LD_01[[#This Row],[DOCUMENTO]],_xlfn.SORTBY(ARQUIVOS_RECEBIDOS!$E$2:$F$5010,ARQUIVOS_RECEBIDOS!$F$2:$F$5010,-1),2,)</f>
        <v>R02</v>
      </c>
      <c r="C1033" s="15" t="s">
        <v>5987</v>
      </c>
      <c r="D1033" s="6" t="s">
        <v>4320</v>
      </c>
      <c r="E1033" s="8" t="s">
        <v>4208</v>
      </c>
      <c r="F1033" s="8" t="s">
        <v>4339</v>
      </c>
      <c r="G1033" s="6" t="str">
        <f>_xlfn.XLOOKUP(LD_01[[#This Row],[DISCIPLINA]],'CLASSES DE PROJETOS'!$F$3:$F$37,'CLASSES DE PROJETOS'!$C$3:$C$37)</f>
        <v>AQ</v>
      </c>
      <c r="H1033" t="str">
        <f>_xlfn.TEXTJOIN("/",TRUE,"MSV-163MS-"&amp;LD_01[[#This Row],[TRECHO]],_xlfn.XLOOKUP(LD_01[[#This Row],[SIGLA]],'CLASSES DE PROJETOS'!$C$3:$C$37,'CLASSES DE PROJETOS'!$E$3:$E$37))</f>
        <v>MSV-163MS-638-NORTE/03.AQ</v>
      </c>
      <c r="I1033" s="6" t="str" cm="1">
        <f t="array" ref="I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J1033" s="6" t="str" cm="1">
        <f t="array" ref="J1033">_xlfn.TEXTJOIN(", ",TRUE,_xlfn.UNIQUE(_xlfn._xlws.FILTER(ARQUIVOS_RECEBIDOS!$F$2:$F$5010,ARQUIVOS_RECEBIDOS!$E$2:$E$5010=LD_01[[#This Row],[DOCUMENTO]])))</f>
        <v>R00, R01, R02</v>
      </c>
      <c r="K1033" s="12" cm="1">
        <f t="array" ref="K1033">_xlfn.UNIQUE(_xlfn._xlws.FILTER(ARQUIVOS[DATA RECEBIMENTO],(ARQUIVOS[DOCUMENTO]=LD_01[[#This Row],[DOCUMENTO]])*(ARQUIVOS[REVISÃO]=LD_01[[#This Row],[REVISÃO]])))</f>
        <v>45931</v>
      </c>
      <c r="L10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M1033" s="6" t="str">
        <f>LD_01[[#This Row],[PASTA]]&amp;"/"&amp;LD_01[[#This Row],[ARQUIVO]]</f>
        <v>MSV-163MS-638-NORTE/03.AQ/MSV-163MS-638+600-EDI-EXE-DE-P1-006-R02.pdf</v>
      </c>
    </row>
    <row r="1034" spans="1:13" ht="28.8" hidden="1" x14ac:dyDescent="0.3">
      <c r="A1034" s="6" t="s">
        <v>3857</v>
      </c>
      <c r="B1034" s="6" t="str">
        <f>VLOOKUP(LD_01[[#This Row],[DOCUMENTO]],_xlfn.SORTBY(ARQUIVOS_RECEBIDOS!$E$2:$F$5010,ARQUIVOS_RECEBIDOS!$F$2:$F$5010,-1),2,)</f>
        <v>R02</v>
      </c>
      <c r="C1034" s="15" t="s">
        <v>5987</v>
      </c>
      <c r="D1034" s="6" t="s">
        <v>4320</v>
      </c>
      <c r="E1034" s="8" t="s">
        <v>4209</v>
      </c>
      <c r="F1034" s="8" t="s">
        <v>4339</v>
      </c>
      <c r="G1034" s="6" t="str">
        <f>_xlfn.XLOOKUP(LD_01[[#This Row],[DISCIPLINA]],'CLASSES DE PROJETOS'!$F$3:$F$37,'CLASSES DE PROJETOS'!$C$3:$C$37)</f>
        <v>AQ</v>
      </c>
      <c r="H1034" t="str">
        <f>_xlfn.TEXTJOIN("/",TRUE,"MSV-163MS-"&amp;LD_01[[#This Row],[TRECHO]],_xlfn.XLOOKUP(LD_01[[#This Row],[SIGLA]],'CLASSES DE PROJETOS'!$C$3:$C$37,'CLASSES DE PROJETOS'!$E$3:$E$37))</f>
        <v>MSV-163MS-638-NORTE/03.AQ</v>
      </c>
      <c r="I1034" s="6" t="str" cm="1">
        <f t="array" ref="I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J1034" s="6" t="str" cm="1">
        <f t="array" ref="J1034">_xlfn.TEXTJOIN(", ",TRUE,_xlfn.UNIQUE(_xlfn._xlws.FILTER(ARQUIVOS_RECEBIDOS!$F$2:$F$5010,ARQUIVOS_RECEBIDOS!$E$2:$E$5010=LD_01[[#This Row],[DOCUMENTO]])))</f>
        <v>R00, R01, R02</v>
      </c>
      <c r="K1034" s="12" cm="1">
        <f t="array" ref="K1034">_xlfn.UNIQUE(_xlfn._xlws.FILTER(ARQUIVOS[DATA RECEBIMENTO],(ARQUIVOS[DOCUMENTO]=LD_01[[#This Row],[DOCUMENTO]])*(ARQUIVOS[REVISÃO]=LD_01[[#This Row],[REVISÃO]])))</f>
        <v>45931</v>
      </c>
      <c r="L10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M1034" s="6" t="str">
        <f>LD_01[[#This Row],[PASTA]]&amp;"/"&amp;LD_01[[#This Row],[ARQUIVO]]</f>
        <v>MSV-163MS-638-NORTE/03.AQ/MSV-163MS-638+600-EDI-EXE-DE-P1-007-R02.pdf</v>
      </c>
    </row>
    <row r="1035" spans="1:13" hidden="1" x14ac:dyDescent="0.3">
      <c r="A1035" s="6" t="s">
        <v>3858</v>
      </c>
      <c r="B1035" s="6" t="str">
        <f>VLOOKUP(LD_01[[#This Row],[DOCUMENTO]],_xlfn.SORTBY(ARQUIVOS_RECEBIDOS!$E$2:$F$5010,ARQUIVOS_RECEBIDOS!$F$2:$F$5010,-1),2,)</f>
        <v>R02</v>
      </c>
      <c r="C1035" s="15" t="s">
        <v>5987</v>
      </c>
      <c r="D1035" s="6" t="s">
        <v>4320</v>
      </c>
      <c r="E1035" s="8" t="s">
        <v>4210</v>
      </c>
      <c r="F1035" s="8" t="s">
        <v>4339</v>
      </c>
      <c r="G1035" s="6" t="str">
        <f>_xlfn.XLOOKUP(LD_01[[#This Row],[DISCIPLINA]],'CLASSES DE PROJETOS'!$F$3:$F$37,'CLASSES DE PROJETOS'!$C$3:$C$37)</f>
        <v>AQ</v>
      </c>
      <c r="H1035" t="str">
        <f>_xlfn.TEXTJOIN("/",TRUE,"MSV-163MS-"&amp;LD_01[[#This Row],[TRECHO]],_xlfn.XLOOKUP(LD_01[[#This Row],[SIGLA]],'CLASSES DE PROJETOS'!$C$3:$C$37,'CLASSES DE PROJETOS'!$E$3:$E$37))</f>
        <v>MSV-163MS-638-NORTE/03.AQ</v>
      </c>
      <c r="I1035" s="6" t="str" cm="1">
        <f t="array" ref="I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J1035" s="6" t="str" cm="1">
        <f t="array" ref="J1035">_xlfn.TEXTJOIN(", ",TRUE,_xlfn.UNIQUE(_xlfn._xlws.FILTER(ARQUIVOS_RECEBIDOS!$F$2:$F$5010,ARQUIVOS_RECEBIDOS!$E$2:$E$5010=LD_01[[#This Row],[DOCUMENTO]])))</f>
        <v>R00, R01, R02</v>
      </c>
      <c r="K1035" s="12" cm="1">
        <f t="array" ref="K1035">_xlfn.UNIQUE(_xlfn._xlws.FILTER(ARQUIVOS[DATA RECEBIMENTO],(ARQUIVOS[DOCUMENTO]=LD_01[[#This Row],[DOCUMENTO]])*(ARQUIVOS[REVISÃO]=LD_01[[#This Row],[REVISÃO]])))</f>
        <v>45931</v>
      </c>
      <c r="L10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M1035" s="6" t="str">
        <f>LD_01[[#This Row],[PASTA]]&amp;"/"&amp;LD_01[[#This Row],[ARQUIVO]]</f>
        <v>MSV-163MS-638-NORTE/03.AQ/MSV-163MS-638+600-EDI-EXE-DE-P1-008-R02.pdf</v>
      </c>
    </row>
    <row r="1036" spans="1:13" hidden="1" x14ac:dyDescent="0.3">
      <c r="A1036" s="6" t="s">
        <v>3859</v>
      </c>
      <c r="B1036" s="6" t="str">
        <f>VLOOKUP(LD_01[[#This Row],[DOCUMENTO]],_xlfn.SORTBY(ARQUIVOS_RECEBIDOS!$E$2:$F$5010,ARQUIVOS_RECEBIDOS!$F$2:$F$5010,-1),2,)</f>
        <v>R02</v>
      </c>
      <c r="C1036" s="15" t="s">
        <v>5987</v>
      </c>
      <c r="D1036" s="6" t="s">
        <v>4320</v>
      </c>
      <c r="E1036" s="8" t="s">
        <v>4211</v>
      </c>
      <c r="F1036" s="8" t="s">
        <v>4339</v>
      </c>
      <c r="G1036" s="6" t="str">
        <f>_xlfn.XLOOKUP(LD_01[[#This Row],[DISCIPLINA]],'CLASSES DE PROJETOS'!$F$3:$F$37,'CLASSES DE PROJETOS'!$C$3:$C$37)</f>
        <v>AQ</v>
      </c>
      <c r="H1036" t="str">
        <f>_xlfn.TEXTJOIN("/",TRUE,"MSV-163MS-"&amp;LD_01[[#This Row],[TRECHO]],_xlfn.XLOOKUP(LD_01[[#This Row],[SIGLA]],'CLASSES DE PROJETOS'!$C$3:$C$37,'CLASSES DE PROJETOS'!$E$3:$E$37))</f>
        <v>MSV-163MS-638-NORTE/03.AQ</v>
      </c>
      <c r="I1036" s="6" t="str" cm="1">
        <f t="array" ref="I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J1036" s="6" t="str" cm="1">
        <f t="array" ref="J1036">_xlfn.TEXTJOIN(", ",TRUE,_xlfn.UNIQUE(_xlfn._xlws.FILTER(ARQUIVOS_RECEBIDOS!$F$2:$F$5010,ARQUIVOS_RECEBIDOS!$E$2:$E$5010=LD_01[[#This Row],[DOCUMENTO]])))</f>
        <v>R00, R01, R02</v>
      </c>
      <c r="K1036" s="12" cm="1">
        <f t="array" ref="K1036">_xlfn.UNIQUE(_xlfn._xlws.FILTER(ARQUIVOS[DATA RECEBIMENTO],(ARQUIVOS[DOCUMENTO]=LD_01[[#This Row],[DOCUMENTO]])*(ARQUIVOS[REVISÃO]=LD_01[[#This Row],[REVISÃO]])))</f>
        <v>45931</v>
      </c>
      <c r="L10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M1036" s="6" t="str">
        <f>LD_01[[#This Row],[PASTA]]&amp;"/"&amp;LD_01[[#This Row],[ARQUIVO]]</f>
        <v>MSV-163MS-638-NORTE/03.AQ/MSV-163MS-638+600-EDI-EXE-DE-P1-009-R02.pdf</v>
      </c>
    </row>
    <row r="1037" spans="1:13" hidden="1" x14ac:dyDescent="0.3">
      <c r="A1037" s="6" t="s">
        <v>3860</v>
      </c>
      <c r="B1037" s="6" t="str">
        <f>VLOOKUP(LD_01[[#This Row],[DOCUMENTO]],_xlfn.SORTBY(ARQUIVOS_RECEBIDOS!$E$2:$F$5010,ARQUIVOS_RECEBIDOS!$F$2:$F$5010,-1),2,)</f>
        <v>R02</v>
      </c>
      <c r="C1037" s="15" t="s">
        <v>5987</v>
      </c>
      <c r="D1037" s="6" t="s">
        <v>4320</v>
      </c>
      <c r="E1037" s="8" t="s">
        <v>4212</v>
      </c>
      <c r="F1037" s="8" t="s">
        <v>4339</v>
      </c>
      <c r="G1037" s="6" t="str">
        <f>_xlfn.XLOOKUP(LD_01[[#This Row],[DISCIPLINA]],'CLASSES DE PROJETOS'!$F$3:$F$37,'CLASSES DE PROJETOS'!$C$3:$C$37)</f>
        <v>AQ</v>
      </c>
      <c r="H1037" t="str">
        <f>_xlfn.TEXTJOIN("/",TRUE,"MSV-163MS-"&amp;LD_01[[#This Row],[TRECHO]],_xlfn.XLOOKUP(LD_01[[#This Row],[SIGLA]],'CLASSES DE PROJETOS'!$C$3:$C$37,'CLASSES DE PROJETOS'!$E$3:$E$37))</f>
        <v>MSV-163MS-638-NORTE/03.AQ</v>
      </c>
      <c r="I1037" s="6" t="str" cm="1">
        <f t="array" ref="I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J1037" s="6" t="str" cm="1">
        <f t="array" ref="J1037">_xlfn.TEXTJOIN(", ",TRUE,_xlfn.UNIQUE(_xlfn._xlws.FILTER(ARQUIVOS_RECEBIDOS!$F$2:$F$5010,ARQUIVOS_RECEBIDOS!$E$2:$E$5010=LD_01[[#This Row],[DOCUMENTO]])))</f>
        <v>R00, R01, R02</v>
      </c>
      <c r="K1037" s="12" cm="1">
        <f t="array" ref="K1037">_xlfn.UNIQUE(_xlfn._xlws.FILTER(ARQUIVOS[DATA RECEBIMENTO],(ARQUIVOS[DOCUMENTO]=LD_01[[#This Row],[DOCUMENTO]])*(ARQUIVOS[REVISÃO]=LD_01[[#This Row],[REVISÃO]])))</f>
        <v>45931</v>
      </c>
      <c r="L10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M1037" s="6" t="str">
        <f>LD_01[[#This Row],[PASTA]]&amp;"/"&amp;LD_01[[#This Row],[ARQUIVO]]</f>
        <v>MSV-163MS-638-NORTE/03.AQ/MSV-163MS-638+600-EDI-EXE-DE-P1-010-R02.pdf</v>
      </c>
    </row>
    <row r="1038" spans="1:13" ht="28.8" hidden="1" x14ac:dyDescent="0.3">
      <c r="A1038" s="6" t="s">
        <v>3861</v>
      </c>
      <c r="B1038" s="6" t="str">
        <f>VLOOKUP(LD_01[[#This Row],[DOCUMENTO]],_xlfn.SORTBY(ARQUIVOS_RECEBIDOS!$E$2:$F$5010,ARQUIVOS_RECEBIDOS!$F$2:$F$5010,-1),2,)</f>
        <v>R02</v>
      </c>
      <c r="C1038" s="15" t="s">
        <v>5987</v>
      </c>
      <c r="D1038" s="6" t="s">
        <v>4320</v>
      </c>
      <c r="E1038" s="8" t="s">
        <v>4213</v>
      </c>
      <c r="F1038" s="8" t="s">
        <v>4339</v>
      </c>
      <c r="G1038" s="6" t="str">
        <f>_xlfn.XLOOKUP(LD_01[[#This Row],[DISCIPLINA]],'CLASSES DE PROJETOS'!$F$3:$F$37,'CLASSES DE PROJETOS'!$C$3:$C$37)</f>
        <v>AQ</v>
      </c>
      <c r="H1038" t="str">
        <f>_xlfn.TEXTJOIN("/",TRUE,"MSV-163MS-"&amp;LD_01[[#This Row],[TRECHO]],_xlfn.XLOOKUP(LD_01[[#This Row],[SIGLA]],'CLASSES DE PROJETOS'!$C$3:$C$37,'CLASSES DE PROJETOS'!$E$3:$E$37))</f>
        <v>MSV-163MS-638-NORTE/03.AQ</v>
      </c>
      <c r="I1038" s="6" t="str" cm="1">
        <f t="array" ref="I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J1038" s="6" t="str" cm="1">
        <f t="array" ref="J1038">_xlfn.TEXTJOIN(", ",TRUE,_xlfn.UNIQUE(_xlfn._xlws.FILTER(ARQUIVOS_RECEBIDOS!$F$2:$F$5010,ARQUIVOS_RECEBIDOS!$E$2:$E$5010=LD_01[[#This Row],[DOCUMENTO]])))</f>
        <v>R00, R01, R02</v>
      </c>
      <c r="K1038" s="12" cm="1">
        <f t="array" ref="K1038">_xlfn.UNIQUE(_xlfn._xlws.FILTER(ARQUIVOS[DATA RECEBIMENTO],(ARQUIVOS[DOCUMENTO]=LD_01[[#This Row],[DOCUMENTO]])*(ARQUIVOS[REVISÃO]=LD_01[[#This Row],[REVISÃO]])))</f>
        <v>45931</v>
      </c>
      <c r="L10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M1038" s="6" t="str">
        <f>LD_01[[#This Row],[PASTA]]&amp;"/"&amp;LD_01[[#This Row],[ARQUIVO]]</f>
        <v>MSV-163MS-638-NORTE/03.AQ/MSV-163MS-638+600-EDI-EXE-DE-P1-011-R02.pdf</v>
      </c>
    </row>
    <row r="1039" spans="1:13" ht="28.8" hidden="1" x14ac:dyDescent="0.3">
      <c r="A1039" s="6" t="s">
        <v>3862</v>
      </c>
      <c r="B1039" s="6" t="str">
        <f>VLOOKUP(LD_01[[#This Row],[DOCUMENTO]],_xlfn.SORTBY(ARQUIVOS_RECEBIDOS!$E$2:$F$5010,ARQUIVOS_RECEBIDOS!$F$2:$F$5010,-1),2,)</f>
        <v>R02</v>
      </c>
      <c r="C1039" s="15" t="s">
        <v>5987</v>
      </c>
      <c r="D1039" s="6" t="s">
        <v>4320</v>
      </c>
      <c r="E1039" s="8" t="s">
        <v>4214</v>
      </c>
      <c r="F1039" s="8" t="s">
        <v>4339</v>
      </c>
      <c r="G1039" s="6" t="str">
        <f>_xlfn.XLOOKUP(LD_01[[#This Row],[DISCIPLINA]],'CLASSES DE PROJETOS'!$F$3:$F$37,'CLASSES DE PROJETOS'!$C$3:$C$37)</f>
        <v>AQ</v>
      </c>
      <c r="H1039" t="str">
        <f>_xlfn.TEXTJOIN("/",TRUE,"MSV-163MS-"&amp;LD_01[[#This Row],[TRECHO]],_xlfn.XLOOKUP(LD_01[[#This Row],[SIGLA]],'CLASSES DE PROJETOS'!$C$3:$C$37,'CLASSES DE PROJETOS'!$E$3:$E$37))</f>
        <v>MSV-163MS-638-NORTE/03.AQ</v>
      </c>
      <c r="I1039" s="6" t="str" cm="1">
        <f t="array" ref="I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J1039" s="6" t="str" cm="1">
        <f t="array" ref="J1039">_xlfn.TEXTJOIN(", ",TRUE,_xlfn.UNIQUE(_xlfn._xlws.FILTER(ARQUIVOS_RECEBIDOS!$F$2:$F$5010,ARQUIVOS_RECEBIDOS!$E$2:$E$5010=LD_01[[#This Row],[DOCUMENTO]])))</f>
        <v>R00, R01, R02</v>
      </c>
      <c r="K1039" s="12" cm="1">
        <f t="array" ref="K1039">_xlfn.UNIQUE(_xlfn._xlws.FILTER(ARQUIVOS[DATA RECEBIMENTO],(ARQUIVOS[DOCUMENTO]=LD_01[[#This Row],[DOCUMENTO]])*(ARQUIVOS[REVISÃO]=LD_01[[#This Row],[REVISÃO]])))</f>
        <v>45931</v>
      </c>
      <c r="L10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M1039" s="6" t="str">
        <f>LD_01[[#This Row],[PASTA]]&amp;"/"&amp;LD_01[[#This Row],[ARQUIVO]]</f>
        <v>MSV-163MS-638-NORTE/03.AQ/MSV-163MS-638+600-EDI-EXE-DE-P1-012-R02.pdf</v>
      </c>
    </row>
    <row r="1040" spans="1:13" ht="28.8" hidden="1" x14ac:dyDescent="0.3">
      <c r="A1040" s="6" t="s">
        <v>3863</v>
      </c>
      <c r="B1040" s="6" t="str">
        <f>VLOOKUP(LD_01[[#This Row],[DOCUMENTO]],_xlfn.SORTBY(ARQUIVOS_RECEBIDOS!$E$2:$F$5010,ARQUIVOS_RECEBIDOS!$F$2:$F$5010,-1),2,)</f>
        <v>R02</v>
      </c>
      <c r="C1040" s="15" t="s">
        <v>5987</v>
      </c>
      <c r="D1040" s="6" t="s">
        <v>4320</v>
      </c>
      <c r="E1040" s="8" t="s">
        <v>4215</v>
      </c>
      <c r="F1040" s="8" t="s">
        <v>4339</v>
      </c>
      <c r="G1040" s="6" t="str">
        <f>_xlfn.XLOOKUP(LD_01[[#This Row],[DISCIPLINA]],'CLASSES DE PROJETOS'!$F$3:$F$37,'CLASSES DE PROJETOS'!$C$3:$C$37)</f>
        <v>AQ</v>
      </c>
      <c r="H1040" t="str">
        <f>_xlfn.TEXTJOIN("/",TRUE,"MSV-163MS-"&amp;LD_01[[#This Row],[TRECHO]],_xlfn.XLOOKUP(LD_01[[#This Row],[SIGLA]],'CLASSES DE PROJETOS'!$C$3:$C$37,'CLASSES DE PROJETOS'!$E$3:$E$37))</f>
        <v>MSV-163MS-638-NORTE/03.AQ</v>
      </c>
      <c r="I1040" s="6" t="str" cm="1">
        <f t="array" ref="I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J1040" s="6" t="str" cm="1">
        <f t="array" ref="J1040">_xlfn.TEXTJOIN(", ",TRUE,_xlfn.UNIQUE(_xlfn._xlws.FILTER(ARQUIVOS_RECEBIDOS!$F$2:$F$5010,ARQUIVOS_RECEBIDOS!$E$2:$E$5010=LD_01[[#This Row],[DOCUMENTO]])))</f>
        <v>R00, R01, R02</v>
      </c>
      <c r="K1040" s="12" cm="1">
        <f t="array" ref="K1040">_xlfn.UNIQUE(_xlfn._xlws.FILTER(ARQUIVOS[DATA RECEBIMENTO],(ARQUIVOS[DOCUMENTO]=LD_01[[#This Row],[DOCUMENTO]])*(ARQUIVOS[REVISÃO]=LD_01[[#This Row],[REVISÃO]])))</f>
        <v>45931</v>
      </c>
      <c r="L10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M1040" s="6" t="str">
        <f>LD_01[[#This Row],[PASTA]]&amp;"/"&amp;LD_01[[#This Row],[ARQUIVO]]</f>
        <v>MSV-163MS-638-NORTE/03.AQ/MSV-163MS-638+600-EDI-EXE-DE-P1-013-R02.pdf</v>
      </c>
    </row>
    <row r="1041" spans="1:13" ht="28.8" hidden="1" x14ac:dyDescent="0.3">
      <c r="A1041" s="6" t="s">
        <v>3864</v>
      </c>
      <c r="B1041" s="6" t="str">
        <f>VLOOKUP(LD_01[[#This Row],[DOCUMENTO]],_xlfn.SORTBY(ARQUIVOS_RECEBIDOS!$E$2:$F$5010,ARQUIVOS_RECEBIDOS!$F$2:$F$5010,-1),2,)</f>
        <v>R02</v>
      </c>
      <c r="C1041" s="15" t="s">
        <v>5987</v>
      </c>
      <c r="D1041" s="6" t="s">
        <v>4320</v>
      </c>
      <c r="E1041" s="8" t="s">
        <v>4215</v>
      </c>
      <c r="F1041" s="8" t="s">
        <v>4339</v>
      </c>
      <c r="G1041" s="6" t="str">
        <f>_xlfn.XLOOKUP(LD_01[[#This Row],[DISCIPLINA]],'CLASSES DE PROJETOS'!$F$3:$F$37,'CLASSES DE PROJETOS'!$C$3:$C$37)</f>
        <v>AQ</v>
      </c>
      <c r="H1041" t="str">
        <f>_xlfn.TEXTJOIN("/",TRUE,"MSV-163MS-"&amp;LD_01[[#This Row],[TRECHO]],_xlfn.XLOOKUP(LD_01[[#This Row],[SIGLA]],'CLASSES DE PROJETOS'!$C$3:$C$37,'CLASSES DE PROJETOS'!$E$3:$E$37))</f>
        <v>MSV-163MS-638-NORTE/03.AQ</v>
      </c>
      <c r="I1041" s="6" t="str" cm="1">
        <f t="array" ref="I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J1041" s="6" t="str" cm="1">
        <f t="array" ref="J1041">_xlfn.TEXTJOIN(", ",TRUE,_xlfn.UNIQUE(_xlfn._xlws.FILTER(ARQUIVOS_RECEBIDOS!$F$2:$F$5010,ARQUIVOS_RECEBIDOS!$E$2:$E$5010=LD_01[[#This Row],[DOCUMENTO]])))</f>
        <v>R00, R01, R02</v>
      </c>
      <c r="K1041" s="12" cm="1">
        <f t="array" ref="K1041">_xlfn.UNIQUE(_xlfn._xlws.FILTER(ARQUIVOS[DATA RECEBIMENTO],(ARQUIVOS[DOCUMENTO]=LD_01[[#This Row],[DOCUMENTO]])*(ARQUIVOS[REVISÃO]=LD_01[[#This Row],[REVISÃO]])))</f>
        <v>45931</v>
      </c>
      <c r="L10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M1041" s="6" t="str">
        <f>LD_01[[#This Row],[PASTA]]&amp;"/"&amp;LD_01[[#This Row],[ARQUIVO]]</f>
        <v>MSV-163MS-638-NORTE/03.AQ/MSV-163MS-638+600-EDI-EXE-DE-P1-014-R02.pdf</v>
      </c>
    </row>
    <row r="1042" spans="1:13" ht="28.8" hidden="1" x14ac:dyDescent="0.3">
      <c r="A1042" s="6" t="s">
        <v>3865</v>
      </c>
      <c r="B1042" s="6" t="str">
        <f>VLOOKUP(LD_01[[#This Row],[DOCUMENTO]],_xlfn.SORTBY(ARQUIVOS_RECEBIDOS!$E$2:$F$5010,ARQUIVOS_RECEBIDOS!$F$2:$F$5010,-1),2,)</f>
        <v>R02</v>
      </c>
      <c r="C1042" s="15" t="s">
        <v>5987</v>
      </c>
      <c r="D1042" s="6" t="s">
        <v>4320</v>
      </c>
      <c r="E1042" s="8" t="s">
        <v>4216</v>
      </c>
      <c r="F1042" s="8" t="s">
        <v>4339</v>
      </c>
      <c r="G1042" s="6" t="str">
        <f>_xlfn.XLOOKUP(LD_01[[#This Row],[DISCIPLINA]],'CLASSES DE PROJETOS'!$F$3:$F$37,'CLASSES DE PROJETOS'!$C$3:$C$37)</f>
        <v>AQ</v>
      </c>
      <c r="H1042" t="str">
        <f>_xlfn.TEXTJOIN("/",TRUE,"MSV-163MS-"&amp;LD_01[[#This Row],[TRECHO]],_xlfn.XLOOKUP(LD_01[[#This Row],[SIGLA]],'CLASSES DE PROJETOS'!$C$3:$C$37,'CLASSES DE PROJETOS'!$E$3:$E$37))</f>
        <v>MSV-163MS-638-NORTE/03.AQ</v>
      </c>
      <c r="I1042" s="6" t="str" cm="1">
        <f t="array" ref="I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J1042" s="6" t="str" cm="1">
        <f t="array" ref="J1042">_xlfn.TEXTJOIN(", ",TRUE,_xlfn.UNIQUE(_xlfn._xlws.FILTER(ARQUIVOS_RECEBIDOS!$F$2:$F$5010,ARQUIVOS_RECEBIDOS!$E$2:$E$5010=LD_01[[#This Row],[DOCUMENTO]])))</f>
        <v>R00, R01, R02</v>
      </c>
      <c r="K1042" s="12" cm="1">
        <f t="array" ref="K1042">_xlfn.UNIQUE(_xlfn._xlws.FILTER(ARQUIVOS[DATA RECEBIMENTO],(ARQUIVOS[DOCUMENTO]=LD_01[[#This Row],[DOCUMENTO]])*(ARQUIVOS[REVISÃO]=LD_01[[#This Row],[REVISÃO]])))</f>
        <v>45931</v>
      </c>
      <c r="L10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M1042" s="6" t="str">
        <f>LD_01[[#This Row],[PASTA]]&amp;"/"&amp;LD_01[[#This Row],[ARQUIVO]]</f>
        <v>MSV-163MS-638-NORTE/03.AQ/MSV-163MS-638+600-EDI-EXE-DE-P1-015-R02.pdf</v>
      </c>
    </row>
    <row r="1043" spans="1:13" ht="28.8" hidden="1" x14ac:dyDescent="0.3">
      <c r="A1043" s="6" t="s">
        <v>3866</v>
      </c>
      <c r="B1043" s="6" t="str">
        <f>VLOOKUP(LD_01[[#This Row],[DOCUMENTO]],_xlfn.SORTBY(ARQUIVOS_RECEBIDOS!$E$2:$F$5010,ARQUIVOS_RECEBIDOS!$F$2:$F$5010,-1),2,)</f>
        <v>R03</v>
      </c>
      <c r="C1043" s="15" t="s">
        <v>5987</v>
      </c>
      <c r="D1043" s="6" t="s">
        <v>4320</v>
      </c>
      <c r="E1043" s="8" t="s">
        <v>4217</v>
      </c>
      <c r="F1043" s="8" t="s">
        <v>4339</v>
      </c>
      <c r="G1043" s="6" t="str">
        <f>_xlfn.XLOOKUP(LD_01[[#This Row],[DISCIPLINA]],'CLASSES DE PROJETOS'!$F$3:$F$37,'CLASSES DE PROJETOS'!$C$3:$C$37)</f>
        <v>AQ</v>
      </c>
      <c r="H1043" t="str">
        <f>_xlfn.TEXTJOIN("/",TRUE,"MSV-163MS-"&amp;LD_01[[#This Row],[TRECHO]],_xlfn.XLOOKUP(LD_01[[#This Row],[SIGLA]],'CLASSES DE PROJETOS'!$C$3:$C$37,'CLASSES DE PROJETOS'!$E$3:$E$37))</f>
        <v>MSV-163MS-638-NORTE/03.AQ</v>
      </c>
      <c r="I1043" s="6" t="str" cm="1">
        <f t="array" ref="I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J1043" s="6" t="str" cm="1">
        <f t="array" ref="J1043">_xlfn.TEXTJOIN(", ",TRUE,_xlfn.UNIQUE(_xlfn._xlws.FILTER(ARQUIVOS_RECEBIDOS!$F$2:$F$5010,ARQUIVOS_RECEBIDOS!$E$2:$E$5010=LD_01[[#This Row],[DOCUMENTO]])))</f>
        <v>R00, R01, R03</v>
      </c>
      <c r="K1043" s="12" cm="1">
        <f t="array" ref="K1043">_xlfn.UNIQUE(_xlfn._xlws.FILTER(ARQUIVOS[DATA RECEBIMENTO],(ARQUIVOS[DOCUMENTO]=LD_01[[#This Row],[DOCUMENTO]])*(ARQUIVOS[REVISÃO]=LD_01[[#This Row],[REVISÃO]])))</f>
        <v>46129</v>
      </c>
      <c r="L10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M1043" s="6" t="str">
        <f>LD_01[[#This Row],[PASTA]]&amp;"/"&amp;LD_01[[#This Row],[ARQUIVO]]</f>
        <v>MSV-163MS-638-NORTE/03.AQ/MSV-163MS-638+600-EDI-EXE-DE-P1-101-R03.pdf</v>
      </c>
    </row>
    <row r="1044" spans="1:13" ht="28.8" hidden="1" x14ac:dyDescent="0.3">
      <c r="A1044" s="6" t="s">
        <v>3867</v>
      </c>
      <c r="B1044" s="6" t="str">
        <f>VLOOKUP(LD_01[[#This Row],[DOCUMENTO]],_xlfn.SORTBY(ARQUIVOS_RECEBIDOS!$E$2:$F$5010,ARQUIVOS_RECEBIDOS!$F$2:$F$5010,-1),2,)</f>
        <v>R01</v>
      </c>
      <c r="C1044" s="15" t="s">
        <v>5987</v>
      </c>
      <c r="D1044" s="6" t="s">
        <v>4320</v>
      </c>
      <c r="E1044" s="8" t="s">
        <v>4218</v>
      </c>
      <c r="F1044" s="8" t="s">
        <v>4339</v>
      </c>
      <c r="G1044" s="6" t="str">
        <f>_xlfn.XLOOKUP(LD_01[[#This Row],[DISCIPLINA]],'CLASSES DE PROJETOS'!$F$3:$F$37,'CLASSES DE PROJETOS'!$C$3:$C$37)</f>
        <v>AQ</v>
      </c>
      <c r="H1044" t="str">
        <f>_xlfn.TEXTJOIN("/",TRUE,"MSV-163MS-"&amp;LD_01[[#This Row],[TRECHO]],_xlfn.XLOOKUP(LD_01[[#This Row],[SIGLA]],'CLASSES DE PROJETOS'!$C$3:$C$37,'CLASSES DE PROJETOS'!$E$3:$E$37))</f>
        <v>MSV-163MS-638-NORTE/03.AQ</v>
      </c>
      <c r="I1044" s="6" t="str" cm="1">
        <f t="array" ref="I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J1044" s="6" t="str" cm="1">
        <f t="array" ref="J1044">_xlfn.TEXTJOIN(", ",TRUE,_xlfn.UNIQUE(_xlfn._xlws.FILTER(ARQUIVOS_RECEBIDOS!$F$2:$F$5010,ARQUIVOS_RECEBIDOS!$E$2:$E$5010=LD_01[[#This Row],[DOCUMENTO]])))</f>
        <v>R00, R01</v>
      </c>
      <c r="K1044" s="12" cm="1">
        <f t="array" ref="K1044">_xlfn.UNIQUE(_xlfn._xlws.FILTER(ARQUIVOS[DATA RECEBIMENTO],(ARQUIVOS[DOCUMENTO]=LD_01[[#This Row],[DOCUMENTO]])*(ARQUIVOS[REVISÃO]=LD_01[[#This Row],[REVISÃO]])))</f>
        <v>45931</v>
      </c>
      <c r="L10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M1044" s="6" t="str">
        <f>LD_01[[#This Row],[PASTA]]&amp;"/"&amp;LD_01[[#This Row],[ARQUIVO]]</f>
        <v>MSV-163MS-638-NORTE/03.AQ/MSV-163MS-638+600-EDI-EXE-DE-P1-102-R01.pdf</v>
      </c>
    </row>
    <row r="1045" spans="1:13" ht="28.8" hidden="1" x14ac:dyDescent="0.3">
      <c r="A1045" s="6" t="s">
        <v>3868</v>
      </c>
      <c r="B1045" s="6" t="str">
        <f>VLOOKUP(LD_01[[#This Row],[DOCUMENTO]],_xlfn.SORTBY(ARQUIVOS_RECEBIDOS!$E$2:$F$5010,ARQUIVOS_RECEBIDOS!$F$2:$F$5010,-1),2,)</f>
        <v>R01</v>
      </c>
      <c r="C1045" s="15" t="s">
        <v>5987</v>
      </c>
      <c r="D1045" s="6" t="s">
        <v>4320</v>
      </c>
      <c r="E1045" s="8" t="s">
        <v>4219</v>
      </c>
      <c r="F1045" s="8" t="s">
        <v>4339</v>
      </c>
      <c r="G1045" s="6" t="str">
        <f>_xlfn.XLOOKUP(LD_01[[#This Row],[DISCIPLINA]],'CLASSES DE PROJETOS'!$F$3:$F$37,'CLASSES DE PROJETOS'!$C$3:$C$37)</f>
        <v>AQ</v>
      </c>
      <c r="H1045" t="str">
        <f>_xlfn.TEXTJOIN("/",TRUE,"MSV-163MS-"&amp;LD_01[[#This Row],[TRECHO]],_xlfn.XLOOKUP(LD_01[[#This Row],[SIGLA]],'CLASSES DE PROJETOS'!$C$3:$C$37,'CLASSES DE PROJETOS'!$E$3:$E$37))</f>
        <v>MSV-163MS-638-NORTE/03.AQ</v>
      </c>
      <c r="I1045" s="6" t="str" cm="1">
        <f t="array" ref="I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J1045" s="6" t="str" cm="1">
        <f t="array" ref="J1045">_xlfn.TEXTJOIN(", ",TRUE,_xlfn.UNIQUE(_xlfn._xlws.FILTER(ARQUIVOS_RECEBIDOS!$F$2:$F$5010,ARQUIVOS_RECEBIDOS!$E$2:$E$5010=LD_01[[#This Row],[DOCUMENTO]])))</f>
        <v>R00, R01</v>
      </c>
      <c r="K1045" s="12" cm="1">
        <f t="array" ref="K1045">_xlfn.UNIQUE(_xlfn._xlws.FILTER(ARQUIVOS[DATA RECEBIMENTO],(ARQUIVOS[DOCUMENTO]=LD_01[[#This Row],[DOCUMENTO]])*(ARQUIVOS[REVISÃO]=LD_01[[#This Row],[REVISÃO]])))</f>
        <v>45931</v>
      </c>
      <c r="L10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M1045" s="6" t="str">
        <f>LD_01[[#This Row],[PASTA]]&amp;"/"&amp;LD_01[[#This Row],[ARQUIVO]]</f>
        <v>MSV-163MS-638-NORTE/03.AQ/MSV-163MS-638+600-EDI-EXE-DE-P1-103-R01.pdf</v>
      </c>
    </row>
    <row r="1046" spans="1:13" ht="28.8" hidden="1" x14ac:dyDescent="0.3">
      <c r="A1046" s="6" t="s">
        <v>3869</v>
      </c>
      <c r="B1046" s="6" t="str">
        <f>VLOOKUP(LD_01[[#This Row],[DOCUMENTO]],_xlfn.SORTBY(ARQUIVOS_RECEBIDOS!$E$2:$F$5010,ARQUIVOS_RECEBIDOS!$F$2:$F$5010,-1),2,)</f>
        <v>R01</v>
      </c>
      <c r="C1046" s="15" t="s">
        <v>5987</v>
      </c>
      <c r="D1046" s="6" t="s">
        <v>4320</v>
      </c>
      <c r="E1046" s="8" t="s">
        <v>4220</v>
      </c>
      <c r="F1046" s="8" t="s">
        <v>4339</v>
      </c>
      <c r="G1046" s="6" t="str">
        <f>_xlfn.XLOOKUP(LD_01[[#This Row],[DISCIPLINA]],'CLASSES DE PROJETOS'!$F$3:$F$37,'CLASSES DE PROJETOS'!$C$3:$C$37)</f>
        <v>AQ</v>
      </c>
      <c r="H1046" t="str">
        <f>_xlfn.TEXTJOIN("/",TRUE,"MSV-163MS-"&amp;LD_01[[#This Row],[TRECHO]],_xlfn.XLOOKUP(LD_01[[#This Row],[SIGLA]],'CLASSES DE PROJETOS'!$C$3:$C$37,'CLASSES DE PROJETOS'!$E$3:$E$37))</f>
        <v>MSV-163MS-638-NORTE/03.AQ</v>
      </c>
      <c r="I1046" s="6" t="str" cm="1">
        <f t="array" ref="I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J1046" s="6" t="str" cm="1">
        <f t="array" ref="J1046">_xlfn.TEXTJOIN(", ",TRUE,_xlfn.UNIQUE(_xlfn._xlws.FILTER(ARQUIVOS_RECEBIDOS!$F$2:$F$5010,ARQUIVOS_RECEBIDOS!$E$2:$E$5010=LD_01[[#This Row],[DOCUMENTO]])))</f>
        <v>R00, R01</v>
      </c>
      <c r="K1046" s="12" cm="1">
        <f t="array" ref="K1046">_xlfn.UNIQUE(_xlfn._xlws.FILTER(ARQUIVOS[DATA RECEBIMENTO],(ARQUIVOS[DOCUMENTO]=LD_01[[#This Row],[DOCUMENTO]])*(ARQUIVOS[REVISÃO]=LD_01[[#This Row],[REVISÃO]])))</f>
        <v>45931</v>
      </c>
      <c r="L10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M1046" s="6" t="str">
        <f>LD_01[[#This Row],[PASTA]]&amp;"/"&amp;LD_01[[#This Row],[ARQUIVO]]</f>
        <v>MSV-163MS-638-NORTE/03.AQ/MSV-163MS-638+600-EDI-EXE-DE-P1-104-R01.pdf</v>
      </c>
    </row>
    <row r="1047" spans="1:13" ht="28.8" hidden="1" x14ac:dyDescent="0.3">
      <c r="A1047" s="6" t="s">
        <v>3870</v>
      </c>
      <c r="B1047" s="6" t="str">
        <f>VLOOKUP(LD_01[[#This Row],[DOCUMENTO]],_xlfn.SORTBY(ARQUIVOS_RECEBIDOS!$E$2:$F$5010,ARQUIVOS_RECEBIDOS!$F$2:$F$5010,-1),2,)</f>
        <v>R01</v>
      </c>
      <c r="C1047" s="15" t="s">
        <v>5987</v>
      </c>
      <c r="D1047" s="6" t="s">
        <v>4320</v>
      </c>
      <c r="E1047" s="8" t="s">
        <v>4221</v>
      </c>
      <c r="F1047" s="8" t="s">
        <v>4339</v>
      </c>
      <c r="G1047" s="6" t="str">
        <f>_xlfn.XLOOKUP(LD_01[[#This Row],[DISCIPLINA]],'CLASSES DE PROJETOS'!$F$3:$F$37,'CLASSES DE PROJETOS'!$C$3:$C$37)</f>
        <v>AQ</v>
      </c>
      <c r="H1047" t="str">
        <f>_xlfn.TEXTJOIN("/",TRUE,"MSV-163MS-"&amp;LD_01[[#This Row],[TRECHO]],_xlfn.XLOOKUP(LD_01[[#This Row],[SIGLA]],'CLASSES DE PROJETOS'!$C$3:$C$37,'CLASSES DE PROJETOS'!$E$3:$E$37))</f>
        <v>MSV-163MS-638-NORTE/03.AQ</v>
      </c>
      <c r="I1047" s="6" t="str" cm="1">
        <f t="array" ref="I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J1047" s="6" t="str" cm="1">
        <f t="array" ref="J1047">_xlfn.TEXTJOIN(", ",TRUE,_xlfn.UNIQUE(_xlfn._xlws.FILTER(ARQUIVOS_RECEBIDOS!$F$2:$F$5010,ARQUIVOS_RECEBIDOS!$E$2:$E$5010=LD_01[[#This Row],[DOCUMENTO]])))</f>
        <v>R00, R01</v>
      </c>
      <c r="K1047" s="12" cm="1">
        <f t="array" ref="K1047">_xlfn.UNIQUE(_xlfn._xlws.FILTER(ARQUIVOS[DATA RECEBIMENTO],(ARQUIVOS[DOCUMENTO]=LD_01[[#This Row],[DOCUMENTO]])*(ARQUIVOS[REVISÃO]=LD_01[[#This Row],[REVISÃO]])))</f>
        <v>45931</v>
      </c>
      <c r="L10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M1047" s="6" t="str">
        <f>LD_01[[#This Row],[PASTA]]&amp;"/"&amp;LD_01[[#This Row],[ARQUIVO]]</f>
        <v>MSV-163MS-638-NORTE/03.AQ/MSV-163MS-638+600-EDI-EXE-DE-P1-105-R01.pdf</v>
      </c>
    </row>
    <row r="1048" spans="1:13" ht="28.8" hidden="1" x14ac:dyDescent="0.3">
      <c r="A1048" s="6" t="s">
        <v>3871</v>
      </c>
      <c r="B1048" s="6" t="str">
        <f>VLOOKUP(LD_01[[#This Row],[DOCUMENTO]],_xlfn.SORTBY(ARQUIVOS_RECEBIDOS!$E$2:$F$5010,ARQUIVOS_RECEBIDOS!$F$2:$F$5010,-1),2,)</f>
        <v>R01</v>
      </c>
      <c r="C1048" s="15" t="s">
        <v>5987</v>
      </c>
      <c r="D1048" s="6" t="s">
        <v>4320</v>
      </c>
      <c r="E1048" s="8" t="s">
        <v>4222</v>
      </c>
      <c r="F1048" s="8" t="s">
        <v>4339</v>
      </c>
      <c r="G1048" s="6" t="str">
        <f>_xlfn.XLOOKUP(LD_01[[#This Row],[DISCIPLINA]],'CLASSES DE PROJETOS'!$F$3:$F$37,'CLASSES DE PROJETOS'!$C$3:$C$37)</f>
        <v>AQ</v>
      </c>
      <c r="H1048" t="str">
        <f>_xlfn.TEXTJOIN("/",TRUE,"MSV-163MS-"&amp;LD_01[[#This Row],[TRECHO]],_xlfn.XLOOKUP(LD_01[[#This Row],[SIGLA]],'CLASSES DE PROJETOS'!$C$3:$C$37,'CLASSES DE PROJETOS'!$E$3:$E$37))</f>
        <v>MSV-163MS-638-NORTE/03.AQ</v>
      </c>
      <c r="I1048" s="6" t="str" cm="1">
        <f t="array" ref="I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J1048" s="6" t="str" cm="1">
        <f t="array" ref="J1048">_xlfn.TEXTJOIN(", ",TRUE,_xlfn.UNIQUE(_xlfn._xlws.FILTER(ARQUIVOS_RECEBIDOS!$F$2:$F$5010,ARQUIVOS_RECEBIDOS!$E$2:$E$5010=LD_01[[#This Row],[DOCUMENTO]])))</f>
        <v>R00, R01</v>
      </c>
      <c r="K1048" s="12" cm="1">
        <f t="array" ref="K1048">_xlfn.UNIQUE(_xlfn._xlws.FILTER(ARQUIVOS[DATA RECEBIMENTO],(ARQUIVOS[DOCUMENTO]=LD_01[[#This Row],[DOCUMENTO]])*(ARQUIVOS[REVISÃO]=LD_01[[#This Row],[REVISÃO]])))</f>
        <v>45931</v>
      </c>
      <c r="L10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M1048" s="6" t="str">
        <f>LD_01[[#This Row],[PASTA]]&amp;"/"&amp;LD_01[[#This Row],[ARQUIVO]]</f>
        <v>MSV-163MS-638-NORTE/03.AQ/MSV-163MS-638+600-EDI-EXE-DE-P1-201-R01.pdf</v>
      </c>
    </row>
    <row r="1049" spans="1:13" ht="28.8" hidden="1" x14ac:dyDescent="0.3">
      <c r="A1049" s="6" t="s">
        <v>3872</v>
      </c>
      <c r="B1049" s="6" t="str">
        <f>VLOOKUP(LD_01[[#This Row],[DOCUMENTO]],_xlfn.SORTBY(ARQUIVOS_RECEBIDOS!$E$2:$F$5010,ARQUIVOS_RECEBIDOS!$F$2:$F$5010,-1),2,)</f>
        <v>R01</v>
      </c>
      <c r="C1049" s="15" t="s">
        <v>5987</v>
      </c>
      <c r="D1049" s="6" t="s">
        <v>4320</v>
      </c>
      <c r="E1049" s="8" t="s">
        <v>4223</v>
      </c>
      <c r="F1049" s="8" t="s">
        <v>4339</v>
      </c>
      <c r="G1049" s="6" t="str">
        <f>_xlfn.XLOOKUP(LD_01[[#This Row],[DISCIPLINA]],'CLASSES DE PROJETOS'!$F$3:$F$37,'CLASSES DE PROJETOS'!$C$3:$C$37)</f>
        <v>AQ</v>
      </c>
      <c r="H1049" t="str">
        <f>_xlfn.TEXTJOIN("/",TRUE,"MSV-163MS-"&amp;LD_01[[#This Row],[TRECHO]],_xlfn.XLOOKUP(LD_01[[#This Row],[SIGLA]],'CLASSES DE PROJETOS'!$C$3:$C$37,'CLASSES DE PROJETOS'!$E$3:$E$37))</f>
        <v>MSV-163MS-638-NORTE/03.AQ</v>
      </c>
      <c r="I1049" s="6" t="str" cm="1">
        <f t="array" ref="I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J1049" s="6" t="str" cm="1">
        <f t="array" ref="J1049">_xlfn.TEXTJOIN(", ",TRUE,_xlfn.UNIQUE(_xlfn._xlws.FILTER(ARQUIVOS_RECEBIDOS!$F$2:$F$5010,ARQUIVOS_RECEBIDOS!$E$2:$E$5010=LD_01[[#This Row],[DOCUMENTO]])))</f>
        <v>R00, R01</v>
      </c>
      <c r="K1049" s="12" cm="1">
        <f t="array" ref="K1049">_xlfn.UNIQUE(_xlfn._xlws.FILTER(ARQUIVOS[DATA RECEBIMENTO],(ARQUIVOS[DOCUMENTO]=LD_01[[#This Row],[DOCUMENTO]])*(ARQUIVOS[REVISÃO]=LD_01[[#This Row],[REVISÃO]])))</f>
        <v>45931</v>
      </c>
      <c r="L10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M1049" s="6" t="str">
        <f>LD_01[[#This Row],[PASTA]]&amp;"/"&amp;LD_01[[#This Row],[ARQUIVO]]</f>
        <v>MSV-163MS-638-NORTE/03.AQ/MSV-163MS-638+600-EDI-EXE-DE-P1-202-R01.pdf</v>
      </c>
    </row>
    <row r="1050" spans="1:13" ht="28.8" hidden="1" x14ac:dyDescent="0.3">
      <c r="A1050" s="6" t="s">
        <v>3873</v>
      </c>
      <c r="B1050" s="6" t="str">
        <f>VLOOKUP(LD_01[[#This Row],[DOCUMENTO]],_xlfn.SORTBY(ARQUIVOS_RECEBIDOS!$E$2:$F$5010,ARQUIVOS_RECEBIDOS!$F$2:$F$5010,-1),2,)</f>
        <v>R01</v>
      </c>
      <c r="C1050" s="15" t="s">
        <v>5987</v>
      </c>
      <c r="D1050" s="6" t="s">
        <v>4320</v>
      </c>
      <c r="E1050" s="8" t="s">
        <v>4224</v>
      </c>
      <c r="F1050" s="8" t="s">
        <v>4339</v>
      </c>
      <c r="G1050" s="6" t="str">
        <f>_xlfn.XLOOKUP(LD_01[[#This Row],[DISCIPLINA]],'CLASSES DE PROJETOS'!$F$3:$F$37,'CLASSES DE PROJETOS'!$C$3:$C$37)</f>
        <v>AQ</v>
      </c>
      <c r="H1050" t="str">
        <f>_xlfn.TEXTJOIN("/",TRUE,"MSV-163MS-"&amp;LD_01[[#This Row],[TRECHO]],_xlfn.XLOOKUP(LD_01[[#This Row],[SIGLA]],'CLASSES DE PROJETOS'!$C$3:$C$37,'CLASSES DE PROJETOS'!$E$3:$E$37))</f>
        <v>MSV-163MS-638-NORTE/03.AQ</v>
      </c>
      <c r="I1050" s="6" t="str" cm="1">
        <f t="array" ref="I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J1050" s="6" t="str" cm="1">
        <f t="array" ref="J1050">_xlfn.TEXTJOIN(", ",TRUE,_xlfn.UNIQUE(_xlfn._xlws.FILTER(ARQUIVOS_RECEBIDOS!$F$2:$F$5010,ARQUIVOS_RECEBIDOS!$E$2:$E$5010=LD_01[[#This Row],[DOCUMENTO]])))</f>
        <v>R00, R01</v>
      </c>
      <c r="K1050" s="12" cm="1">
        <f t="array" ref="K1050">_xlfn.UNIQUE(_xlfn._xlws.FILTER(ARQUIVOS[DATA RECEBIMENTO],(ARQUIVOS[DOCUMENTO]=LD_01[[#This Row],[DOCUMENTO]])*(ARQUIVOS[REVISÃO]=LD_01[[#This Row],[REVISÃO]])))</f>
        <v>45931</v>
      </c>
      <c r="L10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M1050" s="6" t="str">
        <f>LD_01[[#This Row],[PASTA]]&amp;"/"&amp;LD_01[[#This Row],[ARQUIVO]]</f>
        <v>MSV-163MS-638-NORTE/03.AQ/MSV-163MS-638+600-EDI-EXE-DE-P1-203-R01.pdf</v>
      </c>
    </row>
    <row r="1051" spans="1:13" ht="28.8" hidden="1" x14ac:dyDescent="0.3">
      <c r="A1051" s="6" t="s">
        <v>3874</v>
      </c>
      <c r="B1051" s="6" t="str">
        <f>VLOOKUP(LD_01[[#This Row],[DOCUMENTO]],_xlfn.SORTBY(ARQUIVOS_RECEBIDOS!$E$2:$F$5010,ARQUIVOS_RECEBIDOS!$F$2:$F$5010,-1),2,)</f>
        <v>R01</v>
      </c>
      <c r="C1051" s="15" t="s">
        <v>5987</v>
      </c>
      <c r="D1051" s="6" t="s">
        <v>4320</v>
      </c>
      <c r="E1051" s="8" t="s">
        <v>4225</v>
      </c>
      <c r="F1051" s="8" t="s">
        <v>4339</v>
      </c>
      <c r="G1051" s="6" t="str">
        <f>_xlfn.XLOOKUP(LD_01[[#This Row],[DISCIPLINA]],'CLASSES DE PROJETOS'!$F$3:$F$37,'CLASSES DE PROJETOS'!$C$3:$C$37)</f>
        <v>AQ</v>
      </c>
      <c r="H1051" t="str">
        <f>_xlfn.TEXTJOIN("/",TRUE,"MSV-163MS-"&amp;LD_01[[#This Row],[TRECHO]],_xlfn.XLOOKUP(LD_01[[#This Row],[SIGLA]],'CLASSES DE PROJETOS'!$C$3:$C$37,'CLASSES DE PROJETOS'!$E$3:$E$37))</f>
        <v>MSV-163MS-638-NORTE/03.AQ</v>
      </c>
      <c r="I1051" s="6" t="str" cm="1">
        <f t="array" ref="I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J1051" s="6" t="str" cm="1">
        <f t="array" ref="J1051">_xlfn.TEXTJOIN(", ",TRUE,_xlfn.UNIQUE(_xlfn._xlws.FILTER(ARQUIVOS_RECEBIDOS!$F$2:$F$5010,ARQUIVOS_RECEBIDOS!$E$2:$E$5010=LD_01[[#This Row],[DOCUMENTO]])))</f>
        <v>R00, R01</v>
      </c>
      <c r="K1051" s="12" cm="1">
        <f t="array" ref="K1051">_xlfn.UNIQUE(_xlfn._xlws.FILTER(ARQUIVOS[DATA RECEBIMENTO],(ARQUIVOS[DOCUMENTO]=LD_01[[#This Row],[DOCUMENTO]])*(ARQUIVOS[REVISÃO]=LD_01[[#This Row],[REVISÃO]])))</f>
        <v>45931</v>
      </c>
      <c r="L10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M1051" s="6" t="str">
        <f>LD_01[[#This Row],[PASTA]]&amp;"/"&amp;LD_01[[#This Row],[ARQUIVO]]</f>
        <v>MSV-163MS-638-NORTE/03.AQ/MSV-163MS-638+600-EDI-EXE-DE-P1-301-R01.pdf</v>
      </c>
    </row>
    <row r="1052" spans="1:13" ht="28.8" hidden="1" x14ac:dyDescent="0.3">
      <c r="A1052" s="6" t="s">
        <v>3875</v>
      </c>
      <c r="B1052" s="6" t="str">
        <f>VLOOKUP(LD_01[[#This Row],[DOCUMENTO]],_xlfn.SORTBY(ARQUIVOS_RECEBIDOS!$E$2:$F$5010,ARQUIVOS_RECEBIDOS!$F$2:$F$5010,-1),2,)</f>
        <v>R01</v>
      </c>
      <c r="C1052" s="15" t="s">
        <v>5987</v>
      </c>
      <c r="D1052" s="6" t="s">
        <v>4320</v>
      </c>
      <c r="E1052" s="8" t="s">
        <v>4226</v>
      </c>
      <c r="F1052" s="8" t="s">
        <v>4339</v>
      </c>
      <c r="G1052" s="6" t="str">
        <f>_xlfn.XLOOKUP(LD_01[[#This Row],[DISCIPLINA]],'CLASSES DE PROJETOS'!$F$3:$F$37,'CLASSES DE PROJETOS'!$C$3:$C$37)</f>
        <v>AQ</v>
      </c>
      <c r="H1052" t="str">
        <f>_xlfn.TEXTJOIN("/",TRUE,"MSV-163MS-"&amp;LD_01[[#This Row],[TRECHO]],_xlfn.XLOOKUP(LD_01[[#This Row],[SIGLA]],'CLASSES DE PROJETOS'!$C$3:$C$37,'CLASSES DE PROJETOS'!$E$3:$E$37))</f>
        <v>MSV-163MS-638-NORTE/03.AQ</v>
      </c>
      <c r="I1052" s="6" t="str" cm="1">
        <f t="array" ref="I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J1052" s="6" t="str" cm="1">
        <f t="array" ref="J1052">_xlfn.TEXTJOIN(", ",TRUE,_xlfn.UNIQUE(_xlfn._xlws.FILTER(ARQUIVOS_RECEBIDOS!$F$2:$F$5010,ARQUIVOS_RECEBIDOS!$E$2:$E$5010=LD_01[[#This Row],[DOCUMENTO]])))</f>
        <v>R00, R01</v>
      </c>
      <c r="K1052" s="12" cm="1">
        <f t="array" ref="K1052">_xlfn.UNIQUE(_xlfn._xlws.FILTER(ARQUIVOS[DATA RECEBIMENTO],(ARQUIVOS[DOCUMENTO]=LD_01[[#This Row],[DOCUMENTO]])*(ARQUIVOS[REVISÃO]=LD_01[[#This Row],[REVISÃO]])))</f>
        <v>45931</v>
      </c>
      <c r="L10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M1052" s="6" t="str">
        <f>LD_01[[#This Row],[PASTA]]&amp;"/"&amp;LD_01[[#This Row],[ARQUIVO]]</f>
        <v>MSV-163MS-638-NORTE/03.AQ/MSV-163MS-638+600-EDI-EXE-DE-P1-302-R01.pdf</v>
      </c>
    </row>
    <row r="1053" spans="1:13" ht="28.8" hidden="1" x14ac:dyDescent="0.3">
      <c r="A1053" s="6" t="s">
        <v>3876</v>
      </c>
      <c r="B1053" s="6" t="str">
        <f>VLOOKUP(LD_01[[#This Row],[DOCUMENTO]],_xlfn.SORTBY(ARQUIVOS_RECEBIDOS!$E$2:$F$5010,ARQUIVOS_RECEBIDOS!$F$2:$F$5010,-1),2,)</f>
        <v>R01</v>
      </c>
      <c r="C1053" s="15" t="s">
        <v>5987</v>
      </c>
      <c r="D1053" s="6" t="s">
        <v>4320</v>
      </c>
      <c r="E1053" s="8" t="s">
        <v>4227</v>
      </c>
      <c r="F1053" s="8" t="s">
        <v>4339</v>
      </c>
      <c r="G1053" s="6" t="str">
        <f>_xlfn.XLOOKUP(LD_01[[#This Row],[DISCIPLINA]],'CLASSES DE PROJETOS'!$F$3:$F$37,'CLASSES DE PROJETOS'!$C$3:$C$37)</f>
        <v>AQ</v>
      </c>
      <c r="H1053" t="str">
        <f>_xlfn.TEXTJOIN("/",TRUE,"MSV-163MS-"&amp;LD_01[[#This Row],[TRECHO]],_xlfn.XLOOKUP(LD_01[[#This Row],[SIGLA]],'CLASSES DE PROJETOS'!$C$3:$C$37,'CLASSES DE PROJETOS'!$E$3:$E$37))</f>
        <v>MSV-163MS-638-NORTE/03.AQ</v>
      </c>
      <c r="I1053" s="6" t="str" cm="1">
        <f t="array" ref="I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J1053" s="6" t="str" cm="1">
        <f t="array" ref="J1053">_xlfn.TEXTJOIN(", ",TRUE,_xlfn.UNIQUE(_xlfn._xlws.FILTER(ARQUIVOS_RECEBIDOS!$F$2:$F$5010,ARQUIVOS_RECEBIDOS!$E$2:$E$5010=LD_01[[#This Row],[DOCUMENTO]])))</f>
        <v>R00, R01</v>
      </c>
      <c r="K1053" s="12" cm="1">
        <f t="array" ref="K1053">_xlfn.UNIQUE(_xlfn._xlws.FILTER(ARQUIVOS[DATA RECEBIMENTO],(ARQUIVOS[DOCUMENTO]=LD_01[[#This Row],[DOCUMENTO]])*(ARQUIVOS[REVISÃO]=LD_01[[#This Row],[REVISÃO]])))</f>
        <v>45931</v>
      </c>
      <c r="L10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M1053" s="6" t="str">
        <f>LD_01[[#This Row],[PASTA]]&amp;"/"&amp;LD_01[[#This Row],[ARQUIVO]]</f>
        <v>MSV-163MS-638-NORTE/03.AQ/MSV-163MS-638+600-EDI-EXE-DE-P1-303-R01.pdf</v>
      </c>
    </row>
    <row r="1054" spans="1:13" ht="28.8" hidden="1" x14ac:dyDescent="0.3">
      <c r="A1054" s="6" t="s">
        <v>3877</v>
      </c>
      <c r="B1054" s="6" t="str">
        <f>VLOOKUP(LD_01[[#This Row],[DOCUMENTO]],_xlfn.SORTBY(ARQUIVOS_RECEBIDOS!$E$2:$F$5010,ARQUIVOS_RECEBIDOS!$F$2:$F$5010,-1),2,)</f>
        <v>R01</v>
      </c>
      <c r="C1054" s="15" t="s">
        <v>5987</v>
      </c>
      <c r="D1054" s="6" t="s">
        <v>4320</v>
      </c>
      <c r="E1054" s="8" t="s">
        <v>4228</v>
      </c>
      <c r="F1054" s="8" t="s">
        <v>4339</v>
      </c>
      <c r="G1054" s="6" t="str">
        <f>_xlfn.XLOOKUP(LD_01[[#This Row],[DISCIPLINA]],'CLASSES DE PROJETOS'!$F$3:$F$37,'CLASSES DE PROJETOS'!$C$3:$C$37)</f>
        <v>AQ</v>
      </c>
      <c r="H1054" t="str">
        <f>_xlfn.TEXTJOIN("/",TRUE,"MSV-163MS-"&amp;LD_01[[#This Row],[TRECHO]],_xlfn.XLOOKUP(LD_01[[#This Row],[SIGLA]],'CLASSES DE PROJETOS'!$C$3:$C$37,'CLASSES DE PROJETOS'!$E$3:$E$37))</f>
        <v>MSV-163MS-638-NORTE/03.AQ</v>
      </c>
      <c r="I1054" s="6" t="str" cm="1">
        <f t="array" ref="I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J1054" s="6" t="str" cm="1">
        <f t="array" ref="J1054">_xlfn.TEXTJOIN(", ",TRUE,_xlfn.UNIQUE(_xlfn._xlws.FILTER(ARQUIVOS_RECEBIDOS!$F$2:$F$5010,ARQUIVOS_RECEBIDOS!$E$2:$E$5010=LD_01[[#This Row],[DOCUMENTO]])))</f>
        <v>R00, R01</v>
      </c>
      <c r="K1054" s="12" cm="1">
        <f t="array" ref="K1054">_xlfn.UNIQUE(_xlfn._xlws.FILTER(ARQUIVOS[DATA RECEBIMENTO],(ARQUIVOS[DOCUMENTO]=LD_01[[#This Row],[DOCUMENTO]])*(ARQUIVOS[REVISÃO]=LD_01[[#This Row],[REVISÃO]])))</f>
        <v>45931</v>
      </c>
      <c r="L10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M1054" s="6" t="str">
        <f>LD_01[[#This Row],[PASTA]]&amp;"/"&amp;LD_01[[#This Row],[ARQUIVO]]</f>
        <v>MSV-163MS-638-NORTE/03.AQ/MSV-163MS-638+600-EDI-EXE-DE-P1-401-R01.pdf</v>
      </c>
    </row>
    <row r="1055" spans="1:13" ht="28.8" hidden="1" x14ac:dyDescent="0.3">
      <c r="A1055" s="6" t="s">
        <v>3878</v>
      </c>
      <c r="B1055" s="6" t="str">
        <f>VLOOKUP(LD_01[[#This Row],[DOCUMENTO]],_xlfn.SORTBY(ARQUIVOS_RECEBIDOS!$E$2:$F$5010,ARQUIVOS_RECEBIDOS!$F$2:$F$5010,-1),2,)</f>
        <v>R01</v>
      </c>
      <c r="C1055" s="15" t="s">
        <v>5987</v>
      </c>
      <c r="D1055" s="6" t="s">
        <v>4320</v>
      </c>
      <c r="E1055" s="8" t="s">
        <v>4229</v>
      </c>
      <c r="F1055" s="8" t="s">
        <v>4339</v>
      </c>
      <c r="G1055" s="6" t="str">
        <f>_xlfn.XLOOKUP(LD_01[[#This Row],[DISCIPLINA]],'CLASSES DE PROJETOS'!$F$3:$F$37,'CLASSES DE PROJETOS'!$C$3:$C$37)</f>
        <v>AQ</v>
      </c>
      <c r="H1055" t="str">
        <f>_xlfn.TEXTJOIN("/",TRUE,"MSV-163MS-"&amp;LD_01[[#This Row],[TRECHO]],_xlfn.XLOOKUP(LD_01[[#This Row],[SIGLA]],'CLASSES DE PROJETOS'!$C$3:$C$37,'CLASSES DE PROJETOS'!$E$3:$E$37))</f>
        <v>MSV-163MS-638-NORTE/03.AQ</v>
      </c>
      <c r="I1055" s="6" t="str" cm="1">
        <f t="array" ref="I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J1055" s="6" t="str" cm="1">
        <f t="array" ref="J1055">_xlfn.TEXTJOIN(", ",TRUE,_xlfn.UNIQUE(_xlfn._xlws.FILTER(ARQUIVOS_RECEBIDOS!$F$2:$F$5010,ARQUIVOS_RECEBIDOS!$E$2:$E$5010=LD_01[[#This Row],[DOCUMENTO]])))</f>
        <v>R00, R01</v>
      </c>
      <c r="K1055" s="12" cm="1">
        <f t="array" ref="K1055">_xlfn.UNIQUE(_xlfn._xlws.FILTER(ARQUIVOS[DATA RECEBIMENTO],(ARQUIVOS[DOCUMENTO]=LD_01[[#This Row],[DOCUMENTO]])*(ARQUIVOS[REVISÃO]=LD_01[[#This Row],[REVISÃO]])))</f>
        <v>45931</v>
      </c>
      <c r="L10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M1055" s="6" t="str">
        <f>LD_01[[#This Row],[PASTA]]&amp;"/"&amp;LD_01[[#This Row],[ARQUIVO]]</f>
        <v>MSV-163MS-638-NORTE/03.AQ/MSV-163MS-638+600-EDI-EXE-DE-P1-402-R01.pdf</v>
      </c>
    </row>
    <row r="1056" spans="1:13" ht="43.2" hidden="1" x14ac:dyDescent="0.3">
      <c r="A1056" s="6" t="s">
        <v>3793</v>
      </c>
      <c r="B1056" s="6" t="str">
        <f>VLOOKUP(LD_01[[#This Row],[DOCUMENTO]],_xlfn.SORTBY(ARQUIVOS_RECEBIDOS!$E$2:$F$5010,ARQUIVOS_RECEBIDOS!$F$2:$F$5010,-1),2,)</f>
        <v>R00</v>
      </c>
      <c r="C1056" s="15" t="s">
        <v>5987</v>
      </c>
      <c r="D1056" s="6" t="s">
        <v>4320</v>
      </c>
      <c r="E1056" s="8" t="s">
        <v>4815</v>
      </c>
      <c r="F1056" s="8" t="s">
        <v>4337</v>
      </c>
      <c r="G1056" s="6" t="str">
        <f>_xlfn.XLOOKUP(LD_01[[#This Row],[DISCIPLINA]],'CLASSES DE PROJETOS'!$F$3:$F$37,'CLASSES DE PROJETOS'!$C$3:$C$37)</f>
        <v>EL</v>
      </c>
      <c r="H1056" t="str">
        <f>_xlfn.TEXTJOIN("/",TRUE,"MSV-163MS-"&amp;LD_01[[#This Row],[TRECHO]],_xlfn.XLOOKUP(LD_01[[#This Row],[SIGLA]],'CLASSES DE PROJETOS'!$C$3:$C$37,'CLASSES DE PROJETOS'!$E$3:$E$37))</f>
        <v>MSV-163MS-638-NORTE/14.EL</v>
      </c>
      <c r="I1056" s="6" t="str" cm="1">
        <f t="array" ref="I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J1056" s="6" t="str" cm="1">
        <f t="array" ref="J1056">_xlfn.TEXTJOIN(", ",TRUE,_xlfn.UNIQUE(_xlfn._xlws.FILTER(ARQUIVOS_RECEBIDOS!$F$2:$F$5010,ARQUIVOS_RECEBIDOS!$E$2:$E$5010=LD_01[[#This Row],[DOCUMENTO]])))</f>
        <v>R00</v>
      </c>
      <c r="K1056" s="12" cm="1">
        <f t="array" ref="K1056">_xlfn.UNIQUE(_xlfn._xlws.FILTER(ARQUIVOS[DATA RECEBIMENTO],(ARQUIVOS[DOCUMENTO]=LD_01[[#This Row],[DOCUMENTO]])*(ARQUIVOS[REVISÃO]=LD_01[[#This Row],[REVISÃO]])))</f>
        <v>45838</v>
      </c>
      <c r="L10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M1056" s="6" t="str">
        <f>LD_01[[#This Row],[PASTA]]&amp;"/"&amp;LD_01[[#This Row],[ARQUIVO]]</f>
        <v>MSV-163MS-638-NORTE/14.EL/MSV-163MS-638+600-EDI-EXE-DE-P2-001-R00.pdf</v>
      </c>
    </row>
    <row r="1057" spans="1:13" ht="43.2" hidden="1" x14ac:dyDescent="0.3">
      <c r="A1057" s="6" t="s">
        <v>3794</v>
      </c>
      <c r="B1057" s="6" t="str">
        <f>VLOOKUP(LD_01[[#This Row],[DOCUMENTO]],_xlfn.SORTBY(ARQUIVOS_RECEBIDOS!$E$2:$F$5010,ARQUIVOS_RECEBIDOS!$F$2:$F$5010,-1),2,)</f>
        <v>R01</v>
      </c>
      <c r="C1057" s="15" t="s">
        <v>5987</v>
      </c>
      <c r="D1057" s="6" t="s">
        <v>4320</v>
      </c>
      <c r="E1057" s="8" t="s">
        <v>4790</v>
      </c>
      <c r="F1057" s="8" t="s">
        <v>4337</v>
      </c>
      <c r="G1057" s="6" t="str">
        <f>_xlfn.XLOOKUP(LD_01[[#This Row],[DISCIPLINA]],'CLASSES DE PROJETOS'!$F$3:$F$37,'CLASSES DE PROJETOS'!$C$3:$C$37)</f>
        <v>EL</v>
      </c>
      <c r="H1057" t="str">
        <f>_xlfn.TEXTJOIN("/",TRUE,"MSV-163MS-"&amp;LD_01[[#This Row],[TRECHO]],_xlfn.XLOOKUP(LD_01[[#This Row],[SIGLA]],'CLASSES DE PROJETOS'!$C$3:$C$37,'CLASSES DE PROJETOS'!$E$3:$E$37))</f>
        <v>MSV-163MS-638-NORTE/14.EL</v>
      </c>
      <c r="I1057" s="6" t="str" cm="1">
        <f t="array" ref="I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J1057" s="6" t="str" cm="1">
        <f t="array" ref="J1057">_xlfn.TEXTJOIN(", ",TRUE,_xlfn.UNIQUE(_xlfn._xlws.FILTER(ARQUIVOS_RECEBIDOS!$F$2:$F$5010,ARQUIVOS_RECEBIDOS!$E$2:$E$5010=LD_01[[#This Row],[DOCUMENTO]])))</f>
        <v>R00, R01</v>
      </c>
      <c r="K1057" s="12" cm="1">
        <f t="array" ref="K1057">_xlfn.UNIQUE(_xlfn._xlws.FILTER(ARQUIVOS[DATA RECEBIMENTO],(ARQUIVOS[DOCUMENTO]=LD_01[[#This Row],[DOCUMENTO]])*(ARQUIVOS[REVISÃO]=LD_01[[#This Row],[REVISÃO]])))</f>
        <v>45931</v>
      </c>
      <c r="L10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M1057" s="6" t="str">
        <f>LD_01[[#This Row],[PASTA]]&amp;"/"&amp;LD_01[[#This Row],[ARQUIVO]]</f>
        <v>MSV-163MS-638-NORTE/14.EL/MSV-163MS-638+600-EDI-EXE-DE-P2-101-R01.pdf</v>
      </c>
    </row>
    <row r="1058" spans="1:13" ht="43.2" hidden="1" x14ac:dyDescent="0.3">
      <c r="A1058" s="6" t="s">
        <v>3795</v>
      </c>
      <c r="B1058" s="6" t="str">
        <f>VLOOKUP(LD_01[[#This Row],[DOCUMENTO]],_xlfn.SORTBY(ARQUIVOS_RECEBIDOS!$E$2:$F$5010,ARQUIVOS_RECEBIDOS!$F$2:$F$5010,-1),2,)</f>
        <v>R01</v>
      </c>
      <c r="C1058" s="15" t="s">
        <v>5987</v>
      </c>
      <c r="D1058" s="6" t="s">
        <v>4320</v>
      </c>
      <c r="E1058" s="8" t="s">
        <v>4791</v>
      </c>
      <c r="F1058" s="8" t="s">
        <v>4337</v>
      </c>
      <c r="G1058" s="6" t="str">
        <f>_xlfn.XLOOKUP(LD_01[[#This Row],[DISCIPLINA]],'CLASSES DE PROJETOS'!$F$3:$F$37,'CLASSES DE PROJETOS'!$C$3:$C$37)</f>
        <v>EL</v>
      </c>
      <c r="H1058" t="str">
        <f>_xlfn.TEXTJOIN("/",TRUE,"MSV-163MS-"&amp;LD_01[[#This Row],[TRECHO]],_xlfn.XLOOKUP(LD_01[[#This Row],[SIGLA]],'CLASSES DE PROJETOS'!$C$3:$C$37,'CLASSES DE PROJETOS'!$E$3:$E$37))</f>
        <v>MSV-163MS-638-NORTE/14.EL</v>
      </c>
      <c r="I1058" s="6" t="str" cm="1">
        <f t="array" ref="I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J1058" s="6" t="str" cm="1">
        <f t="array" ref="J1058">_xlfn.TEXTJOIN(", ",TRUE,_xlfn.UNIQUE(_xlfn._xlws.FILTER(ARQUIVOS_RECEBIDOS!$F$2:$F$5010,ARQUIVOS_RECEBIDOS!$E$2:$E$5010=LD_01[[#This Row],[DOCUMENTO]])))</f>
        <v>R00, R01</v>
      </c>
      <c r="K1058" s="12" cm="1">
        <f t="array" ref="K1058">_xlfn.UNIQUE(_xlfn._xlws.FILTER(ARQUIVOS[DATA RECEBIMENTO],(ARQUIVOS[DOCUMENTO]=LD_01[[#This Row],[DOCUMENTO]])*(ARQUIVOS[REVISÃO]=LD_01[[#This Row],[REVISÃO]])))</f>
        <v>45931</v>
      </c>
      <c r="L10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M1058" s="6" t="str">
        <f>LD_01[[#This Row],[PASTA]]&amp;"/"&amp;LD_01[[#This Row],[ARQUIVO]]</f>
        <v>MSV-163MS-638-NORTE/14.EL/MSV-163MS-638+600-EDI-EXE-DE-P2-102-R01.pdf</v>
      </c>
    </row>
    <row r="1059" spans="1:13" ht="43.2" hidden="1" x14ac:dyDescent="0.3">
      <c r="A1059" s="6" t="s">
        <v>3796</v>
      </c>
      <c r="B1059" s="6" t="str">
        <f>VLOOKUP(LD_01[[#This Row],[DOCUMENTO]],_xlfn.SORTBY(ARQUIVOS_RECEBIDOS!$E$2:$F$5010,ARQUIVOS_RECEBIDOS!$F$2:$F$5010,-1),2,)</f>
        <v>R01</v>
      </c>
      <c r="C1059" s="15" t="s">
        <v>5987</v>
      </c>
      <c r="D1059" s="6" t="s">
        <v>4320</v>
      </c>
      <c r="E1059" s="8" t="s">
        <v>4792</v>
      </c>
      <c r="F1059" s="8" t="s">
        <v>4337</v>
      </c>
      <c r="G1059" s="6" t="str">
        <f>_xlfn.XLOOKUP(LD_01[[#This Row],[DISCIPLINA]],'CLASSES DE PROJETOS'!$F$3:$F$37,'CLASSES DE PROJETOS'!$C$3:$C$37)</f>
        <v>EL</v>
      </c>
      <c r="H1059" t="str">
        <f>_xlfn.TEXTJOIN("/",TRUE,"MSV-163MS-"&amp;LD_01[[#This Row],[TRECHO]],_xlfn.XLOOKUP(LD_01[[#This Row],[SIGLA]],'CLASSES DE PROJETOS'!$C$3:$C$37,'CLASSES DE PROJETOS'!$E$3:$E$37))</f>
        <v>MSV-163MS-638-NORTE/14.EL</v>
      </c>
      <c r="I1059" s="6" t="str" cm="1">
        <f t="array" ref="I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J1059" s="6" t="str" cm="1">
        <f t="array" ref="J1059">_xlfn.TEXTJOIN(", ",TRUE,_xlfn.UNIQUE(_xlfn._xlws.FILTER(ARQUIVOS_RECEBIDOS!$F$2:$F$5010,ARQUIVOS_RECEBIDOS!$E$2:$E$5010=LD_01[[#This Row],[DOCUMENTO]])))</f>
        <v>R00, R01</v>
      </c>
      <c r="K1059" s="12" cm="1">
        <f t="array" ref="K1059">_xlfn.UNIQUE(_xlfn._xlws.FILTER(ARQUIVOS[DATA RECEBIMENTO],(ARQUIVOS[DOCUMENTO]=LD_01[[#This Row],[DOCUMENTO]])*(ARQUIVOS[REVISÃO]=LD_01[[#This Row],[REVISÃO]])))</f>
        <v>45931</v>
      </c>
      <c r="L10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M1059" s="6" t="str">
        <f>LD_01[[#This Row],[PASTA]]&amp;"/"&amp;LD_01[[#This Row],[ARQUIVO]]</f>
        <v>MSV-163MS-638-NORTE/14.EL/MSV-163MS-638+600-EDI-EXE-DE-P2-103-R01.pdf</v>
      </c>
    </row>
    <row r="1060" spans="1:13" ht="43.2" hidden="1" x14ac:dyDescent="0.3">
      <c r="A1060" s="6" t="s">
        <v>3797</v>
      </c>
      <c r="B1060" s="6" t="str">
        <f>VLOOKUP(LD_01[[#This Row],[DOCUMENTO]],_xlfn.SORTBY(ARQUIVOS_RECEBIDOS!$E$2:$F$5010,ARQUIVOS_RECEBIDOS!$F$2:$F$5010,-1),2,)</f>
        <v>R01</v>
      </c>
      <c r="C1060" s="15" t="s">
        <v>5987</v>
      </c>
      <c r="D1060" s="6" t="s">
        <v>4320</v>
      </c>
      <c r="E1060" s="8" t="s">
        <v>4793</v>
      </c>
      <c r="F1060" s="8" t="s">
        <v>4337</v>
      </c>
      <c r="G1060" s="6" t="str">
        <f>_xlfn.XLOOKUP(LD_01[[#This Row],[DISCIPLINA]],'CLASSES DE PROJETOS'!$F$3:$F$37,'CLASSES DE PROJETOS'!$C$3:$C$37)</f>
        <v>EL</v>
      </c>
      <c r="H1060" t="str">
        <f>_xlfn.TEXTJOIN("/",TRUE,"MSV-163MS-"&amp;LD_01[[#This Row],[TRECHO]],_xlfn.XLOOKUP(LD_01[[#This Row],[SIGLA]],'CLASSES DE PROJETOS'!$C$3:$C$37,'CLASSES DE PROJETOS'!$E$3:$E$37))</f>
        <v>MSV-163MS-638-NORTE/14.EL</v>
      </c>
      <c r="I1060" s="6" t="str" cm="1">
        <f t="array" ref="I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J1060" s="6" t="str" cm="1">
        <f t="array" ref="J1060">_xlfn.TEXTJOIN(", ",TRUE,_xlfn.UNIQUE(_xlfn._xlws.FILTER(ARQUIVOS_RECEBIDOS!$F$2:$F$5010,ARQUIVOS_RECEBIDOS!$E$2:$E$5010=LD_01[[#This Row],[DOCUMENTO]])))</f>
        <v>R00, R01</v>
      </c>
      <c r="K1060" s="12" cm="1">
        <f t="array" ref="K1060">_xlfn.UNIQUE(_xlfn._xlws.FILTER(ARQUIVOS[DATA RECEBIMENTO],(ARQUIVOS[DOCUMENTO]=LD_01[[#This Row],[DOCUMENTO]])*(ARQUIVOS[REVISÃO]=LD_01[[#This Row],[REVISÃO]])))</f>
        <v>45931</v>
      </c>
      <c r="L10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M1060" s="6" t="str">
        <f>LD_01[[#This Row],[PASTA]]&amp;"/"&amp;LD_01[[#This Row],[ARQUIVO]]</f>
        <v>MSV-163MS-638-NORTE/14.EL/MSV-163MS-638+600-EDI-EXE-DE-P2-104-R01.pdf</v>
      </c>
    </row>
    <row r="1061" spans="1:13" ht="43.2" hidden="1" x14ac:dyDescent="0.3">
      <c r="A1061" s="6" t="s">
        <v>3798</v>
      </c>
      <c r="B1061" s="6" t="str">
        <f>VLOOKUP(LD_01[[#This Row],[DOCUMENTO]],_xlfn.SORTBY(ARQUIVOS_RECEBIDOS!$E$2:$F$5010,ARQUIVOS_RECEBIDOS!$F$2:$F$5010,-1),2,)</f>
        <v>R01</v>
      </c>
      <c r="C1061" s="15" t="s">
        <v>5987</v>
      </c>
      <c r="D1061" s="6" t="s">
        <v>4320</v>
      </c>
      <c r="E1061" s="8" t="s">
        <v>4794</v>
      </c>
      <c r="F1061" s="8" t="s">
        <v>4337</v>
      </c>
      <c r="G1061" s="6" t="str">
        <f>_xlfn.XLOOKUP(LD_01[[#This Row],[DISCIPLINA]],'CLASSES DE PROJETOS'!$F$3:$F$37,'CLASSES DE PROJETOS'!$C$3:$C$37)</f>
        <v>EL</v>
      </c>
      <c r="H1061" t="str">
        <f>_xlfn.TEXTJOIN("/",TRUE,"MSV-163MS-"&amp;LD_01[[#This Row],[TRECHO]],_xlfn.XLOOKUP(LD_01[[#This Row],[SIGLA]],'CLASSES DE PROJETOS'!$C$3:$C$37,'CLASSES DE PROJETOS'!$E$3:$E$37))</f>
        <v>MSV-163MS-638-NORTE/14.EL</v>
      </c>
      <c r="I1061" s="6" t="str" cm="1">
        <f t="array" ref="I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J1061" s="6" t="str" cm="1">
        <f t="array" ref="J1061">_xlfn.TEXTJOIN(", ",TRUE,_xlfn.UNIQUE(_xlfn._xlws.FILTER(ARQUIVOS_RECEBIDOS!$F$2:$F$5010,ARQUIVOS_RECEBIDOS!$E$2:$E$5010=LD_01[[#This Row],[DOCUMENTO]])))</f>
        <v>R00, R01</v>
      </c>
      <c r="K1061" s="12" cm="1">
        <f t="array" ref="K1061">_xlfn.UNIQUE(_xlfn._xlws.FILTER(ARQUIVOS[DATA RECEBIMENTO],(ARQUIVOS[DOCUMENTO]=LD_01[[#This Row],[DOCUMENTO]])*(ARQUIVOS[REVISÃO]=LD_01[[#This Row],[REVISÃO]])))</f>
        <v>45931</v>
      </c>
      <c r="L10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M1061" s="6" t="str">
        <f>LD_01[[#This Row],[PASTA]]&amp;"/"&amp;LD_01[[#This Row],[ARQUIVO]]</f>
        <v>MSV-163MS-638-NORTE/14.EL/MSV-163MS-638+600-EDI-EXE-DE-P2-105-R01.pdf</v>
      </c>
    </row>
    <row r="1062" spans="1:13" ht="43.2" hidden="1" x14ac:dyDescent="0.3">
      <c r="A1062" s="6" t="s">
        <v>3799</v>
      </c>
      <c r="B1062" s="6" t="str">
        <f>VLOOKUP(LD_01[[#This Row],[DOCUMENTO]],_xlfn.SORTBY(ARQUIVOS_RECEBIDOS!$E$2:$F$5010,ARQUIVOS_RECEBIDOS!$F$2:$F$5010,-1),2,)</f>
        <v>R01</v>
      </c>
      <c r="C1062" s="15" t="s">
        <v>5987</v>
      </c>
      <c r="D1062" s="6" t="s">
        <v>4320</v>
      </c>
      <c r="E1062" s="8" t="s">
        <v>4795</v>
      </c>
      <c r="F1062" s="8" t="s">
        <v>4337</v>
      </c>
      <c r="G1062" s="6" t="str">
        <f>_xlfn.XLOOKUP(LD_01[[#This Row],[DISCIPLINA]],'CLASSES DE PROJETOS'!$F$3:$F$37,'CLASSES DE PROJETOS'!$C$3:$C$37)</f>
        <v>EL</v>
      </c>
      <c r="H1062" t="str">
        <f>_xlfn.TEXTJOIN("/",TRUE,"MSV-163MS-"&amp;LD_01[[#This Row],[TRECHO]],_xlfn.XLOOKUP(LD_01[[#This Row],[SIGLA]],'CLASSES DE PROJETOS'!$C$3:$C$37,'CLASSES DE PROJETOS'!$E$3:$E$37))</f>
        <v>MSV-163MS-638-NORTE/14.EL</v>
      </c>
      <c r="I1062" s="6" t="str" cm="1">
        <f t="array" ref="I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J1062" s="6" t="str" cm="1">
        <f t="array" ref="J1062">_xlfn.TEXTJOIN(", ",TRUE,_xlfn.UNIQUE(_xlfn._xlws.FILTER(ARQUIVOS_RECEBIDOS!$F$2:$F$5010,ARQUIVOS_RECEBIDOS!$E$2:$E$5010=LD_01[[#This Row],[DOCUMENTO]])))</f>
        <v>R00, R01</v>
      </c>
      <c r="K1062" s="12" cm="1">
        <f t="array" ref="K1062">_xlfn.UNIQUE(_xlfn._xlws.FILTER(ARQUIVOS[DATA RECEBIMENTO],(ARQUIVOS[DOCUMENTO]=LD_01[[#This Row],[DOCUMENTO]])*(ARQUIVOS[REVISÃO]=LD_01[[#This Row],[REVISÃO]])))</f>
        <v>45931</v>
      </c>
      <c r="L10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M1062" s="6" t="str">
        <f>LD_01[[#This Row],[PASTA]]&amp;"/"&amp;LD_01[[#This Row],[ARQUIVO]]</f>
        <v>MSV-163MS-638-NORTE/14.EL/MSV-163MS-638+600-EDI-EXE-DE-P2-106-R01.pdf</v>
      </c>
    </row>
    <row r="1063" spans="1:13" ht="43.2" hidden="1" x14ac:dyDescent="0.3">
      <c r="A1063" s="6" t="s">
        <v>4771</v>
      </c>
      <c r="B1063" s="6" t="str">
        <f>VLOOKUP(LD_01[[#This Row],[DOCUMENTO]],_xlfn.SORTBY(ARQUIVOS_RECEBIDOS!$E$2:$F$5010,ARQUIVOS_RECEBIDOS!$F$2:$F$5010,-1),2,)</f>
        <v>R02</v>
      </c>
      <c r="C1063" s="15" t="s">
        <v>5987</v>
      </c>
      <c r="D1063" s="6" t="s">
        <v>4320</v>
      </c>
      <c r="E1063" s="8" t="s">
        <v>4796</v>
      </c>
      <c r="F1063" s="8" t="s">
        <v>4337</v>
      </c>
      <c r="G1063" s="6" t="str">
        <f>_xlfn.XLOOKUP(LD_01[[#This Row],[DISCIPLINA]],'CLASSES DE PROJETOS'!$F$3:$F$37,'CLASSES DE PROJETOS'!$C$3:$C$37)</f>
        <v>EL</v>
      </c>
      <c r="H1063" t="str">
        <f>_xlfn.TEXTJOIN("/",TRUE,"MSV-163MS-"&amp;LD_01[[#This Row],[TRECHO]],_xlfn.XLOOKUP(LD_01[[#This Row],[SIGLA]],'CLASSES DE PROJETOS'!$C$3:$C$37,'CLASSES DE PROJETOS'!$E$3:$E$37))</f>
        <v>MSV-163MS-638-NORTE/14.EL</v>
      </c>
      <c r="I1063" s="6" t="str" cm="1">
        <f t="array" ref="I1063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J1063" s="6" t="str" cm="1">
        <f t="array" ref="J1063">_xlfn.TEXTJOIN(", ",TRUE,_xlfn.UNIQUE(_xlfn._xlws.FILTER(ARQUIVOS_RECEBIDOS!$F$2:$F$5010,ARQUIVOS_RECEBIDOS!$E$2:$E$5010=LD_01[[#This Row],[DOCUMENTO]])))</f>
        <v>R00, R02</v>
      </c>
      <c r="K1063" s="12" cm="1">
        <f t="array" ref="K1063">_xlfn.UNIQUE(_xlfn._xlws.FILTER(ARQUIVOS[DATA RECEBIMENTO],(ARQUIVOS[DOCUMENTO]=LD_01[[#This Row],[DOCUMENTO]])*(ARQUIVOS[REVISÃO]=LD_01[[#This Row],[REVISÃO]])))</f>
        <v>46169</v>
      </c>
      <c r="L10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M1063" s="6" t="str">
        <f>LD_01[[#This Row],[PASTA]]&amp;"/"&amp;LD_01[[#This Row],[ARQUIVO]]</f>
        <v>MSV-163MS-638-NORTE/14.EL/MSV-163MS-638+600-EDI-EXE-DE-P2-107-R02.pdf</v>
      </c>
    </row>
    <row r="1064" spans="1:13" ht="43.2" hidden="1" x14ac:dyDescent="0.3">
      <c r="A1064" s="6" t="s">
        <v>4772</v>
      </c>
      <c r="B1064" s="6" t="str">
        <f>VLOOKUP(LD_01[[#This Row],[DOCUMENTO]],_xlfn.SORTBY(ARQUIVOS_RECEBIDOS!$E$2:$F$5010,ARQUIVOS_RECEBIDOS!$F$2:$F$5010,-1),2,)</f>
        <v>R02</v>
      </c>
      <c r="C1064" s="15" t="s">
        <v>5987</v>
      </c>
      <c r="D1064" s="6" t="s">
        <v>4320</v>
      </c>
      <c r="E1064" s="8" t="s">
        <v>4797</v>
      </c>
      <c r="F1064" s="8" t="s">
        <v>4337</v>
      </c>
      <c r="G1064" s="6" t="str">
        <f>_xlfn.XLOOKUP(LD_01[[#This Row],[DISCIPLINA]],'CLASSES DE PROJETOS'!$F$3:$F$37,'CLASSES DE PROJETOS'!$C$3:$C$37)</f>
        <v>EL</v>
      </c>
      <c r="H1064" t="str">
        <f>_xlfn.TEXTJOIN("/",TRUE,"MSV-163MS-"&amp;LD_01[[#This Row],[TRECHO]],_xlfn.XLOOKUP(LD_01[[#This Row],[SIGLA]],'CLASSES DE PROJETOS'!$C$3:$C$37,'CLASSES DE PROJETOS'!$E$3:$E$37))</f>
        <v>MSV-163MS-638-NORTE/14.EL</v>
      </c>
      <c r="I1064" s="6" t="str" cm="1">
        <f t="array" ref="I1064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J1064" s="6" t="str" cm="1">
        <f t="array" ref="J1064">_xlfn.TEXTJOIN(", ",TRUE,_xlfn.UNIQUE(_xlfn._xlws.FILTER(ARQUIVOS_RECEBIDOS!$F$2:$F$5010,ARQUIVOS_RECEBIDOS!$E$2:$E$5010=LD_01[[#This Row],[DOCUMENTO]])))</f>
        <v>R00, R02</v>
      </c>
      <c r="K1064" s="12" cm="1">
        <f t="array" ref="K1064">_xlfn.UNIQUE(_xlfn._xlws.FILTER(ARQUIVOS[DATA RECEBIMENTO],(ARQUIVOS[DOCUMENTO]=LD_01[[#This Row],[DOCUMENTO]])*(ARQUIVOS[REVISÃO]=LD_01[[#This Row],[REVISÃO]])))</f>
        <v>46169</v>
      </c>
      <c r="L10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M1064" s="6" t="str">
        <f>LD_01[[#This Row],[PASTA]]&amp;"/"&amp;LD_01[[#This Row],[ARQUIVO]]</f>
        <v>MSV-163MS-638-NORTE/14.EL/MSV-163MS-638+600-EDI-EXE-DE-P2-108-R02.pdf</v>
      </c>
    </row>
    <row r="1065" spans="1:13" ht="43.2" hidden="1" x14ac:dyDescent="0.3">
      <c r="A1065" s="6" t="s">
        <v>3800</v>
      </c>
      <c r="B1065" s="6" t="str">
        <f>VLOOKUP(LD_01[[#This Row],[DOCUMENTO]],_xlfn.SORTBY(ARQUIVOS_RECEBIDOS!$E$2:$F$5010,ARQUIVOS_RECEBIDOS!$F$2:$F$5010,-1),2,)</f>
        <v>R01</v>
      </c>
      <c r="C1065" s="15" t="s">
        <v>5987</v>
      </c>
      <c r="D1065" s="6" t="s">
        <v>4320</v>
      </c>
      <c r="E1065" s="8" t="s">
        <v>4798</v>
      </c>
      <c r="F1065" s="8" t="s">
        <v>4337</v>
      </c>
      <c r="G1065" s="6" t="str">
        <f>_xlfn.XLOOKUP(LD_01[[#This Row],[DISCIPLINA]],'CLASSES DE PROJETOS'!$F$3:$F$37,'CLASSES DE PROJETOS'!$C$3:$C$37)</f>
        <v>EL</v>
      </c>
      <c r="H1065" t="str">
        <f>_xlfn.TEXTJOIN("/",TRUE,"MSV-163MS-"&amp;LD_01[[#This Row],[TRECHO]],_xlfn.XLOOKUP(LD_01[[#This Row],[SIGLA]],'CLASSES DE PROJETOS'!$C$3:$C$37,'CLASSES DE PROJETOS'!$E$3:$E$37))</f>
        <v>MSV-163MS-638-NORTE/14.EL</v>
      </c>
      <c r="I1065" s="6" t="str" cm="1">
        <f t="array" ref="I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J1065" s="6" t="str" cm="1">
        <f t="array" ref="J1065">_xlfn.TEXTJOIN(", ",TRUE,_xlfn.UNIQUE(_xlfn._xlws.FILTER(ARQUIVOS_RECEBIDOS!$F$2:$F$5010,ARQUIVOS_RECEBIDOS!$E$2:$E$5010=LD_01[[#This Row],[DOCUMENTO]])))</f>
        <v>R00, R01</v>
      </c>
      <c r="K1065" s="12" cm="1">
        <f t="array" ref="K1065">_xlfn.UNIQUE(_xlfn._xlws.FILTER(ARQUIVOS[DATA RECEBIMENTO],(ARQUIVOS[DOCUMENTO]=LD_01[[#This Row],[DOCUMENTO]])*(ARQUIVOS[REVISÃO]=LD_01[[#This Row],[REVISÃO]])))</f>
        <v>45931</v>
      </c>
      <c r="L10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M1065" s="6" t="str">
        <f>LD_01[[#This Row],[PASTA]]&amp;"/"&amp;LD_01[[#This Row],[ARQUIVO]]</f>
        <v>MSV-163MS-638-NORTE/14.EL/MSV-163MS-638+600-EDI-EXE-DE-P2-201-R01.pdf</v>
      </c>
    </row>
    <row r="1066" spans="1:13" ht="43.2" hidden="1" x14ac:dyDescent="0.3">
      <c r="A1066" s="6" t="s">
        <v>3801</v>
      </c>
      <c r="B1066" s="6" t="str">
        <f>VLOOKUP(LD_01[[#This Row],[DOCUMENTO]],_xlfn.SORTBY(ARQUIVOS_RECEBIDOS!$E$2:$F$5010,ARQUIVOS_RECEBIDOS!$F$2:$F$5010,-1),2,)</f>
        <v>R01</v>
      </c>
      <c r="C1066" s="15" t="s">
        <v>5987</v>
      </c>
      <c r="D1066" s="6" t="s">
        <v>4320</v>
      </c>
      <c r="E1066" s="8" t="s">
        <v>4799</v>
      </c>
      <c r="F1066" s="8" t="s">
        <v>4337</v>
      </c>
      <c r="G1066" s="6" t="str">
        <f>_xlfn.XLOOKUP(LD_01[[#This Row],[DISCIPLINA]],'CLASSES DE PROJETOS'!$F$3:$F$37,'CLASSES DE PROJETOS'!$C$3:$C$37)</f>
        <v>EL</v>
      </c>
      <c r="H1066" t="str">
        <f>_xlfn.TEXTJOIN("/",TRUE,"MSV-163MS-"&amp;LD_01[[#This Row],[TRECHO]],_xlfn.XLOOKUP(LD_01[[#This Row],[SIGLA]],'CLASSES DE PROJETOS'!$C$3:$C$37,'CLASSES DE PROJETOS'!$E$3:$E$37))</f>
        <v>MSV-163MS-638-NORTE/14.EL</v>
      </c>
      <c r="I1066" s="6" t="str" cm="1">
        <f t="array" ref="I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J1066" s="6" t="str" cm="1">
        <f t="array" ref="J1066">_xlfn.TEXTJOIN(", ",TRUE,_xlfn.UNIQUE(_xlfn._xlws.FILTER(ARQUIVOS_RECEBIDOS!$F$2:$F$5010,ARQUIVOS_RECEBIDOS!$E$2:$E$5010=LD_01[[#This Row],[DOCUMENTO]])))</f>
        <v>R00, R01</v>
      </c>
      <c r="K1066" s="12" cm="1">
        <f t="array" ref="K1066">_xlfn.UNIQUE(_xlfn._xlws.FILTER(ARQUIVOS[DATA RECEBIMENTO],(ARQUIVOS[DOCUMENTO]=LD_01[[#This Row],[DOCUMENTO]])*(ARQUIVOS[REVISÃO]=LD_01[[#This Row],[REVISÃO]])))</f>
        <v>45931</v>
      </c>
      <c r="L10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M1066" s="6" t="str">
        <f>LD_01[[#This Row],[PASTA]]&amp;"/"&amp;LD_01[[#This Row],[ARQUIVO]]</f>
        <v>MSV-163MS-638-NORTE/14.EL/MSV-163MS-638+600-EDI-EXE-DE-P2-202-R01.pdf</v>
      </c>
    </row>
    <row r="1067" spans="1:13" ht="43.2" hidden="1" x14ac:dyDescent="0.3">
      <c r="A1067" s="6" t="s">
        <v>3802</v>
      </c>
      <c r="B1067" s="6" t="str">
        <f>VLOOKUP(LD_01[[#This Row],[DOCUMENTO]],_xlfn.SORTBY(ARQUIVOS_RECEBIDOS!$E$2:$F$5010,ARQUIVOS_RECEBIDOS!$F$2:$F$5010,-1),2,)</f>
        <v>R03</v>
      </c>
      <c r="C1067" s="15" t="s">
        <v>5987</v>
      </c>
      <c r="D1067" s="6" t="s">
        <v>4320</v>
      </c>
      <c r="E1067" s="8" t="s">
        <v>4803</v>
      </c>
      <c r="F1067" s="8" t="s">
        <v>4337</v>
      </c>
      <c r="G1067" s="6" t="str">
        <f>_xlfn.XLOOKUP(LD_01[[#This Row],[DISCIPLINA]],'CLASSES DE PROJETOS'!$F$3:$F$37,'CLASSES DE PROJETOS'!$C$3:$C$37)</f>
        <v>EL</v>
      </c>
      <c r="H1067" t="str">
        <f>_xlfn.TEXTJOIN("/",TRUE,"MSV-163MS-"&amp;LD_01[[#This Row],[TRECHO]],_xlfn.XLOOKUP(LD_01[[#This Row],[SIGLA]],'CLASSES DE PROJETOS'!$C$3:$C$37,'CLASSES DE PROJETOS'!$E$3:$E$37))</f>
        <v>MSV-163MS-638-NORTE/14.EL</v>
      </c>
      <c r="I1067" s="6" t="str" cm="1">
        <f t="array" ref="I1067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J1067" s="6" t="str" cm="1">
        <f t="array" ref="J1067">_xlfn.TEXTJOIN(", ",TRUE,_xlfn.UNIQUE(_xlfn._xlws.FILTER(ARQUIVOS_RECEBIDOS!$F$2:$F$5010,ARQUIVOS_RECEBIDOS!$E$2:$E$5010=LD_01[[#This Row],[DOCUMENTO]])))</f>
        <v>R00, R01, R03</v>
      </c>
      <c r="K1067" s="12" cm="1">
        <f t="array" ref="K1067">_xlfn.UNIQUE(_xlfn._xlws.FILTER(ARQUIVOS[DATA RECEBIMENTO],(ARQUIVOS[DOCUMENTO]=LD_01[[#This Row],[DOCUMENTO]])*(ARQUIVOS[REVISÃO]=LD_01[[#This Row],[REVISÃO]])))</f>
        <v>46169</v>
      </c>
      <c r="L10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M1067" s="6" t="str">
        <f>LD_01[[#This Row],[PASTA]]&amp;"/"&amp;LD_01[[#This Row],[ARQUIVO]]</f>
        <v>MSV-163MS-638-NORTE/14.EL/MSV-163MS-638+600-EDI-EXE-DE-P2-203-R03.pdf</v>
      </c>
    </row>
    <row r="1068" spans="1:13" ht="43.2" hidden="1" x14ac:dyDescent="0.3">
      <c r="A1068" s="6" t="s">
        <v>3803</v>
      </c>
      <c r="B1068" s="6" t="str">
        <f>VLOOKUP(LD_01[[#This Row],[DOCUMENTO]],_xlfn.SORTBY(ARQUIVOS_RECEBIDOS!$E$2:$F$5010,ARQUIVOS_RECEBIDOS!$F$2:$F$5010,-1),2,)</f>
        <v>R01</v>
      </c>
      <c r="C1068" s="15" t="s">
        <v>5987</v>
      </c>
      <c r="D1068" s="6" t="s">
        <v>4320</v>
      </c>
      <c r="E1068" s="8" t="s">
        <v>4802</v>
      </c>
      <c r="F1068" s="8" t="s">
        <v>4337</v>
      </c>
      <c r="G1068" s="6" t="str">
        <f>_xlfn.XLOOKUP(LD_01[[#This Row],[DISCIPLINA]],'CLASSES DE PROJETOS'!$F$3:$F$37,'CLASSES DE PROJETOS'!$C$3:$C$37)</f>
        <v>EL</v>
      </c>
      <c r="H1068" t="str">
        <f>_xlfn.TEXTJOIN("/",TRUE,"MSV-163MS-"&amp;LD_01[[#This Row],[TRECHO]],_xlfn.XLOOKUP(LD_01[[#This Row],[SIGLA]],'CLASSES DE PROJETOS'!$C$3:$C$37,'CLASSES DE PROJETOS'!$E$3:$E$37))</f>
        <v>MSV-163MS-638-NORTE/14.EL</v>
      </c>
      <c r="I1068" s="6" t="str" cm="1">
        <f t="array" ref="I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J1068" s="6" t="str" cm="1">
        <f t="array" ref="J1068">_xlfn.TEXTJOIN(", ",TRUE,_xlfn.UNIQUE(_xlfn._xlws.FILTER(ARQUIVOS_RECEBIDOS!$F$2:$F$5010,ARQUIVOS_RECEBIDOS!$E$2:$E$5010=LD_01[[#This Row],[DOCUMENTO]])))</f>
        <v>R00, R01</v>
      </c>
      <c r="K1068" s="12" cm="1">
        <f t="array" ref="K1068">_xlfn.UNIQUE(_xlfn._xlws.FILTER(ARQUIVOS[DATA RECEBIMENTO],(ARQUIVOS[DOCUMENTO]=LD_01[[#This Row],[DOCUMENTO]])*(ARQUIVOS[REVISÃO]=LD_01[[#This Row],[REVISÃO]])))</f>
        <v>45931</v>
      </c>
      <c r="L10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M1068" s="6" t="str">
        <f>LD_01[[#This Row],[PASTA]]&amp;"/"&amp;LD_01[[#This Row],[ARQUIVO]]</f>
        <v>MSV-163MS-638-NORTE/14.EL/MSV-163MS-638+600-EDI-EXE-DE-P2-301-R01.pdf</v>
      </c>
    </row>
    <row r="1069" spans="1:13" ht="43.2" hidden="1" x14ac:dyDescent="0.3">
      <c r="A1069" s="6" t="s">
        <v>3804</v>
      </c>
      <c r="B1069" s="6" t="str">
        <f>VLOOKUP(LD_01[[#This Row],[DOCUMENTO]],_xlfn.SORTBY(ARQUIVOS_RECEBIDOS!$E$2:$F$5010,ARQUIVOS_RECEBIDOS!$F$2:$F$5010,-1),2,)</f>
        <v>R01</v>
      </c>
      <c r="C1069" s="15" t="s">
        <v>5987</v>
      </c>
      <c r="D1069" s="6" t="s">
        <v>4320</v>
      </c>
      <c r="E1069" s="8" t="s">
        <v>4801</v>
      </c>
      <c r="F1069" s="8" t="s">
        <v>4337</v>
      </c>
      <c r="G1069" s="6" t="str">
        <f>_xlfn.XLOOKUP(LD_01[[#This Row],[DISCIPLINA]],'CLASSES DE PROJETOS'!$F$3:$F$37,'CLASSES DE PROJETOS'!$C$3:$C$37)</f>
        <v>EL</v>
      </c>
      <c r="H1069" t="str">
        <f>_xlfn.TEXTJOIN("/",TRUE,"MSV-163MS-"&amp;LD_01[[#This Row],[TRECHO]],_xlfn.XLOOKUP(LD_01[[#This Row],[SIGLA]],'CLASSES DE PROJETOS'!$C$3:$C$37,'CLASSES DE PROJETOS'!$E$3:$E$37))</f>
        <v>MSV-163MS-638-NORTE/14.EL</v>
      </c>
      <c r="I1069" s="6" t="str" cm="1">
        <f t="array" ref="I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J1069" s="6" t="str" cm="1">
        <f t="array" ref="J1069">_xlfn.TEXTJOIN(", ",TRUE,_xlfn.UNIQUE(_xlfn._xlws.FILTER(ARQUIVOS_RECEBIDOS!$F$2:$F$5010,ARQUIVOS_RECEBIDOS!$E$2:$E$5010=LD_01[[#This Row],[DOCUMENTO]])))</f>
        <v>R00, R01</v>
      </c>
      <c r="K1069" s="12" cm="1">
        <f t="array" ref="K1069">_xlfn.UNIQUE(_xlfn._xlws.FILTER(ARQUIVOS[DATA RECEBIMENTO],(ARQUIVOS[DOCUMENTO]=LD_01[[#This Row],[DOCUMENTO]])*(ARQUIVOS[REVISÃO]=LD_01[[#This Row],[REVISÃO]])))</f>
        <v>45931</v>
      </c>
      <c r="L10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M1069" s="6" t="str">
        <f>LD_01[[#This Row],[PASTA]]&amp;"/"&amp;LD_01[[#This Row],[ARQUIVO]]</f>
        <v>MSV-163MS-638-NORTE/14.EL/MSV-163MS-638+600-EDI-EXE-DE-P2-302-R01.pdf</v>
      </c>
    </row>
    <row r="1070" spans="1:13" ht="43.2" hidden="1" x14ac:dyDescent="0.3">
      <c r="A1070" s="6" t="s">
        <v>3805</v>
      </c>
      <c r="B1070" s="6" t="str">
        <f>VLOOKUP(LD_01[[#This Row],[DOCUMENTO]],_xlfn.SORTBY(ARQUIVOS_RECEBIDOS!$E$2:$F$5010,ARQUIVOS_RECEBIDOS!$F$2:$F$5010,-1),2,)</f>
        <v>R01</v>
      </c>
      <c r="C1070" s="15" t="s">
        <v>5987</v>
      </c>
      <c r="D1070" s="6" t="s">
        <v>4320</v>
      </c>
      <c r="E1070" s="8" t="s">
        <v>4800</v>
      </c>
      <c r="F1070" s="8" t="s">
        <v>4337</v>
      </c>
      <c r="G1070" s="6" t="str">
        <f>_xlfn.XLOOKUP(LD_01[[#This Row],[DISCIPLINA]],'CLASSES DE PROJETOS'!$F$3:$F$37,'CLASSES DE PROJETOS'!$C$3:$C$37)</f>
        <v>EL</v>
      </c>
      <c r="H1070" t="str">
        <f>_xlfn.TEXTJOIN("/",TRUE,"MSV-163MS-"&amp;LD_01[[#This Row],[TRECHO]],_xlfn.XLOOKUP(LD_01[[#This Row],[SIGLA]],'CLASSES DE PROJETOS'!$C$3:$C$37,'CLASSES DE PROJETOS'!$E$3:$E$37))</f>
        <v>MSV-163MS-638-NORTE/14.EL</v>
      </c>
      <c r="I1070" s="6" t="str" cm="1">
        <f t="array" ref="I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J1070" s="6" t="str" cm="1">
        <f t="array" ref="J1070">_xlfn.TEXTJOIN(", ",TRUE,_xlfn.UNIQUE(_xlfn._xlws.FILTER(ARQUIVOS_RECEBIDOS!$F$2:$F$5010,ARQUIVOS_RECEBIDOS!$E$2:$E$5010=LD_01[[#This Row],[DOCUMENTO]])))</f>
        <v>R00, R01</v>
      </c>
      <c r="K1070" s="12" cm="1">
        <f t="array" ref="K1070">_xlfn.UNIQUE(_xlfn._xlws.FILTER(ARQUIVOS[DATA RECEBIMENTO],(ARQUIVOS[DOCUMENTO]=LD_01[[#This Row],[DOCUMENTO]])*(ARQUIVOS[REVISÃO]=LD_01[[#This Row],[REVISÃO]])))</f>
        <v>45931</v>
      </c>
      <c r="L10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M1070" s="6" t="str">
        <f>LD_01[[#This Row],[PASTA]]&amp;"/"&amp;LD_01[[#This Row],[ARQUIVO]]</f>
        <v>MSV-163MS-638-NORTE/14.EL/MSV-163MS-638+600-EDI-EXE-DE-P2-303-R01.pdf</v>
      </c>
    </row>
    <row r="1071" spans="1:13" ht="43.2" hidden="1" x14ac:dyDescent="0.3">
      <c r="A1071" s="6" t="s">
        <v>3806</v>
      </c>
      <c r="B1071" s="6" t="str">
        <f>VLOOKUP(LD_01[[#This Row],[DOCUMENTO]],_xlfn.SORTBY(ARQUIVOS_RECEBIDOS!$E$2:$F$5010,ARQUIVOS_RECEBIDOS!$F$2:$F$5010,-1),2,)</f>
        <v>R02</v>
      </c>
      <c r="C1071" s="15" t="s">
        <v>5987</v>
      </c>
      <c r="D1071" s="6" t="s">
        <v>4320</v>
      </c>
      <c r="E1071" s="8" t="s">
        <v>4806</v>
      </c>
      <c r="F1071" s="8" t="s">
        <v>4337</v>
      </c>
      <c r="G1071" s="6" t="str">
        <f>_xlfn.XLOOKUP(LD_01[[#This Row],[DISCIPLINA]],'CLASSES DE PROJETOS'!$F$3:$F$37,'CLASSES DE PROJETOS'!$C$3:$C$37)</f>
        <v>EL</v>
      </c>
      <c r="H1071" t="str">
        <f>_xlfn.TEXTJOIN("/",TRUE,"MSV-163MS-"&amp;LD_01[[#This Row],[TRECHO]],_xlfn.XLOOKUP(LD_01[[#This Row],[SIGLA]],'CLASSES DE PROJETOS'!$C$3:$C$37,'CLASSES DE PROJETOS'!$E$3:$E$37))</f>
        <v>MSV-163MS-638-NORTE/14.EL</v>
      </c>
      <c r="I1071" s="6" t="str" cm="1">
        <f t="array" ref="I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J1071" s="6" t="str" cm="1">
        <f t="array" ref="J1071">_xlfn.TEXTJOIN(", ",TRUE,_xlfn.UNIQUE(_xlfn._xlws.FILTER(ARQUIVOS_RECEBIDOS!$F$2:$F$5010,ARQUIVOS_RECEBIDOS!$E$2:$E$5010=LD_01[[#This Row],[DOCUMENTO]])))</f>
        <v>R00, R01, R02</v>
      </c>
      <c r="K1071" s="12" cm="1">
        <f t="array" ref="K1071">_xlfn.UNIQUE(_xlfn._xlws.FILTER(ARQUIVOS[DATA RECEBIMENTO],(ARQUIVOS[DOCUMENTO]=LD_01[[#This Row],[DOCUMENTO]])*(ARQUIVOS[REVISÃO]=LD_01[[#This Row],[REVISÃO]])))</f>
        <v>46129</v>
      </c>
      <c r="L10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M1071" s="6" t="str">
        <f>LD_01[[#This Row],[PASTA]]&amp;"/"&amp;LD_01[[#This Row],[ARQUIVO]]</f>
        <v>MSV-163MS-638-NORTE/14.EL/MSV-163MS-638+600-EDI-EXE-DE-P2-401-R02.pdf</v>
      </c>
    </row>
    <row r="1072" spans="1:13" ht="43.2" hidden="1" x14ac:dyDescent="0.3">
      <c r="A1072" s="6" t="s">
        <v>3807</v>
      </c>
      <c r="B1072" s="6" t="str">
        <f>VLOOKUP(LD_01[[#This Row],[DOCUMENTO]],_xlfn.SORTBY(ARQUIVOS_RECEBIDOS!$E$2:$F$5010,ARQUIVOS_RECEBIDOS!$F$2:$F$5010,-1),2,)</f>
        <v>R01</v>
      </c>
      <c r="C1072" s="15" t="s">
        <v>5987</v>
      </c>
      <c r="D1072" s="6" t="s">
        <v>4320</v>
      </c>
      <c r="E1072" s="8" t="s">
        <v>4807</v>
      </c>
      <c r="F1072" s="8" t="s">
        <v>4337</v>
      </c>
      <c r="G1072" s="6" t="str">
        <f>_xlfn.XLOOKUP(LD_01[[#This Row],[DISCIPLINA]],'CLASSES DE PROJETOS'!$F$3:$F$37,'CLASSES DE PROJETOS'!$C$3:$C$37)</f>
        <v>EL</v>
      </c>
      <c r="H1072" t="str">
        <f>_xlfn.TEXTJOIN("/",TRUE,"MSV-163MS-"&amp;LD_01[[#This Row],[TRECHO]],_xlfn.XLOOKUP(LD_01[[#This Row],[SIGLA]],'CLASSES DE PROJETOS'!$C$3:$C$37,'CLASSES DE PROJETOS'!$E$3:$E$37))</f>
        <v>MSV-163MS-638-NORTE/14.EL</v>
      </c>
      <c r="I1072" s="6" t="str" cm="1">
        <f t="array" ref="I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J1072" s="6" t="str" cm="1">
        <f t="array" ref="J1072">_xlfn.TEXTJOIN(", ",TRUE,_xlfn.UNIQUE(_xlfn._xlws.FILTER(ARQUIVOS_RECEBIDOS!$F$2:$F$5010,ARQUIVOS_RECEBIDOS!$E$2:$E$5010=LD_01[[#This Row],[DOCUMENTO]])))</f>
        <v>R00, R01</v>
      </c>
      <c r="K1072" s="12" cm="1">
        <f t="array" ref="K1072">_xlfn.UNIQUE(_xlfn._xlws.FILTER(ARQUIVOS[DATA RECEBIMENTO],(ARQUIVOS[DOCUMENTO]=LD_01[[#This Row],[DOCUMENTO]])*(ARQUIVOS[REVISÃO]=LD_01[[#This Row],[REVISÃO]])))</f>
        <v>45931</v>
      </c>
      <c r="L10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M1072" s="6" t="str">
        <f>LD_01[[#This Row],[PASTA]]&amp;"/"&amp;LD_01[[#This Row],[ARQUIVO]]</f>
        <v>MSV-163MS-638-NORTE/14.EL/MSV-163MS-638+600-EDI-EXE-DE-P2-402-R01.pdf</v>
      </c>
    </row>
    <row r="1073" spans="1:13" ht="43.2" hidden="1" x14ac:dyDescent="0.3">
      <c r="A1073" s="6" t="s">
        <v>3808</v>
      </c>
      <c r="B1073" s="6" t="str">
        <f>VLOOKUP(LD_01[[#This Row],[DOCUMENTO]],_xlfn.SORTBY(ARQUIVOS_RECEBIDOS!$E$2:$F$5010,ARQUIVOS_RECEBIDOS!$F$2:$F$5010,-1),2,)</f>
        <v>R01</v>
      </c>
      <c r="C1073" s="15" t="s">
        <v>5987</v>
      </c>
      <c r="D1073" s="6" t="s">
        <v>4320</v>
      </c>
      <c r="E1073" s="8" t="s">
        <v>4808</v>
      </c>
      <c r="F1073" s="8" t="s">
        <v>4337</v>
      </c>
      <c r="G1073" s="6" t="str">
        <f>_xlfn.XLOOKUP(LD_01[[#This Row],[DISCIPLINA]],'CLASSES DE PROJETOS'!$F$3:$F$37,'CLASSES DE PROJETOS'!$C$3:$C$37)</f>
        <v>EL</v>
      </c>
      <c r="H1073" t="str">
        <f>_xlfn.TEXTJOIN("/",TRUE,"MSV-163MS-"&amp;LD_01[[#This Row],[TRECHO]],_xlfn.XLOOKUP(LD_01[[#This Row],[SIGLA]],'CLASSES DE PROJETOS'!$C$3:$C$37,'CLASSES DE PROJETOS'!$E$3:$E$37))</f>
        <v>MSV-163MS-638-NORTE/14.EL</v>
      </c>
      <c r="I1073" s="6" t="str" cm="1">
        <f t="array" ref="I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J1073" s="6" t="str" cm="1">
        <f t="array" ref="J1073">_xlfn.TEXTJOIN(", ",TRUE,_xlfn.UNIQUE(_xlfn._xlws.FILTER(ARQUIVOS_RECEBIDOS!$F$2:$F$5010,ARQUIVOS_RECEBIDOS!$E$2:$E$5010=LD_01[[#This Row],[DOCUMENTO]])))</f>
        <v>R00, R01</v>
      </c>
      <c r="K1073" s="12" cm="1">
        <f t="array" ref="K1073">_xlfn.UNIQUE(_xlfn._xlws.FILTER(ARQUIVOS[DATA RECEBIMENTO],(ARQUIVOS[DOCUMENTO]=LD_01[[#This Row],[DOCUMENTO]])*(ARQUIVOS[REVISÃO]=LD_01[[#This Row],[REVISÃO]])))</f>
        <v>45931</v>
      </c>
      <c r="L10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M1073" s="6" t="str">
        <f>LD_01[[#This Row],[PASTA]]&amp;"/"&amp;LD_01[[#This Row],[ARQUIVO]]</f>
        <v>MSV-163MS-638-NORTE/14.EL/MSV-163MS-638+600-EDI-EXE-DE-P2-403-R01.pdf</v>
      </c>
    </row>
    <row r="1074" spans="1:13" ht="43.2" hidden="1" x14ac:dyDescent="0.3">
      <c r="A1074" s="6" t="s">
        <v>3809</v>
      </c>
      <c r="B1074" s="6" t="str">
        <f>VLOOKUP(LD_01[[#This Row],[DOCUMENTO]],_xlfn.SORTBY(ARQUIVOS_RECEBIDOS!$E$2:$F$5010,ARQUIVOS_RECEBIDOS!$F$2:$F$5010,-1),2,)</f>
        <v>R03</v>
      </c>
      <c r="C1074" s="15" t="s">
        <v>5987</v>
      </c>
      <c r="D1074" s="6" t="s">
        <v>4320</v>
      </c>
      <c r="E1074" s="8" t="s">
        <v>4809</v>
      </c>
      <c r="F1074" s="8" t="s">
        <v>4337</v>
      </c>
      <c r="G1074" s="6" t="str">
        <f>_xlfn.XLOOKUP(LD_01[[#This Row],[DISCIPLINA]],'CLASSES DE PROJETOS'!$F$3:$F$37,'CLASSES DE PROJETOS'!$C$3:$C$37)</f>
        <v>EL</v>
      </c>
      <c r="H1074" t="str">
        <f>_xlfn.TEXTJOIN("/",TRUE,"MSV-163MS-"&amp;LD_01[[#This Row],[TRECHO]],_xlfn.XLOOKUP(LD_01[[#This Row],[SIGLA]],'CLASSES DE PROJETOS'!$C$3:$C$37,'CLASSES DE PROJETOS'!$E$3:$E$37))</f>
        <v>MSV-163MS-638-NORTE/14.EL</v>
      </c>
      <c r="I1074" s="6" t="str" cm="1">
        <f t="array" ref="I1074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J1074" s="6" t="str" cm="1">
        <f t="array" ref="J1074">_xlfn.TEXTJOIN(", ",TRUE,_xlfn.UNIQUE(_xlfn._xlws.FILTER(ARQUIVOS_RECEBIDOS!$F$2:$F$5010,ARQUIVOS_RECEBIDOS!$E$2:$E$5010=LD_01[[#This Row],[DOCUMENTO]])))</f>
        <v>R00, R01, R03</v>
      </c>
      <c r="K1074" s="12" cm="1">
        <f t="array" ref="K1074">_xlfn.UNIQUE(_xlfn._xlws.FILTER(ARQUIVOS[DATA RECEBIMENTO],(ARQUIVOS[DOCUMENTO]=LD_01[[#This Row],[DOCUMENTO]])*(ARQUIVOS[REVISÃO]=LD_01[[#This Row],[REVISÃO]])))</f>
        <v>46169</v>
      </c>
      <c r="L10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M1074" s="6" t="str">
        <f>LD_01[[#This Row],[PASTA]]&amp;"/"&amp;LD_01[[#This Row],[ARQUIVO]]</f>
        <v>MSV-163MS-638-NORTE/14.EL/MSV-163MS-638+600-EDI-EXE-DE-P2-404-R03.pdf</v>
      </c>
    </row>
    <row r="1075" spans="1:13" ht="43.2" hidden="1" x14ac:dyDescent="0.3">
      <c r="A1075" s="6" t="s">
        <v>5432</v>
      </c>
      <c r="B1075" s="6" t="str">
        <f>VLOOKUP(LD_01[[#This Row],[DOCUMENTO]],_xlfn.SORTBY(ARQUIVOS_RECEBIDOS!$E$2:$F$5010,ARQUIVOS_RECEBIDOS!$F$2:$F$5010,-1),2,)</f>
        <v>R00</v>
      </c>
      <c r="C1075" s="15" t="s">
        <v>5987</v>
      </c>
      <c r="D1075" s="6" t="s">
        <v>4320</v>
      </c>
      <c r="E1075" s="8" t="s">
        <v>5435</v>
      </c>
      <c r="F1075" s="8" t="s">
        <v>4337</v>
      </c>
      <c r="G1075" s="6" t="str">
        <f>_xlfn.XLOOKUP(LD_01[[#This Row],[DISCIPLINA]],'CLASSES DE PROJETOS'!$F$3:$F$37,'CLASSES DE PROJETOS'!$C$3:$C$37)</f>
        <v>EL</v>
      </c>
      <c r="H1075" t="str">
        <f>_xlfn.TEXTJOIN("/",TRUE,"MSV-163MS-"&amp;LD_01[[#This Row],[TRECHO]],_xlfn.XLOOKUP(LD_01[[#This Row],[SIGLA]],'CLASSES DE PROJETOS'!$C$3:$C$37,'CLASSES DE PROJETOS'!$E$3:$E$37))</f>
        <v>MSV-163MS-638-NORTE/14.EL</v>
      </c>
      <c r="I1075" s="6" t="str" cm="1">
        <f t="array" ref="I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J1075" s="6" t="str" cm="1">
        <f t="array" ref="J1075">_xlfn.TEXTJOIN(", ",TRUE,_xlfn.UNIQUE(_xlfn._xlws.FILTER(ARQUIVOS_RECEBIDOS!$F$2:$F$5010,ARQUIVOS_RECEBIDOS!$E$2:$E$5010=LD_01[[#This Row],[DOCUMENTO]])))</f>
        <v>R00</v>
      </c>
      <c r="K1075" s="12" cm="1">
        <f t="array" ref="K1075">_xlfn.UNIQUE(_xlfn._xlws.FILTER(ARQUIVOS[DATA RECEBIMENTO],(ARQUIVOS[DOCUMENTO]=LD_01[[#This Row],[DOCUMENTO]])*(ARQUIVOS[REVISÃO]=LD_01[[#This Row],[REVISÃO]])))</f>
        <v>46129</v>
      </c>
      <c r="L10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M1075" s="6" t="str">
        <f>LD_01[[#This Row],[PASTA]]&amp;"/"&amp;LD_01[[#This Row],[ARQUIVO]]</f>
        <v>MSV-163MS-638-NORTE/14.EL/MSV-163MS-638+600-EDI-EXE-DE-P2-601-R00.pdf</v>
      </c>
    </row>
    <row r="1076" spans="1:13" ht="28.8" hidden="1" x14ac:dyDescent="0.3">
      <c r="A1076" s="6" t="s">
        <v>3884</v>
      </c>
      <c r="B1076" s="6" t="str">
        <f>VLOOKUP(LD_01[[#This Row],[DOCUMENTO]],_xlfn.SORTBY(ARQUIVOS_RECEBIDOS!$E$2:$F$5010,ARQUIVOS_RECEBIDOS!$F$2:$F$5010,-1),2,)</f>
        <v>R01</v>
      </c>
      <c r="C1076" s="15" t="s">
        <v>5987</v>
      </c>
      <c r="D1076" s="6" t="s">
        <v>4320</v>
      </c>
      <c r="E1076" s="8" t="s">
        <v>4825</v>
      </c>
      <c r="F1076" s="8" t="s">
        <v>4340</v>
      </c>
      <c r="G1076" s="6" t="str">
        <f>_xlfn.XLOOKUP(LD_01[[#This Row],[DISCIPLINA]],'CLASSES DE PROJETOS'!$F$3:$F$37,'CLASSES DE PROJETOS'!$C$3:$C$37)</f>
        <v>HI</v>
      </c>
      <c r="H1076" t="str">
        <f>_xlfn.TEXTJOIN("/",TRUE,"MSV-163MS-"&amp;LD_01[[#This Row],[TRECHO]],_xlfn.XLOOKUP(LD_01[[#This Row],[SIGLA]],'CLASSES DE PROJETOS'!$C$3:$C$37,'CLASSES DE PROJETOS'!$E$3:$E$37))</f>
        <v>MSV-163MS-638-NORTE/21.HI</v>
      </c>
      <c r="I1076" s="6" t="str" cm="1">
        <f t="array" ref="I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J1076" s="6" t="str" cm="1">
        <f t="array" ref="J1076">_xlfn.TEXTJOIN(", ",TRUE,_xlfn.UNIQUE(_xlfn._xlws.FILTER(ARQUIVOS_RECEBIDOS!$F$2:$F$5010,ARQUIVOS_RECEBIDOS!$E$2:$E$5010=LD_01[[#This Row],[DOCUMENTO]])))</f>
        <v>R00, R01</v>
      </c>
      <c r="K1076" s="12" cm="1">
        <f t="array" ref="K1076">_xlfn.UNIQUE(_xlfn._xlws.FILTER(ARQUIVOS[DATA RECEBIMENTO],(ARQUIVOS[DOCUMENTO]=LD_01[[#This Row],[DOCUMENTO]])*(ARQUIVOS[REVISÃO]=LD_01[[#This Row],[REVISÃO]])))</f>
        <v>45931</v>
      </c>
      <c r="L10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M1076" s="6" t="str">
        <f>LD_01[[#This Row],[PASTA]]&amp;"/"&amp;LD_01[[#This Row],[ARQUIVO]]</f>
        <v>MSV-163MS-638-NORTE/21.HI/MSV-163MS-638+600-EDI-EXE-DE-P3-001-R01.pdf</v>
      </c>
    </row>
    <row r="1077" spans="1:13" ht="28.8" hidden="1" x14ac:dyDescent="0.3">
      <c r="A1077" s="6" t="s">
        <v>3885</v>
      </c>
      <c r="B1077" s="6" t="str">
        <f>VLOOKUP(LD_01[[#This Row],[DOCUMENTO]],_xlfn.SORTBY(ARQUIVOS_RECEBIDOS!$E$2:$F$5010,ARQUIVOS_RECEBIDOS!$F$2:$F$5010,-1),2,)</f>
        <v>R01</v>
      </c>
      <c r="C1077" s="15" t="s">
        <v>5987</v>
      </c>
      <c r="D1077" s="6" t="s">
        <v>4320</v>
      </c>
      <c r="E1077" s="8" t="s">
        <v>4826</v>
      </c>
      <c r="F1077" s="8" t="s">
        <v>4340</v>
      </c>
      <c r="G1077" s="6" t="str">
        <f>_xlfn.XLOOKUP(LD_01[[#This Row],[DISCIPLINA]],'CLASSES DE PROJETOS'!$F$3:$F$37,'CLASSES DE PROJETOS'!$C$3:$C$37)</f>
        <v>HI</v>
      </c>
      <c r="H1077" t="str">
        <f>_xlfn.TEXTJOIN("/",TRUE,"MSV-163MS-"&amp;LD_01[[#This Row],[TRECHO]],_xlfn.XLOOKUP(LD_01[[#This Row],[SIGLA]],'CLASSES DE PROJETOS'!$C$3:$C$37,'CLASSES DE PROJETOS'!$E$3:$E$37))</f>
        <v>MSV-163MS-638-NORTE/21.HI</v>
      </c>
      <c r="I1077" s="6" t="str" cm="1">
        <f t="array" ref="I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J1077" s="6" t="str" cm="1">
        <f t="array" ref="J1077">_xlfn.TEXTJOIN(", ",TRUE,_xlfn.UNIQUE(_xlfn._xlws.FILTER(ARQUIVOS_RECEBIDOS!$F$2:$F$5010,ARQUIVOS_RECEBIDOS!$E$2:$E$5010=LD_01[[#This Row],[DOCUMENTO]])))</f>
        <v>R00, R01</v>
      </c>
      <c r="K1077" s="12" cm="1">
        <f t="array" ref="K1077">_xlfn.UNIQUE(_xlfn._xlws.FILTER(ARQUIVOS[DATA RECEBIMENTO],(ARQUIVOS[DOCUMENTO]=LD_01[[#This Row],[DOCUMENTO]])*(ARQUIVOS[REVISÃO]=LD_01[[#This Row],[REVISÃO]])))</f>
        <v>45931</v>
      </c>
      <c r="L10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M1077" s="6" t="str">
        <f>LD_01[[#This Row],[PASTA]]&amp;"/"&amp;LD_01[[#This Row],[ARQUIVO]]</f>
        <v>MSV-163MS-638-NORTE/21.HI/MSV-163MS-638+600-EDI-EXE-DE-P3-002-R01.pdf</v>
      </c>
    </row>
    <row r="1078" spans="1:13" ht="28.8" hidden="1" x14ac:dyDescent="0.3">
      <c r="A1078" s="6" t="s">
        <v>3886</v>
      </c>
      <c r="B1078" s="6" t="str">
        <f>VLOOKUP(LD_01[[#This Row],[DOCUMENTO]],_xlfn.SORTBY(ARQUIVOS_RECEBIDOS!$E$2:$F$5010,ARQUIVOS_RECEBIDOS!$F$2:$F$5010,-1),2,)</f>
        <v>R01</v>
      </c>
      <c r="C1078" s="15" t="s">
        <v>5987</v>
      </c>
      <c r="D1078" s="6" t="s">
        <v>4320</v>
      </c>
      <c r="E1078" s="8" t="s">
        <v>4827</v>
      </c>
      <c r="F1078" s="8" t="s">
        <v>4340</v>
      </c>
      <c r="G1078" s="6" t="str">
        <f>_xlfn.XLOOKUP(LD_01[[#This Row],[DISCIPLINA]],'CLASSES DE PROJETOS'!$F$3:$F$37,'CLASSES DE PROJETOS'!$C$3:$C$37)</f>
        <v>HI</v>
      </c>
      <c r="H1078" t="str">
        <f>_xlfn.TEXTJOIN("/",TRUE,"MSV-163MS-"&amp;LD_01[[#This Row],[TRECHO]],_xlfn.XLOOKUP(LD_01[[#This Row],[SIGLA]],'CLASSES DE PROJETOS'!$C$3:$C$37,'CLASSES DE PROJETOS'!$E$3:$E$37))</f>
        <v>MSV-163MS-638-NORTE/21.HI</v>
      </c>
      <c r="I1078" s="6" t="str" cm="1">
        <f t="array" ref="I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J1078" s="6" t="str" cm="1">
        <f t="array" ref="J1078">_xlfn.TEXTJOIN(", ",TRUE,_xlfn.UNIQUE(_xlfn._xlws.FILTER(ARQUIVOS_RECEBIDOS!$F$2:$F$5010,ARQUIVOS_RECEBIDOS!$E$2:$E$5010=LD_01[[#This Row],[DOCUMENTO]])))</f>
        <v>R00, R01</v>
      </c>
      <c r="K1078" s="12" cm="1">
        <f t="array" ref="K1078">_xlfn.UNIQUE(_xlfn._xlws.FILTER(ARQUIVOS[DATA RECEBIMENTO],(ARQUIVOS[DOCUMENTO]=LD_01[[#This Row],[DOCUMENTO]])*(ARQUIVOS[REVISÃO]=LD_01[[#This Row],[REVISÃO]])))</f>
        <v>45931</v>
      </c>
      <c r="L10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M1078" s="6" t="str">
        <f>LD_01[[#This Row],[PASTA]]&amp;"/"&amp;LD_01[[#This Row],[ARQUIVO]]</f>
        <v>MSV-163MS-638-NORTE/21.HI/MSV-163MS-638+600-EDI-EXE-DE-P3-003-R01.pdf</v>
      </c>
    </row>
    <row r="1079" spans="1:13" ht="28.8" hidden="1" x14ac:dyDescent="0.3">
      <c r="A1079" s="6" t="s">
        <v>3887</v>
      </c>
      <c r="B1079" s="6" t="str">
        <f>VLOOKUP(LD_01[[#This Row],[DOCUMENTO]],_xlfn.SORTBY(ARQUIVOS_RECEBIDOS!$E$2:$F$5010,ARQUIVOS_RECEBIDOS!$F$2:$F$5010,-1),2,)</f>
        <v>R01</v>
      </c>
      <c r="C1079" s="15" t="s">
        <v>5987</v>
      </c>
      <c r="D1079" s="6" t="s">
        <v>4320</v>
      </c>
      <c r="E1079" s="8" t="s">
        <v>4828</v>
      </c>
      <c r="F1079" s="8" t="s">
        <v>4340</v>
      </c>
      <c r="G1079" s="6" t="str">
        <f>_xlfn.XLOOKUP(LD_01[[#This Row],[DISCIPLINA]],'CLASSES DE PROJETOS'!$F$3:$F$37,'CLASSES DE PROJETOS'!$C$3:$C$37)</f>
        <v>HI</v>
      </c>
      <c r="H1079" t="str">
        <f>_xlfn.TEXTJOIN("/",TRUE,"MSV-163MS-"&amp;LD_01[[#This Row],[TRECHO]],_xlfn.XLOOKUP(LD_01[[#This Row],[SIGLA]],'CLASSES DE PROJETOS'!$C$3:$C$37,'CLASSES DE PROJETOS'!$E$3:$E$37))</f>
        <v>MSV-163MS-638-NORTE/21.HI</v>
      </c>
      <c r="I1079" s="6" t="str" cm="1">
        <f t="array" ref="I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J1079" s="6" t="str" cm="1">
        <f t="array" ref="J1079">_xlfn.TEXTJOIN(", ",TRUE,_xlfn.UNIQUE(_xlfn._xlws.FILTER(ARQUIVOS_RECEBIDOS!$F$2:$F$5010,ARQUIVOS_RECEBIDOS!$E$2:$E$5010=LD_01[[#This Row],[DOCUMENTO]])))</f>
        <v>R00, R01</v>
      </c>
      <c r="K1079" s="12" cm="1">
        <f t="array" ref="K1079">_xlfn.UNIQUE(_xlfn._xlws.FILTER(ARQUIVOS[DATA RECEBIMENTO],(ARQUIVOS[DOCUMENTO]=LD_01[[#This Row],[DOCUMENTO]])*(ARQUIVOS[REVISÃO]=LD_01[[#This Row],[REVISÃO]])))</f>
        <v>45931</v>
      </c>
      <c r="L10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M1079" s="6" t="str">
        <f>LD_01[[#This Row],[PASTA]]&amp;"/"&amp;LD_01[[#This Row],[ARQUIVO]]</f>
        <v>MSV-163MS-638-NORTE/21.HI/MSV-163MS-638+600-EDI-EXE-DE-P3-004-R01.pdf</v>
      </c>
    </row>
    <row r="1080" spans="1:13" ht="28.8" hidden="1" x14ac:dyDescent="0.3">
      <c r="A1080" s="6" t="s">
        <v>3888</v>
      </c>
      <c r="B1080" s="6" t="str">
        <f>VLOOKUP(LD_01[[#This Row],[DOCUMENTO]],_xlfn.SORTBY(ARQUIVOS_RECEBIDOS!$E$2:$F$5010,ARQUIVOS_RECEBIDOS!$F$2:$F$5010,-1),2,)</f>
        <v>R01</v>
      </c>
      <c r="C1080" s="15" t="s">
        <v>5987</v>
      </c>
      <c r="D1080" s="6" t="s">
        <v>4320</v>
      </c>
      <c r="E1080" s="8" t="s">
        <v>4829</v>
      </c>
      <c r="F1080" s="8" t="s">
        <v>4340</v>
      </c>
      <c r="G1080" s="6" t="str">
        <f>_xlfn.XLOOKUP(LD_01[[#This Row],[DISCIPLINA]],'CLASSES DE PROJETOS'!$F$3:$F$37,'CLASSES DE PROJETOS'!$C$3:$C$37)</f>
        <v>HI</v>
      </c>
      <c r="H1080" t="str">
        <f>_xlfn.TEXTJOIN("/",TRUE,"MSV-163MS-"&amp;LD_01[[#This Row],[TRECHO]],_xlfn.XLOOKUP(LD_01[[#This Row],[SIGLA]],'CLASSES DE PROJETOS'!$C$3:$C$37,'CLASSES DE PROJETOS'!$E$3:$E$37))</f>
        <v>MSV-163MS-638-NORTE/21.HI</v>
      </c>
      <c r="I1080" s="6" t="str" cm="1">
        <f t="array" ref="I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J1080" s="6" t="str" cm="1">
        <f t="array" ref="J1080">_xlfn.TEXTJOIN(", ",TRUE,_xlfn.UNIQUE(_xlfn._xlws.FILTER(ARQUIVOS_RECEBIDOS!$F$2:$F$5010,ARQUIVOS_RECEBIDOS!$E$2:$E$5010=LD_01[[#This Row],[DOCUMENTO]])))</f>
        <v>R00, R01</v>
      </c>
      <c r="K1080" s="12" cm="1">
        <f t="array" ref="K1080">_xlfn.UNIQUE(_xlfn._xlws.FILTER(ARQUIVOS[DATA RECEBIMENTO],(ARQUIVOS[DOCUMENTO]=LD_01[[#This Row],[DOCUMENTO]])*(ARQUIVOS[REVISÃO]=LD_01[[#This Row],[REVISÃO]])))</f>
        <v>45931</v>
      </c>
      <c r="L10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M1080" s="6" t="str">
        <f>LD_01[[#This Row],[PASTA]]&amp;"/"&amp;LD_01[[#This Row],[ARQUIVO]]</f>
        <v>MSV-163MS-638-NORTE/21.HI/MSV-163MS-638+600-EDI-EXE-DE-P3-005-R01.pdf</v>
      </c>
    </row>
    <row r="1081" spans="1:13" ht="28.8" hidden="1" x14ac:dyDescent="0.3">
      <c r="A1081" s="6" t="s">
        <v>3889</v>
      </c>
      <c r="B1081" s="6" t="str">
        <f>VLOOKUP(LD_01[[#This Row],[DOCUMENTO]],_xlfn.SORTBY(ARQUIVOS_RECEBIDOS!$E$2:$F$5010,ARQUIVOS_RECEBIDOS!$F$2:$F$5010,-1),2,)</f>
        <v>R01</v>
      </c>
      <c r="C1081" s="15" t="s">
        <v>5987</v>
      </c>
      <c r="D1081" s="6" t="s">
        <v>4320</v>
      </c>
      <c r="E1081" s="8" t="s">
        <v>4830</v>
      </c>
      <c r="F1081" s="8" t="s">
        <v>4340</v>
      </c>
      <c r="G1081" s="6" t="str">
        <f>_xlfn.XLOOKUP(LD_01[[#This Row],[DISCIPLINA]],'CLASSES DE PROJETOS'!$F$3:$F$37,'CLASSES DE PROJETOS'!$C$3:$C$37)</f>
        <v>HI</v>
      </c>
      <c r="H1081" t="str">
        <f>_xlfn.TEXTJOIN("/",TRUE,"MSV-163MS-"&amp;LD_01[[#This Row],[TRECHO]],_xlfn.XLOOKUP(LD_01[[#This Row],[SIGLA]],'CLASSES DE PROJETOS'!$C$3:$C$37,'CLASSES DE PROJETOS'!$E$3:$E$37))</f>
        <v>MSV-163MS-638-NORTE/21.HI</v>
      </c>
      <c r="I1081" s="6" t="str" cm="1">
        <f t="array" ref="I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J1081" s="6" t="str" cm="1">
        <f t="array" ref="J1081">_xlfn.TEXTJOIN(", ",TRUE,_xlfn.UNIQUE(_xlfn._xlws.FILTER(ARQUIVOS_RECEBIDOS!$F$2:$F$5010,ARQUIVOS_RECEBIDOS!$E$2:$E$5010=LD_01[[#This Row],[DOCUMENTO]])))</f>
        <v>R00, R01</v>
      </c>
      <c r="K1081" s="12" cm="1">
        <f t="array" ref="K1081">_xlfn.UNIQUE(_xlfn._xlws.FILTER(ARQUIVOS[DATA RECEBIMENTO],(ARQUIVOS[DOCUMENTO]=LD_01[[#This Row],[DOCUMENTO]])*(ARQUIVOS[REVISÃO]=LD_01[[#This Row],[REVISÃO]])))</f>
        <v>45931</v>
      </c>
      <c r="L10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M1081" s="6" t="str">
        <f>LD_01[[#This Row],[PASTA]]&amp;"/"&amp;LD_01[[#This Row],[ARQUIVO]]</f>
        <v>MSV-163MS-638-NORTE/21.HI/MSV-163MS-638+600-EDI-EXE-DE-P3-006-R01.pdf</v>
      </c>
    </row>
    <row r="1082" spans="1:13" ht="28.8" hidden="1" x14ac:dyDescent="0.3">
      <c r="A1082" s="6" t="s">
        <v>3890</v>
      </c>
      <c r="B1082" s="6" t="str">
        <f>VLOOKUP(LD_01[[#This Row],[DOCUMENTO]],_xlfn.SORTBY(ARQUIVOS_RECEBIDOS!$E$2:$F$5010,ARQUIVOS_RECEBIDOS!$F$2:$F$5010,-1),2,)</f>
        <v>R01</v>
      </c>
      <c r="C1082" s="15" t="s">
        <v>5987</v>
      </c>
      <c r="D1082" s="6" t="s">
        <v>4320</v>
      </c>
      <c r="E1082" s="8" t="s">
        <v>4831</v>
      </c>
      <c r="F1082" s="8" t="s">
        <v>4340</v>
      </c>
      <c r="G1082" s="6" t="str">
        <f>_xlfn.XLOOKUP(LD_01[[#This Row],[DISCIPLINA]],'CLASSES DE PROJETOS'!$F$3:$F$37,'CLASSES DE PROJETOS'!$C$3:$C$37)</f>
        <v>HI</v>
      </c>
      <c r="H1082" t="str">
        <f>_xlfn.TEXTJOIN("/",TRUE,"MSV-163MS-"&amp;LD_01[[#This Row],[TRECHO]],_xlfn.XLOOKUP(LD_01[[#This Row],[SIGLA]],'CLASSES DE PROJETOS'!$C$3:$C$37,'CLASSES DE PROJETOS'!$E$3:$E$37))</f>
        <v>MSV-163MS-638-NORTE/21.HI</v>
      </c>
      <c r="I1082" s="6" t="str" cm="1">
        <f t="array" ref="I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J1082" s="6" t="str" cm="1">
        <f t="array" ref="J1082">_xlfn.TEXTJOIN(", ",TRUE,_xlfn.UNIQUE(_xlfn._xlws.FILTER(ARQUIVOS_RECEBIDOS!$F$2:$F$5010,ARQUIVOS_RECEBIDOS!$E$2:$E$5010=LD_01[[#This Row],[DOCUMENTO]])))</f>
        <v>R00, R01</v>
      </c>
      <c r="K1082" s="12" cm="1">
        <f t="array" ref="K1082">_xlfn.UNIQUE(_xlfn._xlws.FILTER(ARQUIVOS[DATA RECEBIMENTO],(ARQUIVOS[DOCUMENTO]=LD_01[[#This Row],[DOCUMENTO]])*(ARQUIVOS[REVISÃO]=LD_01[[#This Row],[REVISÃO]])))</f>
        <v>45931</v>
      </c>
      <c r="L10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M1082" s="6" t="str">
        <f>LD_01[[#This Row],[PASTA]]&amp;"/"&amp;LD_01[[#This Row],[ARQUIVO]]</f>
        <v>MSV-163MS-638-NORTE/21.HI/MSV-163MS-638+600-EDI-EXE-DE-P3-007-R01.pdf</v>
      </c>
    </row>
    <row r="1083" spans="1:13" ht="28.8" hidden="1" x14ac:dyDescent="0.3">
      <c r="A1083" s="6" t="s">
        <v>3891</v>
      </c>
      <c r="B1083" s="6" t="str">
        <f>VLOOKUP(LD_01[[#This Row],[DOCUMENTO]],_xlfn.SORTBY(ARQUIVOS_RECEBIDOS!$E$2:$F$5010,ARQUIVOS_RECEBIDOS!$F$2:$F$5010,-1),2,)</f>
        <v>R01</v>
      </c>
      <c r="C1083" s="15" t="s">
        <v>5987</v>
      </c>
      <c r="D1083" s="6" t="s">
        <v>4320</v>
      </c>
      <c r="E1083" s="8" t="s">
        <v>4832</v>
      </c>
      <c r="F1083" s="8" t="s">
        <v>4340</v>
      </c>
      <c r="G1083" s="6" t="str">
        <f>_xlfn.XLOOKUP(LD_01[[#This Row],[DISCIPLINA]],'CLASSES DE PROJETOS'!$F$3:$F$37,'CLASSES DE PROJETOS'!$C$3:$C$37)</f>
        <v>HI</v>
      </c>
      <c r="H1083" t="str">
        <f>_xlfn.TEXTJOIN("/",TRUE,"MSV-163MS-"&amp;LD_01[[#This Row],[TRECHO]],_xlfn.XLOOKUP(LD_01[[#This Row],[SIGLA]],'CLASSES DE PROJETOS'!$C$3:$C$37,'CLASSES DE PROJETOS'!$E$3:$E$37))</f>
        <v>MSV-163MS-638-NORTE/21.HI</v>
      </c>
      <c r="I1083" s="6" t="str" cm="1">
        <f t="array" ref="I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J1083" s="6" t="str" cm="1">
        <f t="array" ref="J1083">_xlfn.TEXTJOIN(", ",TRUE,_xlfn.UNIQUE(_xlfn._xlws.FILTER(ARQUIVOS_RECEBIDOS!$F$2:$F$5010,ARQUIVOS_RECEBIDOS!$E$2:$E$5010=LD_01[[#This Row],[DOCUMENTO]])))</f>
        <v>R00, R01</v>
      </c>
      <c r="K1083" s="12" cm="1">
        <f t="array" ref="K1083">_xlfn.UNIQUE(_xlfn._xlws.FILTER(ARQUIVOS[DATA RECEBIMENTO],(ARQUIVOS[DOCUMENTO]=LD_01[[#This Row],[DOCUMENTO]])*(ARQUIVOS[REVISÃO]=LD_01[[#This Row],[REVISÃO]])))</f>
        <v>45931</v>
      </c>
      <c r="L10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M1083" s="6" t="str">
        <f>LD_01[[#This Row],[PASTA]]&amp;"/"&amp;LD_01[[#This Row],[ARQUIVO]]</f>
        <v>MSV-163MS-638-NORTE/21.HI/MSV-163MS-638+600-EDI-EXE-DE-P3-008-R01.pdf</v>
      </c>
    </row>
    <row r="1084" spans="1:13" ht="28.8" hidden="1" x14ac:dyDescent="0.3">
      <c r="A1084" s="6" t="s">
        <v>3892</v>
      </c>
      <c r="B1084" s="6" t="str">
        <f>VLOOKUP(LD_01[[#This Row],[DOCUMENTO]],_xlfn.SORTBY(ARQUIVOS_RECEBIDOS!$E$2:$F$5010,ARQUIVOS_RECEBIDOS!$F$2:$F$5010,-1),2,)</f>
        <v>R01</v>
      </c>
      <c r="C1084" s="15" t="s">
        <v>5987</v>
      </c>
      <c r="D1084" s="6" t="s">
        <v>4320</v>
      </c>
      <c r="E1084" s="8" t="s">
        <v>4833</v>
      </c>
      <c r="F1084" s="8" t="s">
        <v>4340</v>
      </c>
      <c r="G1084" s="6" t="str">
        <f>_xlfn.XLOOKUP(LD_01[[#This Row],[DISCIPLINA]],'CLASSES DE PROJETOS'!$F$3:$F$37,'CLASSES DE PROJETOS'!$C$3:$C$37)</f>
        <v>HI</v>
      </c>
      <c r="H1084" t="str">
        <f>_xlfn.TEXTJOIN("/",TRUE,"MSV-163MS-"&amp;LD_01[[#This Row],[TRECHO]],_xlfn.XLOOKUP(LD_01[[#This Row],[SIGLA]],'CLASSES DE PROJETOS'!$C$3:$C$37,'CLASSES DE PROJETOS'!$E$3:$E$37))</f>
        <v>MSV-163MS-638-NORTE/21.HI</v>
      </c>
      <c r="I1084" s="6" t="str" cm="1">
        <f t="array" ref="I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J1084" s="6" t="str" cm="1">
        <f t="array" ref="J1084">_xlfn.TEXTJOIN(", ",TRUE,_xlfn.UNIQUE(_xlfn._xlws.FILTER(ARQUIVOS_RECEBIDOS!$F$2:$F$5010,ARQUIVOS_RECEBIDOS!$E$2:$E$5010=LD_01[[#This Row],[DOCUMENTO]])))</f>
        <v>R00, R01</v>
      </c>
      <c r="K1084" s="12" cm="1">
        <f t="array" ref="K1084">_xlfn.UNIQUE(_xlfn._xlws.FILTER(ARQUIVOS[DATA RECEBIMENTO],(ARQUIVOS[DOCUMENTO]=LD_01[[#This Row],[DOCUMENTO]])*(ARQUIVOS[REVISÃO]=LD_01[[#This Row],[REVISÃO]])))</f>
        <v>45931</v>
      </c>
      <c r="L10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M1084" s="6" t="str">
        <f>LD_01[[#This Row],[PASTA]]&amp;"/"&amp;LD_01[[#This Row],[ARQUIVO]]</f>
        <v>MSV-163MS-638-NORTE/21.HI/MSV-163MS-638+600-EDI-EXE-DE-P3-009-R01.pdf</v>
      </c>
    </row>
    <row r="1085" spans="1:13" ht="28.8" hidden="1" x14ac:dyDescent="0.3">
      <c r="A1085" s="6" t="s">
        <v>3893</v>
      </c>
      <c r="B1085" s="6" t="str">
        <f>VLOOKUP(LD_01[[#This Row],[DOCUMENTO]],_xlfn.SORTBY(ARQUIVOS_RECEBIDOS!$E$2:$F$5010,ARQUIVOS_RECEBIDOS!$F$2:$F$5010,-1),2,)</f>
        <v>R01</v>
      </c>
      <c r="C1085" s="15" t="s">
        <v>5987</v>
      </c>
      <c r="D1085" s="6" t="s">
        <v>4320</v>
      </c>
      <c r="E1085" s="8" t="s">
        <v>4834</v>
      </c>
      <c r="F1085" s="8" t="s">
        <v>4340</v>
      </c>
      <c r="G1085" s="6" t="str">
        <f>_xlfn.XLOOKUP(LD_01[[#This Row],[DISCIPLINA]],'CLASSES DE PROJETOS'!$F$3:$F$37,'CLASSES DE PROJETOS'!$C$3:$C$37)</f>
        <v>HI</v>
      </c>
      <c r="H1085" t="str">
        <f>_xlfn.TEXTJOIN("/",TRUE,"MSV-163MS-"&amp;LD_01[[#This Row],[TRECHO]],_xlfn.XLOOKUP(LD_01[[#This Row],[SIGLA]],'CLASSES DE PROJETOS'!$C$3:$C$37,'CLASSES DE PROJETOS'!$E$3:$E$37))</f>
        <v>MSV-163MS-638-NORTE/21.HI</v>
      </c>
      <c r="I1085" s="6" t="str" cm="1">
        <f t="array" ref="I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J1085" s="6" t="str" cm="1">
        <f t="array" ref="J1085">_xlfn.TEXTJOIN(", ",TRUE,_xlfn.UNIQUE(_xlfn._xlws.FILTER(ARQUIVOS_RECEBIDOS!$F$2:$F$5010,ARQUIVOS_RECEBIDOS!$E$2:$E$5010=LD_01[[#This Row],[DOCUMENTO]])))</f>
        <v>R00, R01</v>
      </c>
      <c r="K1085" s="12" cm="1">
        <f t="array" ref="K1085">_xlfn.UNIQUE(_xlfn._xlws.FILTER(ARQUIVOS[DATA RECEBIMENTO],(ARQUIVOS[DOCUMENTO]=LD_01[[#This Row],[DOCUMENTO]])*(ARQUIVOS[REVISÃO]=LD_01[[#This Row],[REVISÃO]])))</f>
        <v>45931</v>
      </c>
      <c r="L10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M1085" s="6" t="str">
        <f>LD_01[[#This Row],[PASTA]]&amp;"/"&amp;LD_01[[#This Row],[ARQUIVO]]</f>
        <v>MSV-163MS-638-NORTE/21.HI/MSV-163MS-638+600-EDI-EXE-DE-P3-010-R01.pdf</v>
      </c>
    </row>
    <row r="1086" spans="1:13" ht="28.8" hidden="1" x14ac:dyDescent="0.3">
      <c r="A1086" s="6" t="s">
        <v>3894</v>
      </c>
      <c r="B1086" s="6" t="str">
        <f>VLOOKUP(LD_01[[#This Row],[DOCUMENTO]],_xlfn.SORTBY(ARQUIVOS_RECEBIDOS!$E$2:$F$5010,ARQUIVOS_RECEBIDOS!$F$2:$F$5010,-1),2,)</f>
        <v>R01</v>
      </c>
      <c r="C1086" s="15" t="s">
        <v>5987</v>
      </c>
      <c r="D1086" s="6" t="s">
        <v>4320</v>
      </c>
      <c r="E1086" s="8" t="s">
        <v>4835</v>
      </c>
      <c r="F1086" s="8" t="s">
        <v>4340</v>
      </c>
      <c r="G1086" s="6" t="str">
        <f>_xlfn.XLOOKUP(LD_01[[#This Row],[DISCIPLINA]],'CLASSES DE PROJETOS'!$F$3:$F$37,'CLASSES DE PROJETOS'!$C$3:$C$37)</f>
        <v>HI</v>
      </c>
      <c r="H1086" t="str">
        <f>_xlfn.TEXTJOIN("/",TRUE,"MSV-163MS-"&amp;LD_01[[#This Row],[TRECHO]],_xlfn.XLOOKUP(LD_01[[#This Row],[SIGLA]],'CLASSES DE PROJETOS'!$C$3:$C$37,'CLASSES DE PROJETOS'!$E$3:$E$37))</f>
        <v>MSV-163MS-638-NORTE/21.HI</v>
      </c>
      <c r="I1086" s="6" t="str" cm="1">
        <f t="array" ref="I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J1086" s="6" t="str" cm="1">
        <f t="array" ref="J1086">_xlfn.TEXTJOIN(", ",TRUE,_xlfn.UNIQUE(_xlfn._xlws.FILTER(ARQUIVOS_RECEBIDOS!$F$2:$F$5010,ARQUIVOS_RECEBIDOS!$E$2:$E$5010=LD_01[[#This Row],[DOCUMENTO]])))</f>
        <v>R00, R01</v>
      </c>
      <c r="K1086" s="12" cm="1">
        <f t="array" ref="K1086">_xlfn.UNIQUE(_xlfn._xlws.FILTER(ARQUIVOS[DATA RECEBIMENTO],(ARQUIVOS[DOCUMENTO]=LD_01[[#This Row],[DOCUMENTO]])*(ARQUIVOS[REVISÃO]=LD_01[[#This Row],[REVISÃO]])))</f>
        <v>45931</v>
      </c>
      <c r="L10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M1086" s="6" t="str">
        <f>LD_01[[#This Row],[PASTA]]&amp;"/"&amp;LD_01[[#This Row],[ARQUIVO]]</f>
        <v>MSV-163MS-638-NORTE/21.HI/MSV-163MS-638+600-EDI-EXE-DE-P3-011-R01.pdf</v>
      </c>
    </row>
    <row r="1087" spans="1:13" ht="28.8" hidden="1" x14ac:dyDescent="0.3">
      <c r="A1087" s="6" t="s">
        <v>3895</v>
      </c>
      <c r="B1087" s="6" t="str">
        <f>VLOOKUP(LD_01[[#This Row],[DOCUMENTO]],_xlfn.SORTBY(ARQUIVOS_RECEBIDOS!$E$2:$F$5010,ARQUIVOS_RECEBIDOS!$F$2:$F$5010,-1),2,)</f>
        <v>R01</v>
      </c>
      <c r="C1087" s="15" t="s">
        <v>5987</v>
      </c>
      <c r="D1087" s="6" t="s">
        <v>4320</v>
      </c>
      <c r="E1087" s="8" t="s">
        <v>4836</v>
      </c>
      <c r="F1087" s="8" t="s">
        <v>4340</v>
      </c>
      <c r="G1087" s="6" t="str">
        <f>_xlfn.XLOOKUP(LD_01[[#This Row],[DISCIPLINA]],'CLASSES DE PROJETOS'!$F$3:$F$37,'CLASSES DE PROJETOS'!$C$3:$C$37)</f>
        <v>HI</v>
      </c>
      <c r="H1087" t="str">
        <f>_xlfn.TEXTJOIN("/",TRUE,"MSV-163MS-"&amp;LD_01[[#This Row],[TRECHO]],_xlfn.XLOOKUP(LD_01[[#This Row],[SIGLA]],'CLASSES DE PROJETOS'!$C$3:$C$37,'CLASSES DE PROJETOS'!$E$3:$E$37))</f>
        <v>MSV-163MS-638-NORTE/21.HI</v>
      </c>
      <c r="I1087" s="6" t="str" cm="1">
        <f t="array" ref="I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J1087" s="6" t="str" cm="1">
        <f t="array" ref="J1087">_xlfn.TEXTJOIN(", ",TRUE,_xlfn.UNIQUE(_xlfn._xlws.FILTER(ARQUIVOS_RECEBIDOS!$F$2:$F$5010,ARQUIVOS_RECEBIDOS!$E$2:$E$5010=LD_01[[#This Row],[DOCUMENTO]])))</f>
        <v>R00, R01</v>
      </c>
      <c r="K1087" s="12" cm="1">
        <f t="array" ref="K1087">_xlfn.UNIQUE(_xlfn._xlws.FILTER(ARQUIVOS[DATA RECEBIMENTO],(ARQUIVOS[DOCUMENTO]=LD_01[[#This Row],[DOCUMENTO]])*(ARQUIVOS[REVISÃO]=LD_01[[#This Row],[REVISÃO]])))</f>
        <v>45931</v>
      </c>
      <c r="L10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M1087" s="6" t="str">
        <f>LD_01[[#This Row],[PASTA]]&amp;"/"&amp;LD_01[[#This Row],[ARQUIVO]]</f>
        <v>MSV-163MS-638-NORTE/21.HI/MSV-163MS-638+600-EDI-EXE-DE-P3-012-R01.pdf</v>
      </c>
    </row>
    <row r="1088" spans="1:13" ht="28.8" hidden="1" x14ac:dyDescent="0.3">
      <c r="A1088" s="6" t="s">
        <v>3896</v>
      </c>
      <c r="B1088" s="6" t="str">
        <f>VLOOKUP(LD_01[[#This Row],[DOCUMENTO]],_xlfn.SORTBY(ARQUIVOS_RECEBIDOS!$E$2:$F$5010,ARQUIVOS_RECEBIDOS!$F$2:$F$5010,-1),2,)</f>
        <v>R01</v>
      </c>
      <c r="C1088" s="15" t="s">
        <v>5987</v>
      </c>
      <c r="D1088" s="6" t="s">
        <v>4320</v>
      </c>
      <c r="E1088" s="8" t="s">
        <v>4837</v>
      </c>
      <c r="F1088" s="8" t="s">
        <v>4340</v>
      </c>
      <c r="G1088" s="6" t="str">
        <f>_xlfn.XLOOKUP(LD_01[[#This Row],[DISCIPLINA]],'CLASSES DE PROJETOS'!$F$3:$F$37,'CLASSES DE PROJETOS'!$C$3:$C$37)</f>
        <v>HI</v>
      </c>
      <c r="H1088" t="str">
        <f>_xlfn.TEXTJOIN("/",TRUE,"MSV-163MS-"&amp;LD_01[[#This Row],[TRECHO]],_xlfn.XLOOKUP(LD_01[[#This Row],[SIGLA]],'CLASSES DE PROJETOS'!$C$3:$C$37,'CLASSES DE PROJETOS'!$E$3:$E$37))</f>
        <v>MSV-163MS-638-NORTE/21.HI</v>
      </c>
      <c r="I1088" s="6" t="str" cm="1">
        <f t="array" ref="I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J1088" s="6" t="str" cm="1">
        <f t="array" ref="J1088">_xlfn.TEXTJOIN(", ",TRUE,_xlfn.UNIQUE(_xlfn._xlws.FILTER(ARQUIVOS_RECEBIDOS!$F$2:$F$5010,ARQUIVOS_RECEBIDOS!$E$2:$E$5010=LD_01[[#This Row],[DOCUMENTO]])))</f>
        <v>R00, R01</v>
      </c>
      <c r="K1088" s="12" cm="1">
        <f t="array" ref="K1088">_xlfn.UNIQUE(_xlfn._xlws.FILTER(ARQUIVOS[DATA RECEBIMENTO],(ARQUIVOS[DOCUMENTO]=LD_01[[#This Row],[DOCUMENTO]])*(ARQUIVOS[REVISÃO]=LD_01[[#This Row],[REVISÃO]])))</f>
        <v>45931</v>
      </c>
      <c r="L10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M1088" s="6" t="str">
        <f>LD_01[[#This Row],[PASTA]]&amp;"/"&amp;LD_01[[#This Row],[ARQUIVO]]</f>
        <v>MSV-163MS-638-NORTE/21.HI/MSV-163MS-638+600-EDI-EXE-DE-P3-013-R01.pdf</v>
      </c>
    </row>
    <row r="1089" spans="1:13" ht="28.8" hidden="1" x14ac:dyDescent="0.3">
      <c r="A1089" s="6" t="s">
        <v>4776</v>
      </c>
      <c r="B1089" s="6" t="str">
        <f>VLOOKUP(LD_01[[#This Row],[DOCUMENTO]],_xlfn.SORTBY(ARQUIVOS_RECEBIDOS!$E$2:$F$5010,ARQUIVOS_RECEBIDOS!$F$2:$F$5010,-1),2,)</f>
        <v>R00</v>
      </c>
      <c r="C1089" s="15" t="s">
        <v>5987</v>
      </c>
      <c r="D1089" s="6" t="s">
        <v>4320</v>
      </c>
      <c r="E1089" s="8" t="s">
        <v>4838</v>
      </c>
      <c r="F1089" s="8" t="s">
        <v>4340</v>
      </c>
      <c r="G1089" s="6" t="str">
        <f>_xlfn.XLOOKUP(LD_01[[#This Row],[DISCIPLINA]],'CLASSES DE PROJETOS'!$F$3:$F$37,'CLASSES DE PROJETOS'!$C$3:$C$37)</f>
        <v>HI</v>
      </c>
      <c r="H1089" t="str">
        <f>_xlfn.TEXTJOIN("/",TRUE,"MSV-163MS-"&amp;LD_01[[#This Row],[TRECHO]],_xlfn.XLOOKUP(LD_01[[#This Row],[SIGLA]],'CLASSES DE PROJETOS'!$C$3:$C$37,'CLASSES DE PROJETOS'!$E$3:$E$37))</f>
        <v>MSV-163MS-638-NORTE/21.HI</v>
      </c>
      <c r="I1089" s="6" t="str" cm="1">
        <f t="array" ref="I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J1089" s="6" t="str" cm="1">
        <f t="array" ref="J1089">_xlfn.TEXTJOIN(", ",TRUE,_xlfn.UNIQUE(_xlfn._xlws.FILTER(ARQUIVOS_RECEBIDOS!$F$2:$F$5010,ARQUIVOS_RECEBIDOS!$E$2:$E$5010=LD_01[[#This Row],[DOCUMENTO]])))</f>
        <v>R00</v>
      </c>
      <c r="K1089" s="12" cm="1">
        <f t="array" ref="K1089">_xlfn.UNIQUE(_xlfn._xlws.FILTER(ARQUIVOS[DATA RECEBIMENTO],(ARQUIVOS[DOCUMENTO]=LD_01[[#This Row],[DOCUMENTO]])*(ARQUIVOS[REVISÃO]=LD_01[[#This Row],[REVISÃO]])))</f>
        <v>45931</v>
      </c>
      <c r="L10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M1089" s="6" t="str">
        <f>LD_01[[#This Row],[PASTA]]&amp;"/"&amp;LD_01[[#This Row],[ARQUIVO]]</f>
        <v>MSV-163MS-638-NORTE/21.HI/MSV-163MS-638+600-EDI-EXE-DE-P3-014-R00.pdf</v>
      </c>
    </row>
    <row r="1090" spans="1:13" ht="28.8" hidden="1" x14ac:dyDescent="0.3">
      <c r="A1090" s="6" t="s">
        <v>4777</v>
      </c>
      <c r="B1090" s="6" t="str">
        <f>VLOOKUP(LD_01[[#This Row],[DOCUMENTO]],_xlfn.SORTBY(ARQUIVOS_RECEBIDOS!$E$2:$F$5010,ARQUIVOS_RECEBIDOS!$F$2:$F$5010,-1),2,)</f>
        <v>R00</v>
      </c>
      <c r="C1090" s="15" t="s">
        <v>5987</v>
      </c>
      <c r="D1090" s="6" t="s">
        <v>4320</v>
      </c>
      <c r="E1090" s="8" t="s">
        <v>4839</v>
      </c>
      <c r="F1090" s="8" t="s">
        <v>4340</v>
      </c>
      <c r="G1090" s="6" t="str">
        <f>_xlfn.XLOOKUP(LD_01[[#This Row],[DISCIPLINA]],'CLASSES DE PROJETOS'!$F$3:$F$37,'CLASSES DE PROJETOS'!$C$3:$C$37)</f>
        <v>HI</v>
      </c>
      <c r="H1090" t="str">
        <f>_xlfn.TEXTJOIN("/",TRUE,"MSV-163MS-"&amp;LD_01[[#This Row],[TRECHO]],_xlfn.XLOOKUP(LD_01[[#This Row],[SIGLA]],'CLASSES DE PROJETOS'!$C$3:$C$37,'CLASSES DE PROJETOS'!$E$3:$E$37))</f>
        <v>MSV-163MS-638-NORTE/21.HI</v>
      </c>
      <c r="I1090" s="6" t="str" cm="1">
        <f t="array" ref="I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J1090" s="6" t="str" cm="1">
        <f t="array" ref="J1090">_xlfn.TEXTJOIN(", ",TRUE,_xlfn.UNIQUE(_xlfn._xlws.FILTER(ARQUIVOS_RECEBIDOS!$F$2:$F$5010,ARQUIVOS_RECEBIDOS!$E$2:$E$5010=LD_01[[#This Row],[DOCUMENTO]])))</f>
        <v>R00</v>
      </c>
      <c r="K1090" s="12" cm="1">
        <f t="array" ref="K1090">_xlfn.UNIQUE(_xlfn._xlws.FILTER(ARQUIVOS[DATA RECEBIMENTO],(ARQUIVOS[DOCUMENTO]=LD_01[[#This Row],[DOCUMENTO]])*(ARQUIVOS[REVISÃO]=LD_01[[#This Row],[REVISÃO]])))</f>
        <v>45931</v>
      </c>
      <c r="L10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M1090" s="6" t="str">
        <f>LD_01[[#This Row],[PASTA]]&amp;"/"&amp;LD_01[[#This Row],[ARQUIVO]]</f>
        <v>MSV-163MS-638-NORTE/21.HI/MSV-163MS-638+600-EDI-EXE-DE-P3-015-R00.pdf</v>
      </c>
    </row>
    <row r="1091" spans="1:13" ht="28.8" hidden="1" x14ac:dyDescent="0.3">
      <c r="A1091" s="6" t="s">
        <v>3897</v>
      </c>
      <c r="B1091" s="6" t="str">
        <f>VLOOKUP(LD_01[[#This Row],[DOCUMENTO]],_xlfn.SORTBY(ARQUIVOS_RECEBIDOS!$E$2:$F$5010,ARQUIVOS_RECEBIDOS!$F$2:$F$5010,-1),2,)</f>
        <v>R02</v>
      </c>
      <c r="C1091" s="15" t="s">
        <v>5987</v>
      </c>
      <c r="D1091" s="6" t="s">
        <v>4320</v>
      </c>
      <c r="E1091" s="8" t="s">
        <v>4840</v>
      </c>
      <c r="F1091" s="8" t="s">
        <v>4340</v>
      </c>
      <c r="G1091" s="6" t="str">
        <f>_xlfn.XLOOKUP(LD_01[[#This Row],[DISCIPLINA]],'CLASSES DE PROJETOS'!$F$3:$F$37,'CLASSES DE PROJETOS'!$C$3:$C$37)</f>
        <v>HI</v>
      </c>
      <c r="H1091" t="str">
        <f>_xlfn.TEXTJOIN("/",TRUE,"MSV-163MS-"&amp;LD_01[[#This Row],[TRECHO]],_xlfn.XLOOKUP(LD_01[[#This Row],[SIGLA]],'CLASSES DE PROJETOS'!$C$3:$C$37,'CLASSES DE PROJETOS'!$E$3:$E$37))</f>
        <v>MSV-163MS-638-NORTE/21.HI</v>
      </c>
      <c r="I1091" s="6" t="str" cm="1">
        <f t="array" ref="I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J1091" s="6" t="str" cm="1">
        <f t="array" ref="J1091">_xlfn.TEXTJOIN(", ",TRUE,_xlfn.UNIQUE(_xlfn._xlws.FILTER(ARQUIVOS_RECEBIDOS!$F$2:$F$5010,ARQUIVOS_RECEBIDOS!$E$2:$E$5010=LD_01[[#This Row],[DOCUMENTO]])))</f>
        <v>R00, R01, R02</v>
      </c>
      <c r="K1091" s="12" cm="1">
        <f t="array" ref="K1091">_xlfn.UNIQUE(_xlfn._xlws.FILTER(ARQUIVOS[DATA RECEBIMENTO],(ARQUIVOS[DOCUMENTO]=LD_01[[#This Row],[DOCUMENTO]])*(ARQUIVOS[REVISÃO]=LD_01[[#This Row],[REVISÃO]])))</f>
        <v>46142</v>
      </c>
      <c r="L10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M1091" s="6" t="str">
        <f>LD_01[[#This Row],[PASTA]]&amp;"/"&amp;LD_01[[#This Row],[ARQUIVO]]</f>
        <v>MSV-163MS-638-NORTE/21.HI/MSV-163MS-638+600-EDI-EXE-DE-P3-101-R02.pdf</v>
      </c>
    </row>
    <row r="1092" spans="1:13" ht="28.8" hidden="1" x14ac:dyDescent="0.3">
      <c r="A1092" s="6" t="s">
        <v>4778</v>
      </c>
      <c r="B1092" s="6" t="str">
        <f>VLOOKUP(LD_01[[#This Row],[DOCUMENTO]],_xlfn.SORTBY(ARQUIVOS_RECEBIDOS!$E$2:$F$5010,ARQUIVOS_RECEBIDOS!$F$2:$F$5010,-1),2,)</f>
        <v>R01</v>
      </c>
      <c r="C1092" s="15" t="s">
        <v>5987</v>
      </c>
      <c r="D1092" s="6" t="s">
        <v>4320</v>
      </c>
      <c r="E1092" s="8" t="s">
        <v>4841</v>
      </c>
      <c r="F1092" s="8" t="s">
        <v>4340</v>
      </c>
      <c r="G1092" s="6" t="str">
        <f>_xlfn.XLOOKUP(LD_01[[#This Row],[DISCIPLINA]],'CLASSES DE PROJETOS'!$F$3:$F$37,'CLASSES DE PROJETOS'!$C$3:$C$37)</f>
        <v>HI</v>
      </c>
      <c r="H1092" t="str">
        <f>_xlfn.TEXTJOIN("/",TRUE,"MSV-163MS-"&amp;LD_01[[#This Row],[TRECHO]],_xlfn.XLOOKUP(LD_01[[#This Row],[SIGLA]],'CLASSES DE PROJETOS'!$C$3:$C$37,'CLASSES DE PROJETOS'!$E$3:$E$37))</f>
        <v>MSV-163MS-638-NORTE/21.HI</v>
      </c>
      <c r="I1092" s="6" t="str" cm="1">
        <f t="array" ref="I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J1092" s="6" t="str" cm="1">
        <f t="array" ref="J1092">_xlfn.TEXTJOIN(", ",TRUE,_xlfn.UNIQUE(_xlfn._xlws.FILTER(ARQUIVOS_RECEBIDOS!$F$2:$F$5010,ARQUIVOS_RECEBIDOS!$E$2:$E$5010=LD_01[[#This Row],[DOCUMENTO]])))</f>
        <v>R00, R01</v>
      </c>
      <c r="K1092" s="12" cm="1">
        <f t="array" ref="K1092">_xlfn.UNIQUE(_xlfn._xlws.FILTER(ARQUIVOS[DATA RECEBIMENTO],(ARQUIVOS[DOCUMENTO]=LD_01[[#This Row],[DOCUMENTO]])*(ARQUIVOS[REVISÃO]=LD_01[[#This Row],[REVISÃO]])))</f>
        <v>46142</v>
      </c>
      <c r="L10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M1092" s="6" t="str">
        <f>LD_01[[#This Row],[PASTA]]&amp;"/"&amp;LD_01[[#This Row],[ARQUIVO]]</f>
        <v>MSV-163MS-638-NORTE/21.HI/MSV-163MS-638+600-EDI-EXE-DE-P3-102-R01.pdf</v>
      </c>
    </row>
    <row r="1093" spans="1:13" ht="28.8" hidden="1" x14ac:dyDescent="0.3">
      <c r="A1093" s="6" t="s">
        <v>4779</v>
      </c>
      <c r="B1093" s="6" t="str">
        <f>VLOOKUP(LD_01[[#This Row],[DOCUMENTO]],_xlfn.SORTBY(ARQUIVOS_RECEBIDOS!$E$2:$F$5010,ARQUIVOS_RECEBIDOS!$F$2:$F$5010,-1),2,)</f>
        <v>R01</v>
      </c>
      <c r="C1093" s="15" t="s">
        <v>5987</v>
      </c>
      <c r="D1093" s="6" t="s">
        <v>4320</v>
      </c>
      <c r="E1093" s="8" t="s">
        <v>4842</v>
      </c>
      <c r="F1093" s="8" t="s">
        <v>4340</v>
      </c>
      <c r="G1093" s="6" t="str">
        <f>_xlfn.XLOOKUP(LD_01[[#This Row],[DISCIPLINA]],'CLASSES DE PROJETOS'!$F$3:$F$37,'CLASSES DE PROJETOS'!$C$3:$C$37)</f>
        <v>HI</v>
      </c>
      <c r="H1093" t="str">
        <f>_xlfn.TEXTJOIN("/",TRUE,"MSV-163MS-"&amp;LD_01[[#This Row],[TRECHO]],_xlfn.XLOOKUP(LD_01[[#This Row],[SIGLA]],'CLASSES DE PROJETOS'!$C$3:$C$37,'CLASSES DE PROJETOS'!$E$3:$E$37))</f>
        <v>MSV-163MS-638-NORTE/21.HI</v>
      </c>
      <c r="I1093" s="6" t="str" cm="1">
        <f t="array" ref="I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J1093" s="6" t="str" cm="1">
        <f t="array" ref="J1093">_xlfn.TEXTJOIN(", ",TRUE,_xlfn.UNIQUE(_xlfn._xlws.FILTER(ARQUIVOS_RECEBIDOS!$F$2:$F$5010,ARQUIVOS_RECEBIDOS!$E$2:$E$5010=LD_01[[#This Row],[DOCUMENTO]])))</f>
        <v>R00, R01</v>
      </c>
      <c r="K1093" s="12" cm="1">
        <f t="array" ref="K1093">_xlfn.UNIQUE(_xlfn._xlws.FILTER(ARQUIVOS[DATA RECEBIMENTO],(ARQUIVOS[DOCUMENTO]=LD_01[[#This Row],[DOCUMENTO]])*(ARQUIVOS[REVISÃO]=LD_01[[#This Row],[REVISÃO]])))</f>
        <v>46142</v>
      </c>
      <c r="L10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M1093" s="6" t="str">
        <f>LD_01[[#This Row],[PASTA]]&amp;"/"&amp;LD_01[[#This Row],[ARQUIVO]]</f>
        <v>MSV-163MS-638-NORTE/21.HI/MSV-163MS-638+600-EDI-EXE-DE-P3-103-R01.pdf</v>
      </c>
    </row>
    <row r="1094" spans="1:13" ht="28.8" hidden="1" x14ac:dyDescent="0.3">
      <c r="A1094" s="6" t="s">
        <v>3898</v>
      </c>
      <c r="B1094" s="6" t="str">
        <f>VLOOKUP(LD_01[[#This Row],[DOCUMENTO]],_xlfn.SORTBY(ARQUIVOS_RECEBIDOS!$E$2:$F$5010,ARQUIVOS_RECEBIDOS!$F$2:$F$5010,-1),2,)</f>
        <v>R01</v>
      </c>
      <c r="C1094" s="15" t="s">
        <v>5987</v>
      </c>
      <c r="D1094" s="6" t="s">
        <v>4320</v>
      </c>
      <c r="E1094" s="8" t="s">
        <v>4843</v>
      </c>
      <c r="F1094" s="8" t="s">
        <v>4340</v>
      </c>
      <c r="G1094" s="6" t="str">
        <f>_xlfn.XLOOKUP(LD_01[[#This Row],[DISCIPLINA]],'CLASSES DE PROJETOS'!$F$3:$F$37,'CLASSES DE PROJETOS'!$C$3:$C$37)</f>
        <v>HI</v>
      </c>
      <c r="H1094" t="str">
        <f>_xlfn.TEXTJOIN("/",TRUE,"MSV-163MS-"&amp;LD_01[[#This Row],[TRECHO]],_xlfn.XLOOKUP(LD_01[[#This Row],[SIGLA]],'CLASSES DE PROJETOS'!$C$3:$C$37,'CLASSES DE PROJETOS'!$E$3:$E$37))</f>
        <v>MSV-163MS-638-NORTE/21.HI</v>
      </c>
      <c r="I1094" s="6" t="str" cm="1">
        <f t="array" ref="I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J1094" s="6" t="str" cm="1">
        <f t="array" ref="J1094">_xlfn.TEXTJOIN(", ",TRUE,_xlfn.UNIQUE(_xlfn._xlws.FILTER(ARQUIVOS_RECEBIDOS!$F$2:$F$5010,ARQUIVOS_RECEBIDOS!$E$2:$E$5010=LD_01[[#This Row],[DOCUMENTO]])))</f>
        <v>R00, R01</v>
      </c>
      <c r="K1094" s="12" cm="1">
        <f t="array" ref="K1094">_xlfn.UNIQUE(_xlfn._xlws.FILTER(ARQUIVOS[DATA RECEBIMENTO],(ARQUIVOS[DOCUMENTO]=LD_01[[#This Row],[DOCUMENTO]])*(ARQUIVOS[REVISÃO]=LD_01[[#This Row],[REVISÃO]])))</f>
        <v>45931</v>
      </c>
      <c r="L10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M1094" s="6" t="str">
        <f>LD_01[[#This Row],[PASTA]]&amp;"/"&amp;LD_01[[#This Row],[ARQUIVO]]</f>
        <v>MSV-163MS-638-NORTE/21.HI/MSV-163MS-638+600-EDI-EXE-DE-P3-201-R01.pdf</v>
      </c>
    </row>
    <row r="1095" spans="1:13" ht="28.8" hidden="1" x14ac:dyDescent="0.3">
      <c r="A1095" s="6" t="s">
        <v>3899</v>
      </c>
      <c r="B1095" s="6" t="str">
        <f>VLOOKUP(LD_01[[#This Row],[DOCUMENTO]],_xlfn.SORTBY(ARQUIVOS_RECEBIDOS!$E$2:$F$5010,ARQUIVOS_RECEBIDOS!$F$2:$F$5010,-1),2,)</f>
        <v>R01</v>
      </c>
      <c r="C1095" s="15" t="s">
        <v>5987</v>
      </c>
      <c r="D1095" s="6" t="s">
        <v>4320</v>
      </c>
      <c r="E1095" s="8" t="s">
        <v>4844</v>
      </c>
      <c r="F1095" s="8" t="s">
        <v>4340</v>
      </c>
      <c r="G1095" s="6" t="str">
        <f>_xlfn.XLOOKUP(LD_01[[#This Row],[DISCIPLINA]],'CLASSES DE PROJETOS'!$F$3:$F$37,'CLASSES DE PROJETOS'!$C$3:$C$37)</f>
        <v>HI</v>
      </c>
      <c r="H1095" t="str">
        <f>_xlfn.TEXTJOIN("/",TRUE,"MSV-163MS-"&amp;LD_01[[#This Row],[TRECHO]],_xlfn.XLOOKUP(LD_01[[#This Row],[SIGLA]],'CLASSES DE PROJETOS'!$C$3:$C$37,'CLASSES DE PROJETOS'!$E$3:$E$37))</f>
        <v>MSV-163MS-638-NORTE/21.HI</v>
      </c>
      <c r="I1095" s="6" t="str" cm="1">
        <f t="array" ref="I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J1095" s="6" t="str" cm="1">
        <f t="array" ref="J1095">_xlfn.TEXTJOIN(", ",TRUE,_xlfn.UNIQUE(_xlfn._xlws.FILTER(ARQUIVOS_RECEBIDOS!$F$2:$F$5010,ARQUIVOS_RECEBIDOS!$E$2:$E$5010=LD_01[[#This Row],[DOCUMENTO]])))</f>
        <v>R00, R01</v>
      </c>
      <c r="K1095" s="12" cm="1">
        <f t="array" ref="K1095">_xlfn.UNIQUE(_xlfn._xlws.FILTER(ARQUIVOS[DATA RECEBIMENTO],(ARQUIVOS[DOCUMENTO]=LD_01[[#This Row],[DOCUMENTO]])*(ARQUIVOS[REVISÃO]=LD_01[[#This Row],[REVISÃO]])))</f>
        <v>45931</v>
      </c>
      <c r="L10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M1095" s="6" t="str">
        <f>LD_01[[#This Row],[PASTA]]&amp;"/"&amp;LD_01[[#This Row],[ARQUIVO]]</f>
        <v>MSV-163MS-638-NORTE/21.HI/MSV-163MS-638+600-EDI-EXE-DE-P3-301-R01.pdf</v>
      </c>
    </row>
    <row r="1096" spans="1:13" ht="28.8" hidden="1" x14ac:dyDescent="0.3">
      <c r="A1096" s="6" t="s">
        <v>3900</v>
      </c>
      <c r="B1096" s="6" t="str">
        <f>VLOOKUP(LD_01[[#This Row],[DOCUMENTO]],_xlfn.SORTBY(ARQUIVOS_RECEBIDOS!$E$2:$F$5010,ARQUIVOS_RECEBIDOS!$F$2:$F$5010,-1),2,)</f>
        <v>R01</v>
      </c>
      <c r="C1096" s="15" t="s">
        <v>5987</v>
      </c>
      <c r="D1096" s="6" t="s">
        <v>4320</v>
      </c>
      <c r="E1096" s="8" t="s">
        <v>4845</v>
      </c>
      <c r="F1096" s="8" t="s">
        <v>4340</v>
      </c>
      <c r="G1096" s="6" t="str">
        <f>_xlfn.XLOOKUP(LD_01[[#This Row],[DISCIPLINA]],'CLASSES DE PROJETOS'!$F$3:$F$37,'CLASSES DE PROJETOS'!$C$3:$C$37)</f>
        <v>HI</v>
      </c>
      <c r="H1096" t="str">
        <f>_xlfn.TEXTJOIN("/",TRUE,"MSV-163MS-"&amp;LD_01[[#This Row],[TRECHO]],_xlfn.XLOOKUP(LD_01[[#This Row],[SIGLA]],'CLASSES DE PROJETOS'!$C$3:$C$37,'CLASSES DE PROJETOS'!$E$3:$E$37))</f>
        <v>MSV-163MS-638-NORTE/21.HI</v>
      </c>
      <c r="I1096" s="6" t="str" cm="1">
        <f t="array" ref="I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J1096" s="6" t="str" cm="1">
        <f t="array" ref="J1096">_xlfn.TEXTJOIN(", ",TRUE,_xlfn.UNIQUE(_xlfn._xlws.FILTER(ARQUIVOS_RECEBIDOS!$F$2:$F$5010,ARQUIVOS_RECEBIDOS!$E$2:$E$5010=LD_01[[#This Row],[DOCUMENTO]])))</f>
        <v>R00, R01</v>
      </c>
      <c r="K1096" s="12" cm="1">
        <f t="array" ref="K1096">_xlfn.UNIQUE(_xlfn._xlws.FILTER(ARQUIVOS[DATA RECEBIMENTO],(ARQUIVOS[DOCUMENTO]=LD_01[[#This Row],[DOCUMENTO]])*(ARQUIVOS[REVISÃO]=LD_01[[#This Row],[REVISÃO]])))</f>
        <v>45931</v>
      </c>
      <c r="L10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M1096" s="6" t="str">
        <f>LD_01[[#This Row],[PASTA]]&amp;"/"&amp;LD_01[[#This Row],[ARQUIVO]]</f>
        <v>MSV-163MS-638-NORTE/21.HI/MSV-163MS-638+600-EDI-EXE-DE-P3-501-R01.pdf</v>
      </c>
    </row>
    <row r="1097" spans="1:13" ht="28.8" hidden="1" x14ac:dyDescent="0.3">
      <c r="A1097" s="6" t="s">
        <v>3901</v>
      </c>
      <c r="B1097" s="6" t="str">
        <f>VLOOKUP(LD_01[[#This Row],[DOCUMENTO]],_xlfn.SORTBY(ARQUIVOS_RECEBIDOS!$E$2:$F$5010,ARQUIVOS_RECEBIDOS!$F$2:$F$5010,-1),2,)</f>
        <v>R01</v>
      </c>
      <c r="C1097" s="15" t="s">
        <v>5987</v>
      </c>
      <c r="D1097" s="6" t="s">
        <v>4320</v>
      </c>
      <c r="E1097" s="8" t="s">
        <v>4846</v>
      </c>
      <c r="F1097" s="8" t="s">
        <v>4340</v>
      </c>
      <c r="G1097" s="6" t="str">
        <f>_xlfn.XLOOKUP(LD_01[[#This Row],[DISCIPLINA]],'CLASSES DE PROJETOS'!$F$3:$F$37,'CLASSES DE PROJETOS'!$C$3:$C$37)</f>
        <v>HI</v>
      </c>
      <c r="H1097" t="str">
        <f>_xlfn.TEXTJOIN("/",TRUE,"MSV-163MS-"&amp;LD_01[[#This Row],[TRECHO]],_xlfn.XLOOKUP(LD_01[[#This Row],[SIGLA]],'CLASSES DE PROJETOS'!$C$3:$C$37,'CLASSES DE PROJETOS'!$E$3:$E$37))</f>
        <v>MSV-163MS-638-NORTE/21.HI</v>
      </c>
      <c r="I1097" s="6" t="str" cm="1">
        <f t="array" ref="I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J1097" s="6" t="str" cm="1">
        <f t="array" ref="J1097">_xlfn.TEXTJOIN(", ",TRUE,_xlfn.UNIQUE(_xlfn._xlws.FILTER(ARQUIVOS_RECEBIDOS!$F$2:$F$5010,ARQUIVOS_RECEBIDOS!$E$2:$E$5010=LD_01[[#This Row],[DOCUMENTO]])))</f>
        <v>R00, R01</v>
      </c>
      <c r="K1097" s="12" cm="1">
        <f t="array" ref="K1097">_xlfn.UNIQUE(_xlfn._xlws.FILTER(ARQUIVOS[DATA RECEBIMENTO],(ARQUIVOS[DOCUMENTO]=LD_01[[#This Row],[DOCUMENTO]])*(ARQUIVOS[REVISÃO]=LD_01[[#This Row],[REVISÃO]])))</f>
        <v>45931</v>
      </c>
      <c r="L10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M1097" s="6" t="str">
        <f>LD_01[[#This Row],[PASTA]]&amp;"/"&amp;LD_01[[#This Row],[ARQUIVO]]</f>
        <v>MSV-163MS-638-NORTE/21.HI/MSV-163MS-638+600-EDI-EXE-DE-P3-502-R01.pdf</v>
      </c>
    </row>
    <row r="1098" spans="1:13" ht="43.2" x14ac:dyDescent="0.3">
      <c r="A1098" s="30" t="s">
        <v>3810</v>
      </c>
      <c r="B1098" s="6" t="str">
        <f>VLOOKUP(LD_01[[#This Row],[DOCUMENTO]],_xlfn.SORTBY(ARQUIVOS_RECEBIDOS!$E$2:$F$5010,ARQUIVOS_RECEBIDOS!$F$2:$F$5010,-1),2,)</f>
        <v>R04</v>
      </c>
      <c r="C1098" s="15" t="s">
        <v>5987</v>
      </c>
      <c r="D1098" s="6" t="s">
        <v>4320</v>
      </c>
      <c r="E1098" s="8" t="s">
        <v>4810</v>
      </c>
      <c r="F1098" s="8" t="s">
        <v>4337</v>
      </c>
      <c r="G1098" s="6" t="str">
        <f>_xlfn.XLOOKUP(LD_01[[#This Row],[DISCIPLINA]],'CLASSES DE PROJETOS'!$F$3:$F$37,'CLASSES DE PROJETOS'!$C$3:$C$37)</f>
        <v>EL</v>
      </c>
      <c r="H1098" t="str">
        <f>_xlfn.TEXTJOIN("/",TRUE,"MSV-163MS-"&amp;LD_01[[#This Row],[TRECHO]],_xlfn.XLOOKUP(LD_01[[#This Row],[SIGLA]],'CLASSES DE PROJETOS'!$C$3:$C$37,'CLASSES DE PROJETOS'!$E$3:$E$37))</f>
        <v>MSV-163MS-638-NORTE/14.EL</v>
      </c>
      <c r="I1098" s="6" t="str" cm="1">
        <f t="array" ref="I1098">_xlfn.TEXTJOIN(",",TRUE,_xlfn._xlws.FILTER(ARQUIVOS[ARQUIVO],(ARQUIVOS[DOCUMENTO]=LD_01[[#This Row],[DOCUMENTO]])*(ARQUIVOS[REVISÃO]=LD_01[[#This Row],[REVISÃO]])*(ARQUIVOS[EXTENSÃO]="pdf")))</f>
        <v>MSV-163MS-638+600-EDI-EXE-DE-P4-001-R04.pdf</v>
      </c>
      <c r="J1098" s="6" t="str" cm="1">
        <f t="array" ref="J1098">_xlfn.TEXTJOIN(", ",TRUE,_xlfn.UNIQUE(_xlfn._xlws.FILTER(ARQUIVOS_RECEBIDOS!$F$2:$F$5010,ARQUIVOS_RECEBIDOS!$E$2:$E$5010=LD_01[[#This Row],[DOCUMENTO]])))</f>
        <v>R02, R03, R04</v>
      </c>
      <c r="K1098" s="12" cm="1">
        <f t="array" ref="K1098">_xlfn.UNIQUE(_xlfn._xlws.FILTER(ARQUIVOS[DATA RECEBIMENTO],(ARQUIVOS[DOCUMENTO]=LD_01[[#This Row],[DOCUMENTO]])*(ARQUIVOS[REVISÃO]=LD_01[[#This Row],[REVISÃO]])))</f>
        <v>46189</v>
      </c>
      <c r="L10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M1098" s="6" t="str">
        <f>LD_01[[#This Row],[PASTA]]&amp;"/"&amp;LD_01[[#This Row],[ARQUIVO]]</f>
        <v>MSV-163MS-638-NORTE/14.EL/MSV-163MS-638+600-EDI-EXE-DE-P4-001-R04.pdf</v>
      </c>
    </row>
    <row r="1099" spans="1:13" ht="43.2" x14ac:dyDescent="0.3">
      <c r="A1099" s="30" t="s">
        <v>3811</v>
      </c>
      <c r="B1099" s="6" t="str">
        <f>VLOOKUP(LD_01[[#This Row],[DOCUMENTO]],_xlfn.SORTBY(ARQUIVOS_RECEBIDOS!$E$2:$F$5010,ARQUIVOS_RECEBIDOS!$F$2:$F$5010,-1),2,)</f>
        <v>R04</v>
      </c>
      <c r="C1099" s="15" t="s">
        <v>5987</v>
      </c>
      <c r="D1099" s="6" t="s">
        <v>4320</v>
      </c>
      <c r="E1099" s="8" t="s">
        <v>4811</v>
      </c>
      <c r="F1099" s="8" t="s">
        <v>4337</v>
      </c>
      <c r="G1099" s="6" t="str">
        <f>_xlfn.XLOOKUP(LD_01[[#This Row],[DISCIPLINA]],'CLASSES DE PROJETOS'!$F$3:$F$37,'CLASSES DE PROJETOS'!$C$3:$C$37)</f>
        <v>EL</v>
      </c>
      <c r="H1099" t="str">
        <f>_xlfn.TEXTJOIN("/",TRUE,"MSV-163MS-"&amp;LD_01[[#This Row],[TRECHO]],_xlfn.XLOOKUP(LD_01[[#This Row],[SIGLA]],'CLASSES DE PROJETOS'!$C$3:$C$37,'CLASSES DE PROJETOS'!$E$3:$E$37))</f>
        <v>MSV-163MS-638-NORTE/14.EL</v>
      </c>
      <c r="I1099" s="6" t="str" cm="1">
        <f t="array" ref="I1099">_xlfn.TEXTJOIN(",",TRUE,_xlfn._xlws.FILTER(ARQUIVOS[ARQUIVO],(ARQUIVOS[DOCUMENTO]=LD_01[[#This Row],[DOCUMENTO]])*(ARQUIVOS[REVISÃO]=LD_01[[#This Row],[REVISÃO]])*(ARQUIVOS[EXTENSÃO]="pdf")))</f>
        <v>MSV-163MS-638+600-EDI-EXE-DE-P4-002-R04.pdf</v>
      </c>
      <c r="J1099" s="6" t="str" cm="1">
        <f t="array" ref="J1099">_xlfn.TEXTJOIN(", ",TRUE,_xlfn.UNIQUE(_xlfn._xlws.FILTER(ARQUIVOS_RECEBIDOS!$F$2:$F$5010,ARQUIVOS_RECEBIDOS!$E$2:$E$5010=LD_01[[#This Row],[DOCUMENTO]])))</f>
        <v>R02, R03, R04</v>
      </c>
      <c r="K1099" s="12" cm="1">
        <f t="array" ref="K1099">_xlfn.UNIQUE(_xlfn._xlws.FILTER(ARQUIVOS[DATA RECEBIMENTO],(ARQUIVOS[DOCUMENTO]=LD_01[[#This Row],[DOCUMENTO]])*(ARQUIVOS[REVISÃO]=LD_01[[#This Row],[REVISÃO]])))</f>
        <v>46189</v>
      </c>
      <c r="L10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M1099" s="6" t="str">
        <f>LD_01[[#This Row],[PASTA]]&amp;"/"&amp;LD_01[[#This Row],[ARQUIVO]]</f>
        <v>MSV-163MS-638-NORTE/14.EL/MSV-163MS-638+600-EDI-EXE-DE-P4-002-R04.pdf</v>
      </c>
    </row>
    <row r="1100" spans="1:13" ht="43.2" hidden="1" x14ac:dyDescent="0.3">
      <c r="A1100" s="6" t="s">
        <v>3908</v>
      </c>
      <c r="B1100" s="6" t="str">
        <f>VLOOKUP(LD_01[[#This Row],[DOCUMENTO]],_xlfn.SORTBY(ARQUIVOS_RECEBIDOS!$E$2:$F$5010,ARQUIVOS_RECEBIDOS!$F$2:$F$5010,-1),2,)</f>
        <v>R01</v>
      </c>
      <c r="C1100" s="15" t="s">
        <v>5987</v>
      </c>
      <c r="D1100" s="6" t="s">
        <v>4320</v>
      </c>
      <c r="E1100" s="8" t="s">
        <v>4235</v>
      </c>
      <c r="F1100" s="8" t="s">
        <v>4341</v>
      </c>
      <c r="G1100" s="6" t="str">
        <f>_xlfn.XLOOKUP(LD_01[[#This Row],[DISCIPLINA]],'CLASSES DE PROJETOS'!$F$3:$F$37,'CLASSES DE PROJETOS'!$C$3:$C$37)</f>
        <v>AR</v>
      </c>
      <c r="H1100" t="str">
        <f>_xlfn.TEXTJOIN("/",TRUE,"MSV-163MS-"&amp;LD_01[[#This Row],[TRECHO]],_xlfn.XLOOKUP(LD_01[[#This Row],[SIGLA]],'CLASSES DE PROJETOS'!$C$3:$C$37,'CLASSES DE PROJETOS'!$E$3:$E$37))</f>
        <v>MSV-163MS-638-NORTE/04.AR</v>
      </c>
      <c r="I1100" s="6" t="str" cm="1">
        <f t="array" ref="I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J1100" s="6" t="str" cm="1">
        <f t="array" ref="J1100">_xlfn.TEXTJOIN(", ",TRUE,_xlfn.UNIQUE(_xlfn._xlws.FILTER(ARQUIVOS_RECEBIDOS!$F$2:$F$5010,ARQUIVOS_RECEBIDOS!$E$2:$E$5010=LD_01[[#This Row],[DOCUMENTO]])))</f>
        <v>R00, R01</v>
      </c>
      <c r="K1100" s="12" cm="1">
        <f t="array" ref="K1100">_xlfn.UNIQUE(_xlfn._xlws.FILTER(ARQUIVOS[DATA RECEBIMENTO],(ARQUIVOS[DOCUMENTO]=LD_01[[#This Row],[DOCUMENTO]])*(ARQUIVOS[REVISÃO]=LD_01[[#This Row],[REVISÃO]])))</f>
        <v>45931</v>
      </c>
      <c r="L11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M1100" s="6" t="str">
        <f>LD_01[[#This Row],[PASTA]]&amp;"/"&amp;LD_01[[#This Row],[ARQUIVO]]</f>
        <v>MSV-163MS-638-NORTE/04.AR/MSV-163MS-638+600-EDI-EXE-DE-P5-001-R01.pdf</v>
      </c>
    </row>
    <row r="1101" spans="1:13" ht="43.2" hidden="1" x14ac:dyDescent="0.3">
      <c r="A1101" s="6" t="s">
        <v>3909</v>
      </c>
      <c r="B1101" s="6" t="str">
        <f>VLOOKUP(LD_01[[#This Row],[DOCUMENTO]],_xlfn.SORTBY(ARQUIVOS_RECEBIDOS!$E$2:$F$5010,ARQUIVOS_RECEBIDOS!$F$2:$F$5010,-1),2,)</f>
        <v>R01</v>
      </c>
      <c r="C1101" s="15" t="s">
        <v>5987</v>
      </c>
      <c r="D1101" s="6" t="s">
        <v>4320</v>
      </c>
      <c r="E1101" s="8" t="s">
        <v>4236</v>
      </c>
      <c r="F1101" s="8" t="s">
        <v>4341</v>
      </c>
      <c r="G1101" s="6" t="str">
        <f>_xlfn.XLOOKUP(LD_01[[#This Row],[DISCIPLINA]],'CLASSES DE PROJETOS'!$F$3:$F$37,'CLASSES DE PROJETOS'!$C$3:$C$37)</f>
        <v>AR</v>
      </c>
      <c r="H1101" t="str">
        <f>_xlfn.TEXTJOIN("/",TRUE,"MSV-163MS-"&amp;LD_01[[#This Row],[TRECHO]],_xlfn.XLOOKUP(LD_01[[#This Row],[SIGLA]],'CLASSES DE PROJETOS'!$C$3:$C$37,'CLASSES DE PROJETOS'!$E$3:$E$37))</f>
        <v>MSV-163MS-638-NORTE/04.AR</v>
      </c>
      <c r="I1101" s="6" t="str" cm="1">
        <f t="array" ref="I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J1101" s="6" t="str" cm="1">
        <f t="array" ref="J1101">_xlfn.TEXTJOIN(", ",TRUE,_xlfn.UNIQUE(_xlfn._xlws.FILTER(ARQUIVOS_RECEBIDOS!$F$2:$F$5010,ARQUIVOS_RECEBIDOS!$E$2:$E$5010=LD_01[[#This Row],[DOCUMENTO]])))</f>
        <v>R00, R01</v>
      </c>
      <c r="K1101" s="12" cm="1">
        <f t="array" ref="K1101">_xlfn.UNIQUE(_xlfn._xlws.FILTER(ARQUIVOS[DATA RECEBIMENTO],(ARQUIVOS[DOCUMENTO]=LD_01[[#This Row],[DOCUMENTO]])*(ARQUIVOS[REVISÃO]=LD_01[[#This Row],[REVISÃO]])))</f>
        <v>45931</v>
      </c>
      <c r="L11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M1101" s="6" t="str">
        <f>LD_01[[#This Row],[PASTA]]&amp;"/"&amp;LD_01[[#This Row],[ARQUIVO]]</f>
        <v>MSV-163MS-638-NORTE/04.AR/MSV-163MS-638+600-EDI-EXE-DE-P5-002-R01.pdf</v>
      </c>
    </row>
    <row r="1102" spans="1:13" ht="43.2" hidden="1" x14ac:dyDescent="0.3">
      <c r="A1102" s="6" t="s">
        <v>3910</v>
      </c>
      <c r="B1102" s="6" t="str">
        <f>VLOOKUP(LD_01[[#This Row],[DOCUMENTO]],_xlfn.SORTBY(ARQUIVOS_RECEBIDOS!$E$2:$F$5010,ARQUIVOS_RECEBIDOS!$F$2:$F$5010,-1),2,)</f>
        <v>R01</v>
      </c>
      <c r="C1102" s="15" t="s">
        <v>5987</v>
      </c>
      <c r="D1102" s="6" t="s">
        <v>4320</v>
      </c>
      <c r="E1102" s="8" t="s">
        <v>4237</v>
      </c>
      <c r="F1102" s="8" t="s">
        <v>4341</v>
      </c>
      <c r="G1102" s="6" t="str">
        <f>_xlfn.XLOOKUP(LD_01[[#This Row],[DISCIPLINA]],'CLASSES DE PROJETOS'!$F$3:$F$37,'CLASSES DE PROJETOS'!$C$3:$C$37)</f>
        <v>AR</v>
      </c>
      <c r="H1102" t="str">
        <f>_xlfn.TEXTJOIN("/",TRUE,"MSV-163MS-"&amp;LD_01[[#This Row],[TRECHO]],_xlfn.XLOOKUP(LD_01[[#This Row],[SIGLA]],'CLASSES DE PROJETOS'!$C$3:$C$37,'CLASSES DE PROJETOS'!$E$3:$E$37))</f>
        <v>MSV-163MS-638-NORTE/04.AR</v>
      </c>
      <c r="I1102" s="6" t="str" cm="1">
        <f t="array" ref="I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J1102" s="6" t="str" cm="1">
        <f t="array" ref="J1102">_xlfn.TEXTJOIN(", ",TRUE,_xlfn.UNIQUE(_xlfn._xlws.FILTER(ARQUIVOS_RECEBIDOS!$F$2:$F$5010,ARQUIVOS_RECEBIDOS!$E$2:$E$5010=LD_01[[#This Row],[DOCUMENTO]])))</f>
        <v>R00, R01</v>
      </c>
      <c r="K1102" s="12" cm="1">
        <f t="array" ref="K1102">_xlfn.UNIQUE(_xlfn._xlws.FILTER(ARQUIVOS[DATA RECEBIMENTO],(ARQUIVOS[DOCUMENTO]=LD_01[[#This Row],[DOCUMENTO]])*(ARQUIVOS[REVISÃO]=LD_01[[#This Row],[REVISÃO]])))</f>
        <v>45931</v>
      </c>
      <c r="L11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M1102" s="6" t="str">
        <f>LD_01[[#This Row],[PASTA]]&amp;"/"&amp;LD_01[[#This Row],[ARQUIVO]]</f>
        <v>MSV-163MS-638-NORTE/04.AR/MSV-163MS-638+600-EDI-EXE-DE-P5-201-R01.pdf</v>
      </c>
    </row>
    <row r="1103" spans="1:13" ht="43.2" hidden="1" x14ac:dyDescent="0.3">
      <c r="A1103" s="6" t="s">
        <v>3911</v>
      </c>
      <c r="B1103" s="6" t="str">
        <f>VLOOKUP(LD_01[[#This Row],[DOCUMENTO]],_xlfn.SORTBY(ARQUIVOS_RECEBIDOS!$E$2:$F$5010,ARQUIVOS_RECEBIDOS!$F$2:$F$5010,-1),2,)</f>
        <v>R01</v>
      </c>
      <c r="C1103" s="15" t="s">
        <v>5987</v>
      </c>
      <c r="D1103" s="6" t="s">
        <v>4320</v>
      </c>
      <c r="E1103" s="8" t="s">
        <v>4238</v>
      </c>
      <c r="F1103" s="8" t="s">
        <v>4341</v>
      </c>
      <c r="G1103" s="6" t="str">
        <f>_xlfn.XLOOKUP(LD_01[[#This Row],[DISCIPLINA]],'CLASSES DE PROJETOS'!$F$3:$F$37,'CLASSES DE PROJETOS'!$C$3:$C$37)</f>
        <v>AR</v>
      </c>
      <c r="H1103" t="str">
        <f>_xlfn.TEXTJOIN("/",TRUE,"MSV-163MS-"&amp;LD_01[[#This Row],[TRECHO]],_xlfn.XLOOKUP(LD_01[[#This Row],[SIGLA]],'CLASSES DE PROJETOS'!$C$3:$C$37,'CLASSES DE PROJETOS'!$E$3:$E$37))</f>
        <v>MSV-163MS-638-NORTE/04.AR</v>
      </c>
      <c r="I1103" s="6" t="str" cm="1">
        <f t="array" ref="I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J1103" s="6" t="str" cm="1">
        <f t="array" ref="J1103">_xlfn.TEXTJOIN(", ",TRUE,_xlfn.UNIQUE(_xlfn._xlws.FILTER(ARQUIVOS_RECEBIDOS!$F$2:$F$5010,ARQUIVOS_RECEBIDOS!$E$2:$E$5010=LD_01[[#This Row],[DOCUMENTO]])))</f>
        <v>R00, R01</v>
      </c>
      <c r="K1103" s="12" cm="1">
        <f t="array" ref="K1103">_xlfn.UNIQUE(_xlfn._xlws.FILTER(ARQUIVOS[DATA RECEBIMENTO],(ARQUIVOS[DOCUMENTO]=LD_01[[#This Row],[DOCUMENTO]])*(ARQUIVOS[REVISÃO]=LD_01[[#This Row],[REVISÃO]])))</f>
        <v>45931</v>
      </c>
      <c r="L11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M1103" s="6" t="str">
        <f>LD_01[[#This Row],[PASTA]]&amp;"/"&amp;LD_01[[#This Row],[ARQUIVO]]</f>
        <v>MSV-163MS-638-NORTE/04.AR/MSV-163MS-638+600-EDI-EXE-DE-P5-301-R01.pdf</v>
      </c>
    </row>
    <row r="1104" spans="1:13" ht="28.8" hidden="1" x14ac:dyDescent="0.3">
      <c r="A1104" s="6" t="s">
        <v>3902</v>
      </c>
      <c r="B1104" s="6" t="str">
        <f>VLOOKUP(LD_01[[#This Row],[DOCUMENTO]],_xlfn.SORTBY(ARQUIVOS_RECEBIDOS!$E$2:$F$5010,ARQUIVOS_RECEBIDOS!$F$2:$F$5010,-1),2,)</f>
        <v>R01</v>
      </c>
      <c r="C1104" s="15" t="s">
        <v>5987</v>
      </c>
      <c r="D1104" s="6" t="s">
        <v>4320</v>
      </c>
      <c r="E1104" s="8" t="s">
        <v>4847</v>
      </c>
      <c r="F1104" s="8" t="s">
        <v>4340</v>
      </c>
      <c r="G1104" s="6" t="str">
        <f>_xlfn.XLOOKUP(LD_01[[#This Row],[DISCIPLINA]],'CLASSES DE PROJETOS'!$F$3:$F$37,'CLASSES DE PROJETOS'!$C$3:$C$37)</f>
        <v>HI</v>
      </c>
      <c r="H1104" t="str">
        <f>_xlfn.TEXTJOIN("/",TRUE,"MSV-163MS-"&amp;LD_01[[#This Row],[TRECHO]],_xlfn.XLOOKUP(LD_01[[#This Row],[SIGLA]],'CLASSES DE PROJETOS'!$C$3:$C$37,'CLASSES DE PROJETOS'!$E$3:$E$37))</f>
        <v>MSV-163MS-638-NORTE/21.HI</v>
      </c>
      <c r="I1104" s="6" t="str" cm="1">
        <f t="array" ref="I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J1104" s="6" t="str" cm="1">
        <f t="array" ref="J1104">_xlfn.TEXTJOIN(", ",TRUE,_xlfn.UNIQUE(_xlfn._xlws.FILTER(ARQUIVOS_RECEBIDOS!$F$2:$F$5010,ARQUIVOS_RECEBIDOS!$E$2:$E$5010=LD_01[[#This Row],[DOCUMENTO]])))</f>
        <v>R00, R01</v>
      </c>
      <c r="K1104" s="12" cm="1">
        <f t="array" ref="K1104">_xlfn.UNIQUE(_xlfn._xlws.FILTER(ARQUIVOS[DATA RECEBIMENTO],(ARQUIVOS[DOCUMENTO]=LD_01[[#This Row],[DOCUMENTO]])*(ARQUIVOS[REVISÃO]=LD_01[[#This Row],[REVISÃO]])))</f>
        <v>45931</v>
      </c>
      <c r="L11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M1104" s="6" t="str">
        <f>LD_01[[#This Row],[PASTA]]&amp;"/"&amp;LD_01[[#This Row],[ARQUIVO]]</f>
        <v>MSV-163MS-638-NORTE/21.HI/MSV-163MS-638+600-EDI-EXE-DE-P8-001-R01.pdf</v>
      </c>
    </row>
    <row r="1105" spans="1:13" ht="28.8" hidden="1" x14ac:dyDescent="0.3">
      <c r="A1105" s="6" t="s">
        <v>3903</v>
      </c>
      <c r="B1105" s="6" t="str">
        <f>VLOOKUP(LD_01[[#This Row],[DOCUMENTO]],_xlfn.SORTBY(ARQUIVOS_RECEBIDOS!$E$2:$F$5010,ARQUIVOS_RECEBIDOS!$F$2:$F$5010,-1),2,)</f>
        <v>R01</v>
      </c>
      <c r="C1105" s="15" t="s">
        <v>5987</v>
      </c>
      <c r="D1105" s="6" t="s">
        <v>4320</v>
      </c>
      <c r="E1105" s="8" t="s">
        <v>4848</v>
      </c>
      <c r="F1105" s="8" t="s">
        <v>4340</v>
      </c>
      <c r="G1105" s="6" t="str">
        <f>_xlfn.XLOOKUP(LD_01[[#This Row],[DISCIPLINA]],'CLASSES DE PROJETOS'!$F$3:$F$37,'CLASSES DE PROJETOS'!$C$3:$C$37)</f>
        <v>HI</v>
      </c>
      <c r="H1105" t="str">
        <f>_xlfn.TEXTJOIN("/",TRUE,"MSV-163MS-"&amp;LD_01[[#This Row],[TRECHO]],_xlfn.XLOOKUP(LD_01[[#This Row],[SIGLA]],'CLASSES DE PROJETOS'!$C$3:$C$37,'CLASSES DE PROJETOS'!$E$3:$E$37))</f>
        <v>MSV-163MS-638-NORTE/21.HI</v>
      </c>
      <c r="I1105" s="6" t="str" cm="1">
        <f t="array" ref="I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J1105" s="6" t="str" cm="1">
        <f t="array" ref="J1105">_xlfn.TEXTJOIN(", ",TRUE,_xlfn.UNIQUE(_xlfn._xlws.FILTER(ARQUIVOS_RECEBIDOS!$F$2:$F$5010,ARQUIVOS_RECEBIDOS!$E$2:$E$5010=LD_01[[#This Row],[DOCUMENTO]])))</f>
        <v>R00, R01</v>
      </c>
      <c r="K1105" s="12" cm="1">
        <f t="array" ref="K1105">_xlfn.UNIQUE(_xlfn._xlws.FILTER(ARQUIVOS[DATA RECEBIMENTO],(ARQUIVOS[DOCUMENTO]=LD_01[[#This Row],[DOCUMENTO]])*(ARQUIVOS[REVISÃO]=LD_01[[#This Row],[REVISÃO]])))</f>
        <v>45931</v>
      </c>
      <c r="L11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M1105" s="6" t="str">
        <f>LD_01[[#This Row],[PASTA]]&amp;"/"&amp;LD_01[[#This Row],[ARQUIVO]]</f>
        <v>MSV-163MS-638-NORTE/21.HI/MSV-163MS-638+600-EDI-EXE-DE-P8-201-R01.pdf</v>
      </c>
    </row>
    <row r="1106" spans="1:13" ht="28.8" hidden="1" x14ac:dyDescent="0.3">
      <c r="A1106" s="6" t="s">
        <v>3904</v>
      </c>
      <c r="B1106" s="6" t="str">
        <f>VLOOKUP(LD_01[[#This Row],[DOCUMENTO]],_xlfn.SORTBY(ARQUIVOS_RECEBIDOS!$E$2:$F$5010,ARQUIVOS_RECEBIDOS!$F$2:$F$5010,-1),2,)</f>
        <v>R01</v>
      </c>
      <c r="C1106" s="15" t="s">
        <v>5987</v>
      </c>
      <c r="D1106" s="6" t="s">
        <v>4320</v>
      </c>
      <c r="E1106" s="8" t="s">
        <v>4849</v>
      </c>
      <c r="F1106" s="8" t="s">
        <v>4340</v>
      </c>
      <c r="G1106" s="6" t="str">
        <f>_xlfn.XLOOKUP(LD_01[[#This Row],[DISCIPLINA]],'CLASSES DE PROJETOS'!$F$3:$F$37,'CLASSES DE PROJETOS'!$C$3:$C$37)</f>
        <v>HI</v>
      </c>
      <c r="H1106" t="str">
        <f>_xlfn.TEXTJOIN("/",TRUE,"MSV-163MS-"&amp;LD_01[[#This Row],[TRECHO]],_xlfn.XLOOKUP(LD_01[[#This Row],[SIGLA]],'CLASSES DE PROJETOS'!$C$3:$C$37,'CLASSES DE PROJETOS'!$E$3:$E$37))</f>
        <v>MSV-163MS-638-NORTE/21.HI</v>
      </c>
      <c r="I1106" s="6" t="str" cm="1">
        <f t="array" ref="I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J1106" s="6" t="str" cm="1">
        <f t="array" ref="J1106">_xlfn.TEXTJOIN(", ",TRUE,_xlfn.UNIQUE(_xlfn._xlws.FILTER(ARQUIVOS_RECEBIDOS!$F$2:$F$5010,ARQUIVOS_RECEBIDOS!$E$2:$E$5010=LD_01[[#This Row],[DOCUMENTO]])))</f>
        <v>R00, R01</v>
      </c>
      <c r="K1106" s="12" cm="1">
        <f t="array" ref="K1106">_xlfn.UNIQUE(_xlfn._xlws.FILTER(ARQUIVOS[DATA RECEBIMENTO],(ARQUIVOS[DOCUMENTO]=LD_01[[#This Row],[DOCUMENTO]])*(ARQUIVOS[REVISÃO]=LD_01[[#This Row],[REVISÃO]])))</f>
        <v>45931</v>
      </c>
      <c r="L11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M1106" s="6" t="str">
        <f>LD_01[[#This Row],[PASTA]]&amp;"/"&amp;LD_01[[#This Row],[ARQUIVO]]</f>
        <v>MSV-163MS-638-NORTE/21.HI/MSV-163MS-638+600-EDI-EXE-DE-P8-301-R01.pdf</v>
      </c>
    </row>
    <row r="1107" spans="1:13" ht="28.8" hidden="1" x14ac:dyDescent="0.3">
      <c r="A1107" s="6" t="s">
        <v>3905</v>
      </c>
      <c r="B1107" s="6" t="str">
        <f>VLOOKUP(LD_01[[#This Row],[DOCUMENTO]],_xlfn.SORTBY(ARQUIVOS_RECEBIDOS!$E$2:$F$5010,ARQUIVOS_RECEBIDOS!$F$2:$F$5010,-1),2,)</f>
        <v>R01</v>
      </c>
      <c r="C1107" s="15" t="s">
        <v>5987</v>
      </c>
      <c r="D1107" s="6" t="s">
        <v>4320</v>
      </c>
      <c r="E1107" s="8" t="s">
        <v>4850</v>
      </c>
      <c r="F1107" s="8" t="s">
        <v>4340</v>
      </c>
      <c r="G1107" s="6" t="str">
        <f>_xlfn.XLOOKUP(LD_01[[#This Row],[DISCIPLINA]],'CLASSES DE PROJETOS'!$F$3:$F$37,'CLASSES DE PROJETOS'!$C$3:$C$37)</f>
        <v>HI</v>
      </c>
      <c r="H1107" t="str">
        <f>_xlfn.TEXTJOIN("/",TRUE,"MSV-163MS-"&amp;LD_01[[#This Row],[TRECHO]],_xlfn.XLOOKUP(LD_01[[#This Row],[SIGLA]],'CLASSES DE PROJETOS'!$C$3:$C$37,'CLASSES DE PROJETOS'!$E$3:$E$37))</f>
        <v>MSV-163MS-638-NORTE/21.HI</v>
      </c>
      <c r="I1107" s="6" t="str" cm="1">
        <f t="array" ref="I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J1107" s="6" t="str" cm="1">
        <f t="array" ref="J1107">_xlfn.TEXTJOIN(", ",TRUE,_xlfn.UNIQUE(_xlfn._xlws.FILTER(ARQUIVOS_RECEBIDOS!$F$2:$F$5010,ARQUIVOS_RECEBIDOS!$E$2:$E$5010=LD_01[[#This Row],[DOCUMENTO]])))</f>
        <v>R00, R01</v>
      </c>
      <c r="K1107" s="12" cm="1">
        <f t="array" ref="K1107">_xlfn.UNIQUE(_xlfn._xlws.FILTER(ARQUIVOS[DATA RECEBIMENTO],(ARQUIVOS[DOCUMENTO]=LD_01[[#This Row],[DOCUMENTO]])*(ARQUIVOS[REVISÃO]=LD_01[[#This Row],[REVISÃO]])))</f>
        <v>45931</v>
      </c>
      <c r="L11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M1107" s="6" t="str">
        <f>LD_01[[#This Row],[PASTA]]&amp;"/"&amp;LD_01[[#This Row],[ARQUIVO]]</f>
        <v>MSV-163MS-638-NORTE/21.HI/MSV-163MS-638+600-EDI-EXE-DE-P8-401-R01.pdf</v>
      </c>
    </row>
    <row r="1108" spans="1:13" ht="28.8" hidden="1" x14ac:dyDescent="0.3">
      <c r="A1108" s="6" t="s">
        <v>3827</v>
      </c>
      <c r="B1108" s="6" t="str">
        <f>VLOOKUP(LD_01[[#This Row],[DOCUMENTO]],_xlfn.SORTBY(ARQUIVOS_RECEBIDOS!$E$2:$F$5010,ARQUIVOS_RECEBIDOS!$F$2:$F$5010,-1),2,)</f>
        <v>R03</v>
      </c>
      <c r="C1108" s="15" t="s">
        <v>5987</v>
      </c>
      <c r="D1108" s="6" t="s">
        <v>4320</v>
      </c>
      <c r="E1108" s="8" t="s">
        <v>4913</v>
      </c>
      <c r="F1108" s="8" t="s">
        <v>4338</v>
      </c>
      <c r="G1108" s="6" t="str">
        <f>_xlfn.XLOOKUP(LD_01[[#This Row],[DISCIPLINA]],'CLASSES DE PROJETOS'!$F$3:$F$37,'CLASSES DE PROJETOS'!$C$3:$C$37)</f>
        <v>DS</v>
      </c>
      <c r="H1108" t="str">
        <f>_xlfn.TEXTJOIN("/",TRUE,"MSV-163MS-"&amp;LD_01[[#This Row],[TRECHO]],_xlfn.XLOOKUP(LD_01[[#This Row],[SIGLA]],'CLASSES DE PROJETOS'!$C$3:$C$37,'CLASSES DE PROJETOS'!$E$3:$E$37))</f>
        <v>MSV-163MS-638-NORTE/11.DS</v>
      </c>
      <c r="I1108" s="6" t="str" cm="1">
        <f t="array" ref="I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J1108" s="6" t="str" cm="1">
        <f t="array" ref="J1108">_xlfn.TEXTJOIN(", ",TRUE,_xlfn.UNIQUE(_xlfn._xlws.FILTER(ARQUIVOS_RECEBIDOS!$F$2:$F$5010,ARQUIVOS_RECEBIDOS!$E$2:$E$5010=LD_01[[#This Row],[DOCUMENTO]])))</f>
        <v>R01, R02, R03</v>
      </c>
      <c r="K1108" s="12" cm="1">
        <f t="array" ref="K1108">_xlfn.UNIQUE(_xlfn._xlws.FILTER(ARQUIVOS[DATA RECEBIMENTO],(ARQUIVOS[DOCUMENTO]=LD_01[[#This Row],[DOCUMENTO]])*(ARQUIVOS[REVISÃO]=LD_01[[#This Row],[REVISÃO]])))</f>
        <v>45931</v>
      </c>
      <c r="L11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M1108" s="6" t="str">
        <f>LD_01[[#This Row],[PASTA]]&amp;"/"&amp;LD_01[[#This Row],[ARQUIVO]]</f>
        <v>MSV-163MS-638-NORTE/11.DS/MSV-163MS-638+600-EDI-EXE-DE-Q1-001-R03.pdf</v>
      </c>
    </row>
    <row r="1109" spans="1:13" ht="28.8" hidden="1" x14ac:dyDescent="0.3">
      <c r="A1109" s="6" t="s">
        <v>3828</v>
      </c>
      <c r="B1109" s="6" t="str">
        <f>VLOOKUP(LD_01[[#This Row],[DOCUMENTO]],_xlfn.SORTBY(ARQUIVOS_RECEBIDOS!$E$2:$F$5010,ARQUIVOS_RECEBIDOS!$F$2:$F$5010,-1),2,)</f>
        <v>R03</v>
      </c>
      <c r="C1109" s="15" t="s">
        <v>5987</v>
      </c>
      <c r="D1109" s="6" t="s">
        <v>4320</v>
      </c>
      <c r="E1109" s="8" t="s">
        <v>4913</v>
      </c>
      <c r="F1109" s="8" t="s">
        <v>4338</v>
      </c>
      <c r="G1109" s="6" t="str">
        <f>_xlfn.XLOOKUP(LD_01[[#This Row],[DISCIPLINA]],'CLASSES DE PROJETOS'!$F$3:$F$37,'CLASSES DE PROJETOS'!$C$3:$C$37)</f>
        <v>DS</v>
      </c>
      <c r="H1109" t="str">
        <f>_xlfn.TEXTJOIN("/",TRUE,"MSV-163MS-"&amp;LD_01[[#This Row],[TRECHO]],_xlfn.XLOOKUP(LD_01[[#This Row],[SIGLA]],'CLASSES DE PROJETOS'!$C$3:$C$37,'CLASSES DE PROJETOS'!$E$3:$E$37))</f>
        <v>MSV-163MS-638-NORTE/11.DS</v>
      </c>
      <c r="I1109" s="6" t="str" cm="1">
        <f t="array" ref="I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J1109" s="6" t="str" cm="1">
        <f t="array" ref="J1109">_xlfn.TEXTJOIN(", ",TRUE,_xlfn.UNIQUE(_xlfn._xlws.FILTER(ARQUIVOS_RECEBIDOS!$F$2:$F$5010,ARQUIVOS_RECEBIDOS!$E$2:$E$5010=LD_01[[#This Row],[DOCUMENTO]])))</f>
        <v>R01, R02, R03</v>
      </c>
      <c r="K1109" s="12" cm="1">
        <f t="array" ref="K1109">_xlfn.UNIQUE(_xlfn._xlws.FILTER(ARQUIVOS[DATA RECEBIMENTO],(ARQUIVOS[DOCUMENTO]=LD_01[[#This Row],[DOCUMENTO]])*(ARQUIVOS[REVISÃO]=LD_01[[#This Row],[REVISÃO]])))</f>
        <v>45931</v>
      </c>
      <c r="L11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M1109" s="6" t="str">
        <f>LD_01[[#This Row],[PASTA]]&amp;"/"&amp;LD_01[[#This Row],[ARQUIVO]]</f>
        <v>MSV-163MS-638-NORTE/11.DS/MSV-163MS-638+600-EDI-EXE-DE-Q1-002-R03.pdf</v>
      </c>
    </row>
    <row r="1110" spans="1:13" ht="28.8" hidden="1" x14ac:dyDescent="0.3">
      <c r="A1110" s="6" t="s">
        <v>4055</v>
      </c>
      <c r="B1110" s="6" t="str">
        <f>VLOOKUP(LD_01[[#This Row],[DOCUMENTO]],_xlfn.SORTBY(ARQUIVOS_RECEBIDOS!$E$2:$F$5010,ARQUIVOS_RECEBIDOS!$F$2:$F$5010,-1),2,)</f>
        <v>R02</v>
      </c>
      <c r="C1110" s="15" t="s">
        <v>5987</v>
      </c>
      <c r="D1110" s="6" t="s">
        <v>4320</v>
      </c>
      <c r="E1110" s="8" t="s">
        <v>4959</v>
      </c>
      <c r="F1110" s="8" t="s">
        <v>4330</v>
      </c>
      <c r="G1110" s="6" t="str">
        <f>_xlfn.XLOOKUP(LD_01[[#This Row],[DISCIPLINA]],'CLASSES DE PROJETOS'!$F$3:$F$37,'CLASSES DE PROJETOS'!$C$3:$C$37)</f>
        <v>TE</v>
      </c>
      <c r="H1110" t="str">
        <f>_xlfn.TEXTJOIN("/",TRUE,"MSV-163MS-"&amp;LD_01[[#This Row],[TRECHO]],_xlfn.XLOOKUP(LD_01[[#This Row],[SIGLA]],'CLASSES DE PROJETOS'!$C$3:$C$37,'CLASSES DE PROJETOS'!$E$3:$E$37))</f>
        <v>MSV-163MS-638-NORTE/32.TE</v>
      </c>
      <c r="I1110" s="6" t="str" cm="1">
        <f t="array" ref="I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J1110" s="6" t="str" cm="1">
        <f t="array" ref="J1110">_xlfn.TEXTJOIN(", ",TRUE,_xlfn.UNIQUE(_xlfn._xlws.FILTER(ARQUIVOS_RECEBIDOS!$F$2:$F$5010,ARQUIVOS_RECEBIDOS!$E$2:$E$5010=LD_01[[#This Row],[DOCUMENTO]])))</f>
        <v>R01, R02</v>
      </c>
      <c r="K1110" s="12" cm="1">
        <f t="array" ref="K1110">_xlfn.UNIQUE(_xlfn._xlws.FILTER(ARQUIVOS[DATA RECEBIMENTO],(ARQUIVOS[DOCUMENTO]=LD_01[[#This Row],[DOCUMENTO]])*(ARQUIVOS[REVISÃO]=LD_01[[#This Row],[REVISÃO]])))</f>
        <v>45931</v>
      </c>
      <c r="L11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M1110" s="6" t="str">
        <f>LD_01[[#This Row],[PASTA]]&amp;"/"&amp;LD_01[[#This Row],[ARQUIVO]]</f>
        <v>MSV-163MS-638-NORTE/32.TE/MSV-163MS-638+600-EDI-EXE-MC-G1-001-R02.pdf</v>
      </c>
    </row>
    <row r="1111" spans="1:13" ht="28.8" hidden="1" x14ac:dyDescent="0.3">
      <c r="A1111" s="6" t="s">
        <v>3730</v>
      </c>
      <c r="B1111" s="6" t="str">
        <f>VLOOKUP(LD_01[[#This Row],[DOCUMENTO]],_xlfn.SORTBY(ARQUIVOS_RECEBIDOS!$E$2:$F$5010,ARQUIVOS_RECEBIDOS!$F$2:$F$5010,-1),2,)</f>
        <v>R03</v>
      </c>
      <c r="C1111" s="15" t="s">
        <v>5987</v>
      </c>
      <c r="D1111" s="6" t="s">
        <v>4320</v>
      </c>
      <c r="E1111" s="8" t="s">
        <v>4911</v>
      </c>
      <c r="F1111" s="8" t="s">
        <v>4142</v>
      </c>
      <c r="G1111" s="6" t="str">
        <f>_xlfn.XLOOKUP(LD_01[[#This Row],[DISCIPLINA]],'CLASSES DE PROJETOS'!$F$3:$F$37,'CLASSES DE PROJETOS'!$C$3:$C$37)</f>
        <v>DR</v>
      </c>
      <c r="H1111" t="str">
        <f>_xlfn.TEXTJOIN("/",TRUE,"MSV-163MS-"&amp;LD_01[[#This Row],[TRECHO]],_xlfn.XLOOKUP(LD_01[[#This Row],[SIGLA]],'CLASSES DE PROJETOS'!$C$3:$C$37,'CLASSES DE PROJETOS'!$E$3:$E$37))</f>
        <v>MSV-163MS-638-NORTE/10.DR</v>
      </c>
      <c r="I1111" s="6" t="str" cm="1">
        <f t="array" ref="I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J1111" s="6" t="str" cm="1">
        <f t="array" ref="J1111">_xlfn.TEXTJOIN(", ",TRUE,_xlfn.UNIQUE(_xlfn._xlws.FILTER(ARQUIVOS_RECEBIDOS!$F$2:$F$5010,ARQUIVOS_RECEBIDOS!$E$2:$E$5010=LD_01[[#This Row],[DOCUMENTO]])))</f>
        <v>R01, R02, R03</v>
      </c>
      <c r="K1111" s="12" cm="1">
        <f t="array" ref="K1111">_xlfn.UNIQUE(_xlfn._xlws.FILTER(ARQUIVOS[DATA RECEBIMENTO],(ARQUIVOS[DOCUMENTO]=LD_01[[#This Row],[DOCUMENTO]])*(ARQUIVOS[REVISÃO]=LD_01[[#This Row],[REVISÃO]])))</f>
        <v>45895</v>
      </c>
      <c r="L11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M1111" s="6" t="str">
        <f>LD_01[[#This Row],[PASTA]]&amp;"/"&amp;LD_01[[#This Row],[ARQUIVO]]</f>
        <v>MSV-163MS-638-NORTE/10.DR/MSV-163MS-638+600-EDI-EXE-MC-H2-001-R03.pdf</v>
      </c>
    </row>
    <row r="1112" spans="1:13" hidden="1" x14ac:dyDescent="0.3">
      <c r="A1112" s="6" t="s">
        <v>3751</v>
      </c>
      <c r="B1112" s="6" t="str">
        <f>VLOOKUP(LD_01[[#This Row],[DOCUMENTO]],_xlfn.SORTBY(ARQUIVOS_RECEBIDOS!$E$2:$F$5010,ARQUIVOS_RECEBIDOS!$F$2:$F$5010,-1),2,)</f>
        <v>R02</v>
      </c>
      <c r="C1112" s="15" t="s">
        <v>5987</v>
      </c>
      <c r="D1112" s="6" t="s">
        <v>4320</v>
      </c>
      <c r="E1112" s="8" t="s">
        <v>4087</v>
      </c>
      <c r="F1112" s="8" t="s">
        <v>4143</v>
      </c>
      <c r="G1112" s="6" t="str">
        <f>_xlfn.XLOOKUP(LD_01[[#This Row],[DISCIPLINA]],'CLASSES DE PROJETOS'!$F$3:$F$37,'CLASSES DE PROJETOS'!$C$3:$C$37)</f>
        <v>PV</v>
      </c>
      <c r="H1112" t="str">
        <f>_xlfn.TEXTJOIN("/",TRUE,"MSV-163MS-"&amp;LD_01[[#This Row],[TRECHO]],_xlfn.XLOOKUP(LD_01[[#This Row],[SIGLA]],'CLASSES DE PROJETOS'!$C$3:$C$37,'CLASSES DE PROJETOS'!$E$3:$E$37))</f>
        <v>MSV-163MS-638-NORTE/28.PV</v>
      </c>
      <c r="I1112" s="6" t="str" cm="1">
        <f t="array" ref="I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J1112" s="6" t="str" cm="1">
        <f t="array" ref="J1112">_xlfn.TEXTJOIN(", ",TRUE,_xlfn.UNIQUE(_xlfn._xlws.FILTER(ARQUIVOS_RECEBIDOS!$F$2:$F$5010,ARQUIVOS_RECEBIDOS!$E$2:$E$5010=LD_01[[#This Row],[DOCUMENTO]])))</f>
        <v>R01, R02</v>
      </c>
      <c r="K1112" s="12" cm="1">
        <f t="array" ref="K1112">_xlfn.UNIQUE(_xlfn._xlws.FILTER(ARQUIVOS[DATA RECEBIMENTO],(ARQUIVOS[DOCUMENTO]=LD_01[[#This Row],[DOCUMENTO]])*(ARQUIVOS[REVISÃO]=LD_01[[#This Row],[REVISÃO]])))</f>
        <v>45859</v>
      </c>
      <c r="L11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M1112" s="6" t="str">
        <f>LD_01[[#This Row],[PASTA]]&amp;"/"&amp;LD_01[[#This Row],[ARQUIVO]]</f>
        <v>MSV-163MS-638-NORTE/28.PV/MSV-163MS-638+600-EDI-EXE-MC-I2-001-R02.pdf</v>
      </c>
    </row>
    <row r="1113" spans="1:13" ht="28.8" hidden="1" x14ac:dyDescent="0.3">
      <c r="A1113" s="6" t="s">
        <v>3780</v>
      </c>
      <c r="B1113" s="6" t="str">
        <f>VLOOKUP(LD_01[[#This Row],[DOCUMENTO]],_xlfn.SORTBY(ARQUIVOS_RECEBIDOS!$E$2:$F$5010,ARQUIVOS_RECEBIDOS!$F$2:$F$5010,-1),2,)</f>
        <v>R01</v>
      </c>
      <c r="C1113" s="15" t="s">
        <v>5987</v>
      </c>
      <c r="D1113" s="6" t="s">
        <v>4320</v>
      </c>
      <c r="E1113" s="8" t="s">
        <v>4939</v>
      </c>
      <c r="F1113" s="8" t="s">
        <v>5989</v>
      </c>
      <c r="G1113" s="6" t="str">
        <f>_xlfn.XLOOKUP(LD_01[[#This Row],[DISCIPLINA]],'CLASSES DE PROJETOS'!$F$3:$F$37,'CLASSES DE PROJETOS'!$C$3:$C$37)</f>
        <v>ES</v>
      </c>
      <c r="H1113" t="str">
        <f>_xlfn.TEXTJOIN("/",TRUE,"MSV-163MS-"&amp;LD_01[[#This Row],[TRECHO]],_xlfn.XLOOKUP(LD_01[[#This Row],[SIGLA]],'CLASSES DE PROJETOS'!$C$3:$C$37,'CLASSES DE PROJETOS'!$E$3:$E$37))</f>
        <v>MSV-163MS-638-NORTE/16.ES</v>
      </c>
      <c r="I1113" s="6" t="str" cm="1">
        <f t="array" ref="I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J1113" s="6" t="str" cm="1">
        <f t="array" ref="J1113">_xlfn.TEXTJOIN(", ",TRUE,_xlfn.UNIQUE(_xlfn._xlws.FILTER(ARQUIVOS_RECEBIDOS!$F$2:$F$5010,ARQUIVOS_RECEBIDOS!$E$2:$E$5010=LD_01[[#This Row],[DOCUMENTO]])))</f>
        <v>R00, R01</v>
      </c>
      <c r="K1113" s="12" cm="1">
        <f t="array" ref="K1113">_xlfn.UNIQUE(_xlfn._xlws.FILTER(ARQUIVOS[DATA RECEBIMENTO],(ARQUIVOS[DOCUMENTO]=LD_01[[#This Row],[DOCUMENTO]])*(ARQUIVOS[REVISÃO]=LD_01[[#This Row],[REVISÃO]])))</f>
        <v>45931</v>
      </c>
      <c r="L11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M1113" s="6" t="str">
        <f>LD_01[[#This Row],[PASTA]]&amp;"/"&amp;LD_01[[#This Row],[ARQUIVO]]</f>
        <v>MSV-163MS-638-NORTE/16.ES/MSV-163MS-638+600-EDI-EXE-MC-L2-001-R01.pdf</v>
      </c>
    </row>
    <row r="1114" spans="1:13" ht="28.8" hidden="1" x14ac:dyDescent="0.3">
      <c r="A1114" s="6" t="s">
        <v>3781</v>
      </c>
      <c r="B1114" s="6" t="str">
        <f>VLOOKUP(LD_01[[#This Row],[DOCUMENTO]],_xlfn.SORTBY(ARQUIVOS_RECEBIDOS!$E$2:$F$5010,ARQUIVOS_RECEBIDOS!$F$2:$F$5010,-1),2,)</f>
        <v>R01</v>
      </c>
      <c r="C1114" s="15" t="s">
        <v>5987</v>
      </c>
      <c r="D1114" s="6" t="s">
        <v>4320</v>
      </c>
      <c r="E1114" s="8" t="s">
        <v>4940</v>
      </c>
      <c r="F1114" s="8" t="s">
        <v>5989</v>
      </c>
      <c r="G1114" s="6" t="str">
        <f>_xlfn.XLOOKUP(LD_01[[#This Row],[DISCIPLINA]],'CLASSES DE PROJETOS'!$F$3:$F$37,'CLASSES DE PROJETOS'!$C$3:$C$37)</f>
        <v>ES</v>
      </c>
      <c r="H1114" t="str">
        <f>_xlfn.TEXTJOIN("/",TRUE,"MSV-163MS-"&amp;LD_01[[#This Row],[TRECHO]],_xlfn.XLOOKUP(LD_01[[#This Row],[SIGLA]],'CLASSES DE PROJETOS'!$C$3:$C$37,'CLASSES DE PROJETOS'!$E$3:$E$37))</f>
        <v>MSV-163MS-638-NORTE/16.ES</v>
      </c>
      <c r="I1114" s="6" t="str" cm="1">
        <f t="array" ref="I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J1114" s="6" t="str" cm="1">
        <f t="array" ref="J1114">_xlfn.TEXTJOIN(", ",TRUE,_xlfn.UNIQUE(_xlfn._xlws.FILTER(ARQUIVOS_RECEBIDOS!$F$2:$F$5010,ARQUIVOS_RECEBIDOS!$E$2:$E$5010=LD_01[[#This Row],[DOCUMENTO]])))</f>
        <v>R00, R01</v>
      </c>
      <c r="K1114" s="12" cm="1">
        <f t="array" ref="K1114">_xlfn.UNIQUE(_xlfn._xlws.FILTER(ARQUIVOS[DATA RECEBIMENTO],(ARQUIVOS[DOCUMENTO]=LD_01[[#This Row],[DOCUMENTO]])*(ARQUIVOS[REVISÃO]=LD_01[[#This Row],[REVISÃO]])))</f>
        <v>45931</v>
      </c>
      <c r="L11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M1114" s="6" t="str">
        <f>LD_01[[#This Row],[PASTA]]&amp;"/"&amp;LD_01[[#This Row],[ARQUIVO]]</f>
        <v>MSV-163MS-638-NORTE/16.ES/MSV-163MS-638+600-EDI-EXE-MC-L2-201-R01.pdf</v>
      </c>
    </row>
    <row r="1115" spans="1:13" ht="28.8" hidden="1" x14ac:dyDescent="0.3">
      <c r="A1115" s="6" t="s">
        <v>3782</v>
      </c>
      <c r="B1115" s="6" t="str">
        <f>VLOOKUP(LD_01[[#This Row],[DOCUMENTO]],_xlfn.SORTBY(ARQUIVOS_RECEBIDOS!$E$2:$F$5010,ARQUIVOS_RECEBIDOS!$F$2:$F$5010,-1),2,)</f>
        <v>R01</v>
      </c>
      <c r="C1115" s="15" t="s">
        <v>5987</v>
      </c>
      <c r="D1115" s="6" t="s">
        <v>4320</v>
      </c>
      <c r="E1115" s="8" t="s">
        <v>4941</v>
      </c>
      <c r="F1115" s="8" t="s">
        <v>5989</v>
      </c>
      <c r="G1115" s="6" t="str">
        <f>_xlfn.XLOOKUP(LD_01[[#This Row],[DISCIPLINA]],'CLASSES DE PROJETOS'!$F$3:$F$37,'CLASSES DE PROJETOS'!$C$3:$C$37)</f>
        <v>ES</v>
      </c>
      <c r="H1115" t="str">
        <f>_xlfn.TEXTJOIN("/",TRUE,"MSV-163MS-"&amp;LD_01[[#This Row],[TRECHO]],_xlfn.XLOOKUP(LD_01[[#This Row],[SIGLA]],'CLASSES DE PROJETOS'!$C$3:$C$37,'CLASSES DE PROJETOS'!$E$3:$E$37))</f>
        <v>MSV-163MS-638-NORTE/16.ES</v>
      </c>
      <c r="I1115" s="6" t="str" cm="1">
        <f t="array" ref="I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J1115" s="6" t="str" cm="1">
        <f t="array" ref="J1115">_xlfn.TEXTJOIN(", ",TRUE,_xlfn.UNIQUE(_xlfn._xlws.FILTER(ARQUIVOS_RECEBIDOS!$F$2:$F$5010,ARQUIVOS_RECEBIDOS!$E$2:$E$5010=LD_01[[#This Row],[DOCUMENTO]])))</f>
        <v>R00, R01</v>
      </c>
      <c r="K1115" s="12" cm="1">
        <f t="array" ref="K1115">_xlfn.UNIQUE(_xlfn._xlws.FILTER(ARQUIVOS[DATA RECEBIMENTO],(ARQUIVOS[DOCUMENTO]=LD_01[[#This Row],[DOCUMENTO]])*(ARQUIVOS[REVISÃO]=LD_01[[#This Row],[REVISÃO]])))</f>
        <v>45931</v>
      </c>
      <c r="L11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M1115" s="6" t="str">
        <f>LD_01[[#This Row],[PASTA]]&amp;"/"&amp;LD_01[[#This Row],[ARQUIVO]]</f>
        <v>MSV-163MS-638-NORTE/16.ES/MSV-163MS-638+600-EDI-EXE-MC-L2-301-R01.pdf</v>
      </c>
    </row>
    <row r="1116" spans="1:13" ht="28.8" hidden="1" x14ac:dyDescent="0.3">
      <c r="A1116" s="6" t="s">
        <v>3783</v>
      </c>
      <c r="B1116" s="6" t="str">
        <f>VLOOKUP(LD_01[[#This Row],[DOCUMENTO]],_xlfn.SORTBY(ARQUIVOS_RECEBIDOS!$E$2:$F$5010,ARQUIVOS_RECEBIDOS!$F$2:$F$5010,-1),2,)</f>
        <v>R01</v>
      </c>
      <c r="C1116" s="15" t="s">
        <v>5987</v>
      </c>
      <c r="D1116" s="6" t="s">
        <v>4320</v>
      </c>
      <c r="E1116" s="8" t="s">
        <v>4942</v>
      </c>
      <c r="F1116" s="8" t="s">
        <v>5989</v>
      </c>
      <c r="G1116" s="6" t="str">
        <f>_xlfn.XLOOKUP(LD_01[[#This Row],[DISCIPLINA]],'CLASSES DE PROJETOS'!$F$3:$F$37,'CLASSES DE PROJETOS'!$C$3:$C$37)</f>
        <v>ES</v>
      </c>
      <c r="H1116" t="str">
        <f>_xlfn.TEXTJOIN("/",TRUE,"MSV-163MS-"&amp;LD_01[[#This Row],[TRECHO]],_xlfn.XLOOKUP(LD_01[[#This Row],[SIGLA]],'CLASSES DE PROJETOS'!$C$3:$C$37,'CLASSES DE PROJETOS'!$E$3:$E$37))</f>
        <v>MSV-163MS-638-NORTE/16.ES</v>
      </c>
      <c r="I1116" s="6" t="str" cm="1">
        <f t="array" ref="I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J1116" s="6" t="str" cm="1">
        <f t="array" ref="J1116">_xlfn.TEXTJOIN(", ",TRUE,_xlfn.UNIQUE(_xlfn._xlws.FILTER(ARQUIVOS_RECEBIDOS!$F$2:$F$5010,ARQUIVOS_RECEBIDOS!$E$2:$E$5010=LD_01[[#This Row],[DOCUMENTO]])))</f>
        <v>R00, R01</v>
      </c>
      <c r="K1116" s="12" cm="1">
        <f t="array" ref="K1116">_xlfn.UNIQUE(_xlfn._xlws.FILTER(ARQUIVOS[DATA RECEBIMENTO],(ARQUIVOS[DOCUMENTO]=LD_01[[#This Row],[DOCUMENTO]])*(ARQUIVOS[REVISÃO]=LD_01[[#This Row],[REVISÃO]])))</f>
        <v>45931</v>
      </c>
      <c r="L11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M1116" s="6" t="str">
        <f>LD_01[[#This Row],[PASTA]]&amp;"/"&amp;LD_01[[#This Row],[ARQUIVO]]</f>
        <v>MSV-163MS-638-NORTE/16.ES/MSV-163MS-638+600-EDI-EXE-MC-L2-401-R01.pdf</v>
      </c>
    </row>
    <row r="1117" spans="1:13" ht="28.8" hidden="1" x14ac:dyDescent="0.3">
      <c r="A1117" s="6" t="s">
        <v>3784</v>
      </c>
      <c r="B1117" s="6" t="str">
        <f>VLOOKUP(LD_01[[#This Row],[DOCUMENTO]],_xlfn.SORTBY(ARQUIVOS_RECEBIDOS!$E$2:$F$5010,ARQUIVOS_RECEBIDOS!$F$2:$F$5010,-1),2,)</f>
        <v>R01</v>
      </c>
      <c r="C1117" s="15" t="s">
        <v>5987</v>
      </c>
      <c r="D1117" s="6" t="s">
        <v>4320</v>
      </c>
      <c r="E1117" s="8" t="s">
        <v>4943</v>
      </c>
      <c r="F1117" s="8" t="s">
        <v>5989</v>
      </c>
      <c r="G1117" s="6" t="str">
        <f>_xlfn.XLOOKUP(LD_01[[#This Row],[DISCIPLINA]],'CLASSES DE PROJETOS'!$F$3:$F$37,'CLASSES DE PROJETOS'!$C$3:$C$37)</f>
        <v>ES</v>
      </c>
      <c r="H1117" t="str">
        <f>_xlfn.TEXTJOIN("/",TRUE,"MSV-163MS-"&amp;LD_01[[#This Row],[TRECHO]],_xlfn.XLOOKUP(LD_01[[#This Row],[SIGLA]],'CLASSES DE PROJETOS'!$C$3:$C$37,'CLASSES DE PROJETOS'!$E$3:$E$37))</f>
        <v>MSV-163MS-638-NORTE/16.ES</v>
      </c>
      <c r="I1117" s="6" t="str" cm="1">
        <f t="array" ref="I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J1117" s="6" t="str" cm="1">
        <f t="array" ref="J1117">_xlfn.TEXTJOIN(", ",TRUE,_xlfn.UNIQUE(_xlfn._xlws.FILTER(ARQUIVOS_RECEBIDOS!$F$2:$F$5010,ARQUIVOS_RECEBIDOS!$E$2:$E$5010=LD_01[[#This Row],[DOCUMENTO]])))</f>
        <v>R00, R01</v>
      </c>
      <c r="K1117" s="12" cm="1">
        <f t="array" ref="K1117">_xlfn.UNIQUE(_xlfn._xlws.FILTER(ARQUIVOS[DATA RECEBIMENTO],(ARQUIVOS[DOCUMENTO]=LD_01[[#This Row],[DOCUMENTO]])*(ARQUIVOS[REVISÃO]=LD_01[[#This Row],[REVISÃO]])))</f>
        <v>45931</v>
      </c>
      <c r="L11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M1117" s="6" t="str">
        <f>LD_01[[#This Row],[PASTA]]&amp;"/"&amp;LD_01[[#This Row],[ARQUIVO]]</f>
        <v>MSV-163MS-638-NORTE/16.ES/MSV-163MS-638+600-EDI-EXE-MC-L2-501-R01.pdf</v>
      </c>
    </row>
    <row r="1118" spans="1:13" ht="28.8" hidden="1" x14ac:dyDescent="0.3">
      <c r="A1118" s="6" t="s">
        <v>3785</v>
      </c>
      <c r="B1118" s="6" t="str">
        <f>VLOOKUP(LD_01[[#This Row],[DOCUMENTO]],_xlfn.SORTBY(ARQUIVOS_RECEBIDOS!$E$2:$F$5010,ARQUIVOS_RECEBIDOS!$F$2:$F$5010,-1),2,)</f>
        <v>R01</v>
      </c>
      <c r="C1118" s="15" t="s">
        <v>5987</v>
      </c>
      <c r="D1118" s="6" t="s">
        <v>4320</v>
      </c>
      <c r="E1118" s="8" t="s">
        <v>4944</v>
      </c>
      <c r="F1118" s="8" t="s">
        <v>5989</v>
      </c>
      <c r="G1118" s="6" t="str">
        <f>_xlfn.XLOOKUP(LD_01[[#This Row],[DISCIPLINA]],'CLASSES DE PROJETOS'!$F$3:$F$37,'CLASSES DE PROJETOS'!$C$3:$C$37)</f>
        <v>ES</v>
      </c>
      <c r="H1118" t="str">
        <f>_xlfn.TEXTJOIN("/",TRUE,"MSV-163MS-"&amp;LD_01[[#This Row],[TRECHO]],_xlfn.XLOOKUP(LD_01[[#This Row],[SIGLA]],'CLASSES DE PROJETOS'!$C$3:$C$37,'CLASSES DE PROJETOS'!$E$3:$E$37))</f>
        <v>MSV-163MS-638-NORTE/16.ES</v>
      </c>
      <c r="I1118" s="6" t="str" cm="1">
        <f t="array" ref="I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J1118" s="6" t="str" cm="1">
        <f t="array" ref="J1118">_xlfn.TEXTJOIN(", ",TRUE,_xlfn.UNIQUE(_xlfn._xlws.FILTER(ARQUIVOS_RECEBIDOS!$F$2:$F$5010,ARQUIVOS_RECEBIDOS!$E$2:$E$5010=LD_01[[#This Row],[DOCUMENTO]])))</f>
        <v>R00, R01</v>
      </c>
      <c r="K1118" s="12" cm="1">
        <f t="array" ref="K1118">_xlfn.UNIQUE(_xlfn._xlws.FILTER(ARQUIVOS[DATA RECEBIMENTO],(ARQUIVOS[DOCUMENTO]=LD_01[[#This Row],[DOCUMENTO]])*(ARQUIVOS[REVISÃO]=LD_01[[#This Row],[REVISÃO]])))</f>
        <v>45931</v>
      </c>
      <c r="L11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M1118" s="6" t="str">
        <f>LD_01[[#This Row],[PASTA]]&amp;"/"&amp;LD_01[[#This Row],[ARQUIVO]]</f>
        <v>MSV-163MS-638-NORTE/16.ES/MSV-163MS-638+600-EDI-EXE-MC-L3-001-R01.pdf</v>
      </c>
    </row>
    <row r="1119" spans="1:13" ht="43.2" hidden="1" x14ac:dyDescent="0.3">
      <c r="A1119" s="6" t="s">
        <v>3812</v>
      </c>
      <c r="B1119" s="6" t="str">
        <f>VLOOKUP(LD_01[[#This Row],[DOCUMENTO]],_xlfn.SORTBY(ARQUIVOS_RECEBIDOS!$E$2:$F$5010,ARQUIVOS_RECEBIDOS!$F$2:$F$5010,-1),2,)</f>
        <v>R01</v>
      </c>
      <c r="C1119" s="15" t="s">
        <v>5987</v>
      </c>
      <c r="D1119" s="6" t="s">
        <v>4320</v>
      </c>
      <c r="E1119" s="8" t="s">
        <v>4812</v>
      </c>
      <c r="F1119" s="8" t="s">
        <v>4337</v>
      </c>
      <c r="G1119" s="6" t="str">
        <f>_xlfn.XLOOKUP(LD_01[[#This Row],[DISCIPLINA]],'CLASSES DE PROJETOS'!$F$3:$F$37,'CLASSES DE PROJETOS'!$C$3:$C$37)</f>
        <v>EL</v>
      </c>
      <c r="H1119" t="str">
        <f>_xlfn.TEXTJOIN("/",TRUE,"MSV-163MS-"&amp;LD_01[[#This Row],[TRECHO]],_xlfn.XLOOKUP(LD_01[[#This Row],[SIGLA]],'CLASSES DE PROJETOS'!$C$3:$C$37,'CLASSES DE PROJETOS'!$E$3:$E$37))</f>
        <v>MSV-163MS-638-NORTE/14.EL</v>
      </c>
      <c r="I1119" s="6" t="str" cm="1">
        <f t="array" ref="I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J1119" s="6" t="str" cm="1">
        <f t="array" ref="J1119">_xlfn.TEXTJOIN(", ",TRUE,_xlfn.UNIQUE(_xlfn._xlws.FILTER(ARQUIVOS_RECEBIDOS!$F$2:$F$5010,ARQUIVOS_RECEBIDOS!$E$2:$E$5010=LD_01[[#This Row],[DOCUMENTO]])))</f>
        <v>R00, R01</v>
      </c>
      <c r="K1119" s="12" cm="1">
        <f t="array" ref="K1119">_xlfn.UNIQUE(_xlfn._xlws.FILTER(ARQUIVOS[DATA RECEBIMENTO],(ARQUIVOS[DOCUMENTO]=LD_01[[#This Row],[DOCUMENTO]])*(ARQUIVOS[REVISÃO]=LD_01[[#This Row],[REVISÃO]])))</f>
        <v>45931</v>
      </c>
      <c r="L11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M1119" s="6" t="str">
        <f>LD_01[[#This Row],[PASTA]]&amp;"/"&amp;LD_01[[#This Row],[ARQUIVO]]</f>
        <v>MSV-163MS-638-NORTE/14.EL/MSV-163MS-638+600-EDI-EXE-MC-P2-101-R01.pdf</v>
      </c>
    </row>
    <row r="1120" spans="1:13" ht="28.8" hidden="1" x14ac:dyDescent="0.3">
      <c r="A1120" s="6" t="s">
        <v>3906</v>
      </c>
      <c r="B1120" s="6" t="str">
        <f>VLOOKUP(LD_01[[#This Row],[DOCUMENTO]],_xlfn.SORTBY(ARQUIVOS_RECEBIDOS!$E$2:$F$5010,ARQUIVOS_RECEBIDOS!$F$2:$F$5010,-1),2,)</f>
        <v>R01</v>
      </c>
      <c r="C1120" s="15" t="s">
        <v>5987</v>
      </c>
      <c r="D1120" s="6" t="s">
        <v>4320</v>
      </c>
      <c r="E1120" s="8" t="s">
        <v>4851</v>
      </c>
      <c r="F1120" s="8" t="s">
        <v>4340</v>
      </c>
      <c r="G1120" s="6" t="str">
        <f>_xlfn.XLOOKUP(LD_01[[#This Row],[DISCIPLINA]],'CLASSES DE PROJETOS'!$F$3:$F$37,'CLASSES DE PROJETOS'!$C$3:$C$37)</f>
        <v>HI</v>
      </c>
      <c r="H1120" t="str">
        <f>_xlfn.TEXTJOIN("/",TRUE,"MSV-163MS-"&amp;LD_01[[#This Row],[TRECHO]],_xlfn.XLOOKUP(LD_01[[#This Row],[SIGLA]],'CLASSES DE PROJETOS'!$C$3:$C$37,'CLASSES DE PROJETOS'!$E$3:$E$37))</f>
        <v>MSV-163MS-638-NORTE/21.HI</v>
      </c>
      <c r="I1120" s="6" t="str" cm="1">
        <f t="array" ref="I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J1120" s="6" t="str" cm="1">
        <f t="array" ref="J1120">_xlfn.TEXTJOIN(", ",TRUE,_xlfn.UNIQUE(_xlfn._xlws.FILTER(ARQUIVOS_RECEBIDOS!$F$2:$F$5010,ARQUIVOS_RECEBIDOS!$E$2:$E$5010=LD_01[[#This Row],[DOCUMENTO]])))</f>
        <v>R00, R01</v>
      </c>
      <c r="K1120" s="12" cm="1">
        <f t="array" ref="K1120">_xlfn.UNIQUE(_xlfn._xlws.FILTER(ARQUIVOS[DATA RECEBIMENTO],(ARQUIVOS[DOCUMENTO]=LD_01[[#This Row],[DOCUMENTO]])*(ARQUIVOS[REVISÃO]=LD_01[[#This Row],[REVISÃO]])))</f>
        <v>45931</v>
      </c>
      <c r="L11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M1120" s="6" t="str">
        <f>LD_01[[#This Row],[PASTA]]&amp;"/"&amp;LD_01[[#This Row],[ARQUIVO]]</f>
        <v>MSV-163MS-638-NORTE/21.HI/MSV-163MS-638+600-EDI-EXE-MC-P3-001-R01.pdf</v>
      </c>
    </row>
    <row r="1121" spans="1:13" ht="28.8" hidden="1" x14ac:dyDescent="0.3">
      <c r="A1121" s="6" t="s">
        <v>3822</v>
      </c>
      <c r="B1121" s="6" t="str">
        <f>VLOOKUP(LD_01[[#This Row],[DOCUMENTO]],_xlfn.SORTBY(ARQUIVOS_RECEBIDOS!$E$2:$F$5010,ARQUIVOS_RECEBIDOS!$F$2:$F$5010,-1),2,)</f>
        <v>R02</v>
      </c>
      <c r="C1121" s="15" t="s">
        <v>5987</v>
      </c>
      <c r="D1121" s="6" t="s">
        <v>4320</v>
      </c>
      <c r="E1121" s="8" t="s">
        <v>4822</v>
      </c>
      <c r="F1121" s="8" t="s">
        <v>4332</v>
      </c>
      <c r="G1121" s="6" t="str">
        <f>_xlfn.XLOOKUP(LD_01[[#This Row],[DISCIPLINA]],'CLASSES DE PROJETOS'!$F$3:$F$37,'CLASSES DE PROJETOS'!$C$3:$C$37)</f>
        <v>GG</v>
      </c>
      <c r="H1121" t="str">
        <f>_xlfn.TEXTJOIN("/",TRUE,"MSV-163MS-"&amp;LD_01[[#This Row],[TRECHO]],_xlfn.XLOOKUP(LD_01[[#This Row],[SIGLA]],'CLASSES DE PROJETOS'!$C$3:$C$37,'CLASSES DE PROJETOS'!$E$3:$E$37))</f>
        <v>MSV-163MS-638-NORTE/19.GG</v>
      </c>
      <c r="I1121" s="6" t="str" cm="1">
        <f t="array" ref="I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J1121" s="6" t="str" cm="1">
        <f t="array" ref="J1121">_xlfn.TEXTJOIN(", ",TRUE,_xlfn.UNIQUE(_xlfn._xlws.FILTER(ARQUIVOS_RECEBIDOS!$F$2:$F$5010,ARQUIVOS_RECEBIDOS!$E$2:$E$5010=LD_01[[#This Row],[DOCUMENTO]])))</f>
        <v>R01, R02</v>
      </c>
      <c r="K1121" s="12" cm="1">
        <f t="array" ref="K1121">_xlfn.UNIQUE(_xlfn._xlws.FILTER(ARQUIVOS[DATA RECEBIMENTO],(ARQUIVOS[DOCUMENTO]=LD_01[[#This Row],[DOCUMENTO]])*(ARQUIVOS[REVISÃO]=LD_01[[#This Row],[REVISÃO]])))</f>
        <v>45931</v>
      </c>
      <c r="L11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M1121" s="6" t="str">
        <f>LD_01[[#This Row],[PASTA]]&amp;"/"&amp;LD_01[[#This Row],[ARQUIVO]]</f>
        <v>MSV-163MS-638-NORTE/19.GG/MSV-163MS-638+600-EDI-EXE-MD-D3-001-R02.pdf</v>
      </c>
    </row>
    <row r="1122" spans="1:13" ht="43.2" hidden="1" x14ac:dyDescent="0.3">
      <c r="A1122" s="6" t="s">
        <v>3823</v>
      </c>
      <c r="B1122" s="6" t="str">
        <f>VLOOKUP(LD_01[[#This Row],[DOCUMENTO]],_xlfn.SORTBY(ARQUIVOS_RECEBIDOS!$E$2:$F$5010,ARQUIVOS_RECEBIDOS!$F$2:$F$5010,-1),2,)</f>
        <v>R01</v>
      </c>
      <c r="C1122" s="15" t="s">
        <v>5987</v>
      </c>
      <c r="D1122" s="6" t="s">
        <v>4320</v>
      </c>
      <c r="E1122" s="8" t="s">
        <v>4823</v>
      </c>
      <c r="F1122" s="8" t="s">
        <v>4332</v>
      </c>
      <c r="G1122" s="6" t="str">
        <f>_xlfn.XLOOKUP(LD_01[[#This Row],[DISCIPLINA]],'CLASSES DE PROJETOS'!$F$3:$F$37,'CLASSES DE PROJETOS'!$C$3:$C$37)</f>
        <v>GG</v>
      </c>
      <c r="H1122" t="str">
        <f>_xlfn.TEXTJOIN("/",TRUE,"MSV-163MS-"&amp;LD_01[[#This Row],[TRECHO]],_xlfn.XLOOKUP(LD_01[[#This Row],[SIGLA]],'CLASSES DE PROJETOS'!$C$3:$C$37,'CLASSES DE PROJETOS'!$E$3:$E$37))</f>
        <v>MSV-163MS-638-NORTE/19.GG</v>
      </c>
      <c r="I1122" s="6" t="str" cm="1">
        <f t="array" ref="I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J1122" s="6" t="str" cm="1">
        <f t="array" ref="J1122">_xlfn.TEXTJOIN(", ",TRUE,_xlfn.UNIQUE(_xlfn._xlws.FILTER(ARQUIVOS_RECEBIDOS!$F$2:$F$5010,ARQUIVOS_RECEBIDOS!$E$2:$E$5010=LD_01[[#This Row],[DOCUMENTO]])))</f>
        <v>R00, R01</v>
      </c>
      <c r="K1122" s="12" cm="1">
        <f t="array" ref="K1122">_xlfn.UNIQUE(_xlfn._xlws.FILTER(ARQUIVOS[DATA RECEBIMENTO],(ARQUIVOS[DOCUMENTO]=LD_01[[#This Row],[DOCUMENTO]])*(ARQUIVOS[REVISÃO]=LD_01[[#This Row],[REVISÃO]])))</f>
        <v>45931</v>
      </c>
      <c r="L11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M1122" s="6" t="str">
        <f>LD_01[[#This Row],[PASTA]]&amp;"/"&amp;LD_01[[#This Row],[ARQUIVO]]</f>
        <v>MSV-163MS-638-NORTE/19.GG/MSV-163MS-638+600-EDI-EXE-MD-D3-101-R01.pdf</v>
      </c>
    </row>
    <row r="1123" spans="1:13" ht="28.8" hidden="1" x14ac:dyDescent="0.3">
      <c r="A1123" s="6" t="s">
        <v>3731</v>
      </c>
      <c r="B1123" s="6" t="str">
        <f>VLOOKUP(LD_01[[#This Row],[DOCUMENTO]],_xlfn.SORTBY(ARQUIVOS_RECEBIDOS!$E$2:$F$5010,ARQUIVOS_RECEBIDOS!$F$2:$F$5010,-1),2,)</f>
        <v>R01</v>
      </c>
      <c r="C1123" s="15" t="s">
        <v>5987</v>
      </c>
      <c r="D1123" s="6" t="s">
        <v>4320</v>
      </c>
      <c r="E1123" s="8" t="s">
        <v>4912</v>
      </c>
      <c r="F1123" s="8" t="s">
        <v>4142</v>
      </c>
      <c r="G1123" s="6" t="str">
        <f>_xlfn.XLOOKUP(LD_01[[#This Row],[DISCIPLINA]],'CLASSES DE PROJETOS'!$F$3:$F$37,'CLASSES DE PROJETOS'!$C$3:$C$37)</f>
        <v>DR</v>
      </c>
      <c r="H1123" t="str">
        <f>_xlfn.TEXTJOIN("/",TRUE,"MSV-163MS-"&amp;LD_01[[#This Row],[TRECHO]],_xlfn.XLOOKUP(LD_01[[#This Row],[SIGLA]],'CLASSES DE PROJETOS'!$C$3:$C$37,'CLASSES DE PROJETOS'!$E$3:$E$37))</f>
        <v>MSV-163MS-638-NORTE/10.DR</v>
      </c>
      <c r="I1123" s="6" t="str" cm="1">
        <f t="array" ref="I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J1123" s="6" t="str" cm="1">
        <f t="array" ref="J1123">_xlfn.TEXTJOIN(", ",TRUE,_xlfn.UNIQUE(_xlfn._xlws.FILTER(ARQUIVOS_RECEBIDOS!$F$2:$F$5010,ARQUIVOS_RECEBIDOS!$E$2:$E$5010=LD_01[[#This Row],[DOCUMENTO]])))</f>
        <v>R00, R01</v>
      </c>
      <c r="K1123" s="12" cm="1">
        <f t="array" ref="K1123">_xlfn.UNIQUE(_xlfn._xlws.FILTER(ARQUIVOS[DATA RECEBIMENTO],(ARQUIVOS[DOCUMENTO]=LD_01[[#This Row],[DOCUMENTO]])*(ARQUIVOS[REVISÃO]=LD_01[[#This Row],[REVISÃO]])))</f>
        <v>45895</v>
      </c>
      <c r="L11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M1123" s="6" t="str">
        <f>LD_01[[#This Row],[PASTA]]&amp;"/"&amp;LD_01[[#This Row],[ARQUIVO]]</f>
        <v>MSV-163MS-638-NORTE/10.DR/MSV-163MS-638+600-EDI-EXE-MD-H1-001-R01.pdf</v>
      </c>
    </row>
    <row r="1124" spans="1:13" ht="43.2" x14ac:dyDescent="0.3">
      <c r="A1124" s="29" t="s">
        <v>3813</v>
      </c>
      <c r="B1124" s="6" t="str">
        <f>VLOOKUP(LD_01[[#This Row],[DOCUMENTO]],_xlfn.SORTBY(ARQUIVOS_RECEBIDOS!$E$2:$F$5010,ARQUIVOS_RECEBIDOS!$F$2:$F$5010,-1),2,)</f>
        <v>R05</v>
      </c>
      <c r="C1124" s="15" t="s">
        <v>5987</v>
      </c>
      <c r="D1124" s="6" t="s">
        <v>4320</v>
      </c>
      <c r="E1124" s="8" t="s">
        <v>4813</v>
      </c>
      <c r="F1124" s="8" t="s">
        <v>4337</v>
      </c>
      <c r="G1124" s="6" t="str">
        <f>_xlfn.XLOOKUP(LD_01[[#This Row],[DISCIPLINA]],'CLASSES DE PROJETOS'!$F$3:$F$37,'CLASSES DE PROJETOS'!$C$3:$C$37)</f>
        <v>EL</v>
      </c>
      <c r="H1124" t="str">
        <f>_xlfn.TEXTJOIN("/",TRUE,"MSV-163MS-"&amp;LD_01[[#This Row],[TRECHO]],_xlfn.XLOOKUP(LD_01[[#This Row],[SIGLA]],'CLASSES DE PROJETOS'!$C$3:$C$37,'CLASSES DE PROJETOS'!$E$3:$E$37))</f>
        <v>MSV-163MS-638-NORTE/14.EL</v>
      </c>
      <c r="I1124" s="6" t="str" cm="1">
        <f t="array" ref="I1124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J1124" s="6" t="str" cm="1">
        <f t="array" ref="J1124">_xlfn.TEXTJOIN(", ",TRUE,_xlfn.UNIQUE(_xlfn._xlws.FILTER(ARQUIVOS_RECEBIDOS!$F$2:$F$5010,ARQUIVOS_RECEBIDOS!$E$2:$E$5010=LD_01[[#This Row],[DOCUMENTO]])))</f>
        <v>R01, R03, R05</v>
      </c>
      <c r="K1124" s="12" cm="1">
        <f t="array" ref="K1124">_xlfn.UNIQUE(_xlfn._xlws.FILTER(ARQUIVOS[DATA RECEBIMENTO],(ARQUIVOS[DOCUMENTO]=LD_01[[#This Row],[DOCUMENTO]])*(ARQUIVOS[REVISÃO]=LD_01[[#This Row],[REVISÃO]])))</f>
        <v>46189</v>
      </c>
      <c r="L11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M1124" s="6" t="str">
        <f>LD_01[[#This Row],[PASTA]]&amp;"/"&amp;LD_01[[#This Row],[ARQUIVO]]</f>
        <v>MSV-163MS-638-NORTE/14.EL/MSV-163MS-638+600-EDI-EXE-MD-K2-001-R05.pdf</v>
      </c>
    </row>
    <row r="1125" spans="1:13" ht="28.8" hidden="1" x14ac:dyDescent="0.3">
      <c r="A1125" s="6" t="s">
        <v>3879</v>
      </c>
      <c r="B1125" s="6" t="str">
        <f>VLOOKUP(LD_01[[#This Row],[DOCUMENTO]],_xlfn.SORTBY(ARQUIVOS_RECEBIDOS!$E$2:$F$5010,ARQUIVOS_RECEBIDOS!$F$2:$F$5010,-1),2,)</f>
        <v>R01</v>
      </c>
      <c r="C1125" s="15" t="s">
        <v>5987</v>
      </c>
      <c r="D1125" s="6" t="s">
        <v>4320</v>
      </c>
      <c r="E1125" s="8" t="s">
        <v>4230</v>
      </c>
      <c r="F1125" s="8" t="s">
        <v>4339</v>
      </c>
      <c r="G1125" s="6" t="str">
        <f>_xlfn.XLOOKUP(LD_01[[#This Row],[DISCIPLINA]],'CLASSES DE PROJETOS'!$F$3:$F$37,'CLASSES DE PROJETOS'!$C$3:$C$37)</f>
        <v>AQ</v>
      </c>
      <c r="H1125" t="str">
        <f>_xlfn.TEXTJOIN("/",TRUE,"MSV-163MS-"&amp;LD_01[[#This Row],[TRECHO]],_xlfn.XLOOKUP(LD_01[[#This Row],[SIGLA]],'CLASSES DE PROJETOS'!$C$3:$C$37,'CLASSES DE PROJETOS'!$E$3:$E$37))</f>
        <v>MSV-163MS-638-NORTE/03.AQ</v>
      </c>
      <c r="I1125" s="6" t="str" cm="1">
        <f t="array" ref="I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J1125" s="6" t="str" cm="1">
        <f t="array" ref="J1125">_xlfn.TEXTJOIN(", ",TRUE,_xlfn.UNIQUE(_xlfn._xlws.FILTER(ARQUIVOS_RECEBIDOS!$F$2:$F$5010,ARQUIVOS_RECEBIDOS!$E$2:$E$5010=LD_01[[#This Row],[DOCUMENTO]])))</f>
        <v>R00, R01</v>
      </c>
      <c r="K1125" s="12" cm="1">
        <f t="array" ref="K1125">_xlfn.UNIQUE(_xlfn._xlws.FILTER(ARQUIVOS[DATA RECEBIMENTO],(ARQUIVOS[DOCUMENTO]=LD_01[[#This Row],[DOCUMENTO]])*(ARQUIVOS[REVISÃO]=LD_01[[#This Row],[REVISÃO]])))</f>
        <v>45931</v>
      </c>
      <c r="L11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M1125" s="6" t="str">
        <f>LD_01[[#This Row],[PASTA]]&amp;"/"&amp;LD_01[[#This Row],[ARQUIVO]]</f>
        <v>MSV-163MS-638-NORTE/03.AQ/MSV-163MS-638+600-EDI-EXE-MD-P1-001-R01.pdf</v>
      </c>
    </row>
    <row r="1126" spans="1:13" ht="28.8" hidden="1" x14ac:dyDescent="0.3">
      <c r="A1126" s="6" t="s">
        <v>3880</v>
      </c>
      <c r="B1126" s="6" t="str">
        <f>VLOOKUP(LD_01[[#This Row],[DOCUMENTO]],_xlfn.SORTBY(ARQUIVOS_RECEBIDOS!$E$2:$F$5010,ARQUIVOS_RECEBIDOS!$F$2:$F$5010,-1),2,)</f>
        <v>R01</v>
      </c>
      <c r="C1126" s="15" t="s">
        <v>5987</v>
      </c>
      <c r="D1126" s="6" t="s">
        <v>4320</v>
      </c>
      <c r="E1126" s="8" t="s">
        <v>4231</v>
      </c>
      <c r="F1126" s="8" t="s">
        <v>4339</v>
      </c>
      <c r="G1126" s="6" t="str">
        <f>_xlfn.XLOOKUP(LD_01[[#This Row],[DISCIPLINA]],'CLASSES DE PROJETOS'!$F$3:$F$37,'CLASSES DE PROJETOS'!$C$3:$C$37)</f>
        <v>AQ</v>
      </c>
      <c r="H1126" t="str">
        <f>_xlfn.TEXTJOIN("/",TRUE,"MSV-163MS-"&amp;LD_01[[#This Row],[TRECHO]],_xlfn.XLOOKUP(LD_01[[#This Row],[SIGLA]],'CLASSES DE PROJETOS'!$C$3:$C$37,'CLASSES DE PROJETOS'!$E$3:$E$37))</f>
        <v>MSV-163MS-638-NORTE/03.AQ</v>
      </c>
      <c r="I1126" s="6" t="str" cm="1">
        <f t="array" ref="I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J1126" s="6" t="str" cm="1">
        <f t="array" ref="J1126">_xlfn.TEXTJOIN(", ",TRUE,_xlfn.UNIQUE(_xlfn._xlws.FILTER(ARQUIVOS_RECEBIDOS!$F$2:$F$5010,ARQUIVOS_RECEBIDOS!$E$2:$E$5010=LD_01[[#This Row],[DOCUMENTO]])))</f>
        <v>R00, R01</v>
      </c>
      <c r="K1126" s="12" cm="1">
        <f t="array" ref="K1126">_xlfn.UNIQUE(_xlfn._xlws.FILTER(ARQUIVOS[DATA RECEBIMENTO],(ARQUIVOS[DOCUMENTO]=LD_01[[#This Row],[DOCUMENTO]])*(ARQUIVOS[REVISÃO]=LD_01[[#This Row],[REVISÃO]])))</f>
        <v>45931</v>
      </c>
      <c r="L11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M1126" s="6" t="str">
        <f>LD_01[[#This Row],[PASTA]]&amp;"/"&amp;LD_01[[#This Row],[ARQUIVO]]</f>
        <v>MSV-163MS-638-NORTE/03.AQ/MSV-163MS-638+600-EDI-EXE-MD-P1-101-R01.pdf</v>
      </c>
    </row>
    <row r="1127" spans="1:13" ht="28.8" hidden="1" x14ac:dyDescent="0.3">
      <c r="A1127" s="6" t="s">
        <v>3881</v>
      </c>
      <c r="B1127" s="6" t="str">
        <f>VLOOKUP(LD_01[[#This Row],[DOCUMENTO]],_xlfn.SORTBY(ARQUIVOS_RECEBIDOS!$E$2:$F$5010,ARQUIVOS_RECEBIDOS!$F$2:$F$5010,-1),2,)</f>
        <v>R01</v>
      </c>
      <c r="C1127" s="15" t="s">
        <v>5987</v>
      </c>
      <c r="D1127" s="6" t="s">
        <v>4320</v>
      </c>
      <c r="E1127" s="8" t="s">
        <v>4232</v>
      </c>
      <c r="F1127" s="8" t="s">
        <v>4339</v>
      </c>
      <c r="G1127" s="6" t="str">
        <f>_xlfn.XLOOKUP(LD_01[[#This Row],[DISCIPLINA]],'CLASSES DE PROJETOS'!$F$3:$F$37,'CLASSES DE PROJETOS'!$C$3:$C$37)</f>
        <v>AQ</v>
      </c>
      <c r="H1127" t="str">
        <f>_xlfn.TEXTJOIN("/",TRUE,"MSV-163MS-"&amp;LD_01[[#This Row],[TRECHO]],_xlfn.XLOOKUP(LD_01[[#This Row],[SIGLA]],'CLASSES DE PROJETOS'!$C$3:$C$37,'CLASSES DE PROJETOS'!$E$3:$E$37))</f>
        <v>MSV-163MS-638-NORTE/03.AQ</v>
      </c>
      <c r="I1127" s="6" t="str" cm="1">
        <f t="array" ref="I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J1127" s="6" t="str" cm="1">
        <f t="array" ref="J1127">_xlfn.TEXTJOIN(", ",TRUE,_xlfn.UNIQUE(_xlfn._xlws.FILTER(ARQUIVOS_RECEBIDOS!$F$2:$F$5010,ARQUIVOS_RECEBIDOS!$E$2:$E$5010=LD_01[[#This Row],[DOCUMENTO]])))</f>
        <v>R00, R01</v>
      </c>
      <c r="K1127" s="12" cm="1">
        <f t="array" ref="K1127">_xlfn.UNIQUE(_xlfn._xlws.FILTER(ARQUIVOS[DATA RECEBIMENTO],(ARQUIVOS[DOCUMENTO]=LD_01[[#This Row],[DOCUMENTO]])*(ARQUIVOS[REVISÃO]=LD_01[[#This Row],[REVISÃO]])))</f>
        <v>45931</v>
      </c>
      <c r="L11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M1127" s="6" t="str">
        <f>LD_01[[#This Row],[PASTA]]&amp;"/"&amp;LD_01[[#This Row],[ARQUIVO]]</f>
        <v>MSV-163MS-638-NORTE/03.AQ/MSV-163MS-638+600-EDI-EXE-MD-P1-201-R01.pdf</v>
      </c>
    </row>
    <row r="1128" spans="1:13" ht="28.8" hidden="1" x14ac:dyDescent="0.3">
      <c r="A1128" s="6" t="s">
        <v>3882</v>
      </c>
      <c r="B1128" s="6" t="str">
        <f>VLOOKUP(LD_01[[#This Row],[DOCUMENTO]],_xlfn.SORTBY(ARQUIVOS_RECEBIDOS!$E$2:$F$5010,ARQUIVOS_RECEBIDOS!$F$2:$F$5010,-1),2,)</f>
        <v>R01</v>
      </c>
      <c r="C1128" s="15" t="s">
        <v>5987</v>
      </c>
      <c r="D1128" s="6" t="s">
        <v>4320</v>
      </c>
      <c r="E1128" s="8" t="s">
        <v>4233</v>
      </c>
      <c r="F1128" s="8" t="s">
        <v>4339</v>
      </c>
      <c r="G1128" s="6" t="str">
        <f>_xlfn.XLOOKUP(LD_01[[#This Row],[DISCIPLINA]],'CLASSES DE PROJETOS'!$F$3:$F$37,'CLASSES DE PROJETOS'!$C$3:$C$37)</f>
        <v>AQ</v>
      </c>
      <c r="H1128" t="str">
        <f>_xlfn.TEXTJOIN("/",TRUE,"MSV-163MS-"&amp;LD_01[[#This Row],[TRECHO]],_xlfn.XLOOKUP(LD_01[[#This Row],[SIGLA]],'CLASSES DE PROJETOS'!$C$3:$C$37,'CLASSES DE PROJETOS'!$E$3:$E$37))</f>
        <v>MSV-163MS-638-NORTE/03.AQ</v>
      </c>
      <c r="I1128" s="6" t="str" cm="1">
        <f t="array" ref="I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J1128" s="6" t="str" cm="1">
        <f t="array" ref="J1128">_xlfn.TEXTJOIN(", ",TRUE,_xlfn.UNIQUE(_xlfn._xlws.FILTER(ARQUIVOS_RECEBIDOS!$F$2:$F$5010,ARQUIVOS_RECEBIDOS!$E$2:$E$5010=LD_01[[#This Row],[DOCUMENTO]])))</f>
        <v>R00, R01</v>
      </c>
      <c r="K1128" s="12" cm="1">
        <f t="array" ref="K1128">_xlfn.UNIQUE(_xlfn._xlws.FILTER(ARQUIVOS[DATA RECEBIMENTO],(ARQUIVOS[DOCUMENTO]=LD_01[[#This Row],[DOCUMENTO]])*(ARQUIVOS[REVISÃO]=LD_01[[#This Row],[REVISÃO]])))</f>
        <v>45931</v>
      </c>
      <c r="L11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M1128" s="6" t="str">
        <f>LD_01[[#This Row],[PASTA]]&amp;"/"&amp;LD_01[[#This Row],[ARQUIVO]]</f>
        <v>MSV-163MS-638-NORTE/03.AQ/MSV-163MS-638+600-EDI-EXE-MD-P1-301-R01.pdf</v>
      </c>
    </row>
    <row r="1129" spans="1:13" ht="28.8" hidden="1" x14ac:dyDescent="0.3">
      <c r="A1129" s="6" t="s">
        <v>3883</v>
      </c>
      <c r="B1129" s="6" t="str">
        <f>VLOOKUP(LD_01[[#This Row],[DOCUMENTO]],_xlfn.SORTBY(ARQUIVOS_RECEBIDOS!$E$2:$F$5010,ARQUIVOS_RECEBIDOS!$F$2:$F$5010,-1),2,)</f>
        <v>R01</v>
      </c>
      <c r="C1129" s="15" t="s">
        <v>5987</v>
      </c>
      <c r="D1129" s="6" t="s">
        <v>4320</v>
      </c>
      <c r="E1129" s="8" t="s">
        <v>4234</v>
      </c>
      <c r="F1129" s="8" t="s">
        <v>4339</v>
      </c>
      <c r="G1129" s="6" t="str">
        <f>_xlfn.XLOOKUP(LD_01[[#This Row],[DISCIPLINA]],'CLASSES DE PROJETOS'!$F$3:$F$37,'CLASSES DE PROJETOS'!$C$3:$C$37)</f>
        <v>AQ</v>
      </c>
      <c r="H1129" t="str">
        <f>_xlfn.TEXTJOIN("/",TRUE,"MSV-163MS-"&amp;LD_01[[#This Row],[TRECHO]],_xlfn.XLOOKUP(LD_01[[#This Row],[SIGLA]],'CLASSES DE PROJETOS'!$C$3:$C$37,'CLASSES DE PROJETOS'!$E$3:$E$37))</f>
        <v>MSV-163MS-638-NORTE/03.AQ</v>
      </c>
      <c r="I1129" s="6" t="str" cm="1">
        <f t="array" ref="I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J1129" s="6" t="str" cm="1">
        <f t="array" ref="J1129">_xlfn.TEXTJOIN(", ",TRUE,_xlfn.UNIQUE(_xlfn._xlws.FILTER(ARQUIVOS_RECEBIDOS!$F$2:$F$5010,ARQUIVOS_RECEBIDOS!$E$2:$E$5010=LD_01[[#This Row],[DOCUMENTO]])))</f>
        <v>R00, R01</v>
      </c>
      <c r="K1129" s="12" cm="1">
        <f t="array" ref="K1129">_xlfn.UNIQUE(_xlfn._xlws.FILTER(ARQUIVOS[DATA RECEBIMENTO],(ARQUIVOS[DOCUMENTO]=LD_01[[#This Row],[DOCUMENTO]])*(ARQUIVOS[REVISÃO]=LD_01[[#This Row],[REVISÃO]])))</f>
        <v>45931</v>
      </c>
      <c r="L11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M1129" s="6" t="str">
        <f>LD_01[[#This Row],[PASTA]]&amp;"/"&amp;LD_01[[#This Row],[ARQUIVO]]</f>
        <v>MSV-163MS-638-NORTE/03.AQ/MSV-163MS-638+600-EDI-EXE-MD-P1-401-R01.pdf</v>
      </c>
    </row>
    <row r="1130" spans="1:13" ht="43.2" hidden="1" x14ac:dyDescent="0.3">
      <c r="A1130" s="6" t="s">
        <v>3814</v>
      </c>
      <c r="B1130" s="6" t="str">
        <f>VLOOKUP(LD_01[[#This Row],[DOCUMENTO]],_xlfn.SORTBY(ARQUIVOS_RECEBIDOS!$E$2:$F$5010,ARQUIVOS_RECEBIDOS!$F$2:$F$5010,-1),2,)</f>
        <v>R01</v>
      </c>
      <c r="C1130" s="15" t="s">
        <v>5987</v>
      </c>
      <c r="D1130" s="6" t="s">
        <v>4320</v>
      </c>
      <c r="E1130" s="8" t="s">
        <v>4817</v>
      </c>
      <c r="F1130" s="8" t="s">
        <v>4337</v>
      </c>
      <c r="G1130" s="6" t="str">
        <f>_xlfn.XLOOKUP(LD_01[[#This Row],[DISCIPLINA]],'CLASSES DE PROJETOS'!$F$3:$F$37,'CLASSES DE PROJETOS'!$C$3:$C$37)</f>
        <v>EL</v>
      </c>
      <c r="H1130" t="str">
        <f>_xlfn.TEXTJOIN("/",TRUE,"MSV-163MS-"&amp;LD_01[[#This Row],[TRECHO]],_xlfn.XLOOKUP(LD_01[[#This Row],[SIGLA]],'CLASSES DE PROJETOS'!$C$3:$C$37,'CLASSES DE PROJETOS'!$E$3:$E$37))</f>
        <v>MSV-163MS-638-NORTE/14.EL</v>
      </c>
      <c r="I1130" s="6" t="str" cm="1">
        <f t="array" ref="I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J1130" s="6" t="str" cm="1">
        <f t="array" ref="J1130">_xlfn.TEXTJOIN(", ",TRUE,_xlfn.UNIQUE(_xlfn._xlws.FILTER(ARQUIVOS_RECEBIDOS!$F$2:$F$5010,ARQUIVOS_RECEBIDOS!$E$2:$E$5010=LD_01[[#This Row],[DOCUMENTO]])))</f>
        <v>R00, R01</v>
      </c>
      <c r="K1130" s="12" cm="1">
        <f t="array" ref="K1130">_xlfn.UNIQUE(_xlfn._xlws.FILTER(ARQUIVOS[DATA RECEBIMENTO],(ARQUIVOS[DOCUMENTO]=LD_01[[#This Row],[DOCUMENTO]])*(ARQUIVOS[REVISÃO]=LD_01[[#This Row],[REVISÃO]])))</f>
        <v>45931</v>
      </c>
      <c r="L11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M1130" s="6" t="str">
        <f>LD_01[[#This Row],[PASTA]]&amp;"/"&amp;LD_01[[#This Row],[ARQUIVO]]</f>
        <v>MSV-163MS-638-NORTE/14.EL/MSV-163MS-638+600-EDI-EXE-MD-P2-101-R01.pdf</v>
      </c>
    </row>
    <row r="1131" spans="1:13" ht="43.2" hidden="1" x14ac:dyDescent="0.3">
      <c r="A1131" s="6" t="s">
        <v>3815</v>
      </c>
      <c r="B1131" s="6" t="str">
        <f>VLOOKUP(LD_01[[#This Row],[DOCUMENTO]],_xlfn.SORTBY(ARQUIVOS_RECEBIDOS!$E$2:$F$5010,ARQUIVOS_RECEBIDOS!$F$2:$F$5010,-1),2,)</f>
        <v>R00</v>
      </c>
      <c r="C1131" s="15" t="s">
        <v>5987</v>
      </c>
      <c r="D1131" s="6" t="s">
        <v>4320</v>
      </c>
      <c r="E1131" s="8" t="s">
        <v>4816</v>
      </c>
      <c r="F1131" s="8" t="s">
        <v>4337</v>
      </c>
      <c r="G1131" s="6" t="str">
        <f>_xlfn.XLOOKUP(LD_01[[#This Row],[DISCIPLINA]],'CLASSES DE PROJETOS'!$F$3:$F$37,'CLASSES DE PROJETOS'!$C$3:$C$37)</f>
        <v>EL</v>
      </c>
      <c r="H1131" t="str">
        <f>_xlfn.TEXTJOIN("/",TRUE,"MSV-163MS-"&amp;LD_01[[#This Row],[TRECHO]],_xlfn.XLOOKUP(LD_01[[#This Row],[SIGLA]],'CLASSES DE PROJETOS'!$C$3:$C$37,'CLASSES DE PROJETOS'!$E$3:$E$37))</f>
        <v>MSV-163MS-638-NORTE/14.EL</v>
      </c>
      <c r="I1131" s="6" t="str" cm="1">
        <f t="array" ref="I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J1131" s="6" t="str" cm="1">
        <f t="array" ref="J1131">_xlfn.TEXTJOIN(", ",TRUE,_xlfn.UNIQUE(_xlfn._xlws.FILTER(ARQUIVOS_RECEBIDOS!$F$2:$F$5010,ARQUIVOS_RECEBIDOS!$E$2:$E$5010=LD_01[[#This Row],[DOCUMENTO]])))</f>
        <v>R00</v>
      </c>
      <c r="K1131" s="12" cm="1">
        <f t="array" ref="K1131">_xlfn.UNIQUE(_xlfn._xlws.FILTER(ARQUIVOS[DATA RECEBIMENTO],(ARQUIVOS[DOCUMENTO]=LD_01[[#This Row],[DOCUMENTO]])*(ARQUIVOS[REVISÃO]=LD_01[[#This Row],[REVISÃO]])))</f>
        <v>45838</v>
      </c>
      <c r="L11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M1131" s="6" t="str">
        <f>LD_01[[#This Row],[PASTA]]&amp;"/"&amp;LD_01[[#This Row],[ARQUIVO]]</f>
        <v>MSV-163MS-638-NORTE/14.EL/MSV-163MS-638+600-EDI-EXE-MD-P2-201-R00.pdf</v>
      </c>
    </row>
    <row r="1132" spans="1:13" ht="43.2" hidden="1" x14ac:dyDescent="0.3">
      <c r="A1132" s="6" t="s">
        <v>3816</v>
      </c>
      <c r="B1132" s="6" t="str">
        <f>VLOOKUP(LD_01[[#This Row],[DOCUMENTO]],_xlfn.SORTBY(ARQUIVOS_RECEBIDOS!$E$2:$F$5010,ARQUIVOS_RECEBIDOS!$F$2:$F$5010,-1),2,)</f>
        <v>R00</v>
      </c>
      <c r="C1132" s="15" t="s">
        <v>5987</v>
      </c>
      <c r="D1132" s="6" t="s">
        <v>4320</v>
      </c>
      <c r="E1132" s="8" t="s">
        <v>4818</v>
      </c>
      <c r="F1132" s="8" t="s">
        <v>4337</v>
      </c>
      <c r="G1132" s="6" t="str">
        <f>_xlfn.XLOOKUP(LD_01[[#This Row],[DISCIPLINA]],'CLASSES DE PROJETOS'!$F$3:$F$37,'CLASSES DE PROJETOS'!$C$3:$C$37)</f>
        <v>EL</v>
      </c>
      <c r="H1132" t="str">
        <f>_xlfn.TEXTJOIN("/",TRUE,"MSV-163MS-"&amp;LD_01[[#This Row],[TRECHO]],_xlfn.XLOOKUP(LD_01[[#This Row],[SIGLA]],'CLASSES DE PROJETOS'!$C$3:$C$37,'CLASSES DE PROJETOS'!$E$3:$E$37))</f>
        <v>MSV-163MS-638-NORTE/14.EL</v>
      </c>
      <c r="I1132" s="6" t="str" cm="1">
        <f t="array" ref="I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J1132" s="6" t="str" cm="1">
        <f t="array" ref="J1132">_xlfn.TEXTJOIN(", ",TRUE,_xlfn.UNIQUE(_xlfn._xlws.FILTER(ARQUIVOS_RECEBIDOS!$F$2:$F$5010,ARQUIVOS_RECEBIDOS!$E$2:$E$5010=LD_01[[#This Row],[DOCUMENTO]])))</f>
        <v>R00</v>
      </c>
      <c r="K1132" s="12" cm="1">
        <f t="array" ref="K1132">_xlfn.UNIQUE(_xlfn._xlws.FILTER(ARQUIVOS[DATA RECEBIMENTO],(ARQUIVOS[DOCUMENTO]=LD_01[[#This Row],[DOCUMENTO]])*(ARQUIVOS[REVISÃO]=LD_01[[#This Row],[REVISÃO]])))</f>
        <v>45838</v>
      </c>
      <c r="L11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M1132" s="6" t="str">
        <f>LD_01[[#This Row],[PASTA]]&amp;"/"&amp;LD_01[[#This Row],[ARQUIVO]]</f>
        <v>MSV-163MS-638-NORTE/14.EL/MSV-163MS-638+600-EDI-EXE-MD-P2-301-R00.pdf</v>
      </c>
    </row>
    <row r="1133" spans="1:13" ht="43.2" hidden="1" x14ac:dyDescent="0.3">
      <c r="A1133" s="6" t="s">
        <v>3817</v>
      </c>
      <c r="B1133" s="6" t="str">
        <f>VLOOKUP(LD_01[[#This Row],[DOCUMENTO]],_xlfn.SORTBY(ARQUIVOS_RECEBIDOS!$E$2:$F$5010,ARQUIVOS_RECEBIDOS!$F$2:$F$5010,-1),2,)</f>
        <v>R00</v>
      </c>
      <c r="C1133" s="15" t="s">
        <v>5987</v>
      </c>
      <c r="D1133" s="6" t="s">
        <v>4320</v>
      </c>
      <c r="E1133" s="8" t="s">
        <v>4819</v>
      </c>
      <c r="F1133" s="8" t="s">
        <v>4337</v>
      </c>
      <c r="G1133" s="6" t="str">
        <f>_xlfn.XLOOKUP(LD_01[[#This Row],[DISCIPLINA]],'CLASSES DE PROJETOS'!$F$3:$F$37,'CLASSES DE PROJETOS'!$C$3:$C$37)</f>
        <v>EL</v>
      </c>
      <c r="H1133" t="str">
        <f>_xlfn.TEXTJOIN("/",TRUE,"MSV-163MS-"&amp;LD_01[[#This Row],[TRECHO]],_xlfn.XLOOKUP(LD_01[[#This Row],[SIGLA]],'CLASSES DE PROJETOS'!$C$3:$C$37,'CLASSES DE PROJETOS'!$E$3:$E$37))</f>
        <v>MSV-163MS-638-NORTE/14.EL</v>
      </c>
      <c r="I1133" s="6" t="str" cm="1">
        <f t="array" ref="I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J1133" s="6" t="str" cm="1">
        <f t="array" ref="J1133">_xlfn.TEXTJOIN(", ",TRUE,_xlfn.UNIQUE(_xlfn._xlws.FILTER(ARQUIVOS_RECEBIDOS!$F$2:$F$5010,ARQUIVOS_RECEBIDOS!$E$2:$E$5010=LD_01[[#This Row],[DOCUMENTO]])))</f>
        <v>R00</v>
      </c>
      <c r="K1133" s="12" cm="1">
        <f t="array" ref="K1133">_xlfn.UNIQUE(_xlfn._xlws.FILTER(ARQUIVOS[DATA RECEBIMENTO],(ARQUIVOS[DOCUMENTO]=LD_01[[#This Row],[DOCUMENTO]])*(ARQUIVOS[REVISÃO]=LD_01[[#This Row],[REVISÃO]])))</f>
        <v>45838</v>
      </c>
      <c r="L11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M1133" s="6" t="str">
        <f>LD_01[[#This Row],[PASTA]]&amp;"/"&amp;LD_01[[#This Row],[ARQUIVO]]</f>
        <v>MSV-163MS-638-NORTE/14.EL/MSV-163MS-638+600-EDI-EXE-MD-P2-401-R00.pdf</v>
      </c>
    </row>
    <row r="1134" spans="1:13" ht="43.2" hidden="1" x14ac:dyDescent="0.3">
      <c r="A1134" s="6" t="s">
        <v>3912</v>
      </c>
      <c r="B1134" s="6" t="str">
        <f>VLOOKUP(LD_01[[#This Row],[DOCUMENTO]],_xlfn.SORTBY(ARQUIVOS_RECEBIDOS!$E$2:$F$5010,ARQUIVOS_RECEBIDOS!$F$2:$F$5010,-1),2,)</f>
        <v>R01</v>
      </c>
      <c r="C1134" s="15" t="s">
        <v>5987</v>
      </c>
      <c r="D1134" s="6" t="s">
        <v>4320</v>
      </c>
      <c r="E1134" s="8" t="s">
        <v>4239</v>
      </c>
      <c r="F1134" s="8" t="s">
        <v>4341</v>
      </c>
      <c r="G1134" s="6" t="str">
        <f>_xlfn.XLOOKUP(LD_01[[#This Row],[DISCIPLINA]],'CLASSES DE PROJETOS'!$F$3:$F$37,'CLASSES DE PROJETOS'!$C$3:$C$37)</f>
        <v>AR</v>
      </c>
      <c r="H1134" t="str">
        <f>_xlfn.TEXTJOIN("/",TRUE,"MSV-163MS-"&amp;LD_01[[#This Row],[TRECHO]],_xlfn.XLOOKUP(LD_01[[#This Row],[SIGLA]],'CLASSES DE PROJETOS'!$C$3:$C$37,'CLASSES DE PROJETOS'!$E$3:$E$37))</f>
        <v>MSV-163MS-638-NORTE/04.AR</v>
      </c>
      <c r="I1134" s="6" t="str" cm="1">
        <f t="array" ref="I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J1134" s="6" t="str" cm="1">
        <f t="array" ref="J1134">_xlfn.TEXTJOIN(", ",TRUE,_xlfn.UNIQUE(_xlfn._xlws.FILTER(ARQUIVOS_RECEBIDOS!$F$2:$F$5010,ARQUIVOS_RECEBIDOS!$E$2:$E$5010=LD_01[[#This Row],[DOCUMENTO]])))</f>
        <v>R00, R01</v>
      </c>
      <c r="K1134" s="12" cm="1">
        <f t="array" ref="K1134">_xlfn.UNIQUE(_xlfn._xlws.FILTER(ARQUIVOS[DATA RECEBIMENTO],(ARQUIVOS[DOCUMENTO]=LD_01[[#This Row],[DOCUMENTO]])*(ARQUIVOS[REVISÃO]=LD_01[[#This Row],[REVISÃO]])))</f>
        <v>45931</v>
      </c>
      <c r="L11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M1134" s="6" t="str">
        <f>LD_01[[#This Row],[PASTA]]&amp;"/"&amp;LD_01[[#This Row],[ARQUIVO]]</f>
        <v>MSV-163MS-638-NORTE/04.AR/MSV-163MS-638+600-EDI-EXE-MD-P5-001-R01.pdf</v>
      </c>
    </row>
    <row r="1135" spans="1:13" ht="43.2" hidden="1" x14ac:dyDescent="0.3">
      <c r="A1135" s="6" t="s">
        <v>3913</v>
      </c>
      <c r="B1135" s="6" t="str">
        <f>VLOOKUP(LD_01[[#This Row],[DOCUMENTO]],_xlfn.SORTBY(ARQUIVOS_RECEBIDOS!$E$2:$F$5010,ARQUIVOS_RECEBIDOS!$F$2:$F$5010,-1),2,)</f>
        <v>R01</v>
      </c>
      <c r="C1135" s="15" t="s">
        <v>5987</v>
      </c>
      <c r="D1135" s="6" t="s">
        <v>4320</v>
      </c>
      <c r="E1135" s="8" t="s">
        <v>4240</v>
      </c>
      <c r="F1135" s="8" t="s">
        <v>4341</v>
      </c>
      <c r="G1135" s="6" t="str">
        <f>_xlfn.XLOOKUP(LD_01[[#This Row],[DISCIPLINA]],'CLASSES DE PROJETOS'!$F$3:$F$37,'CLASSES DE PROJETOS'!$C$3:$C$37)</f>
        <v>AR</v>
      </c>
      <c r="H1135" t="str">
        <f>_xlfn.TEXTJOIN("/",TRUE,"MSV-163MS-"&amp;LD_01[[#This Row],[TRECHO]],_xlfn.XLOOKUP(LD_01[[#This Row],[SIGLA]],'CLASSES DE PROJETOS'!$C$3:$C$37,'CLASSES DE PROJETOS'!$E$3:$E$37))</f>
        <v>MSV-163MS-638-NORTE/04.AR</v>
      </c>
      <c r="I1135" s="6" t="str" cm="1">
        <f t="array" ref="I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J1135" s="6" t="str" cm="1">
        <f t="array" ref="J1135">_xlfn.TEXTJOIN(", ",TRUE,_xlfn.UNIQUE(_xlfn._xlws.FILTER(ARQUIVOS_RECEBIDOS!$F$2:$F$5010,ARQUIVOS_RECEBIDOS!$E$2:$E$5010=LD_01[[#This Row],[DOCUMENTO]])))</f>
        <v>R00, R01</v>
      </c>
      <c r="K1135" s="12" cm="1">
        <f t="array" ref="K1135">_xlfn.UNIQUE(_xlfn._xlws.FILTER(ARQUIVOS[DATA RECEBIMENTO],(ARQUIVOS[DOCUMENTO]=LD_01[[#This Row],[DOCUMENTO]])*(ARQUIVOS[REVISÃO]=LD_01[[#This Row],[REVISÃO]])))</f>
        <v>45931</v>
      </c>
      <c r="L11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M1135" s="6" t="str">
        <f>LD_01[[#This Row],[PASTA]]&amp;"/"&amp;LD_01[[#This Row],[ARQUIVO]]</f>
        <v>MSV-163MS-638-NORTE/04.AR/MSV-163MS-638+600-EDI-EXE-MD-P5-201-R01.pdf</v>
      </c>
    </row>
    <row r="1136" spans="1:13" ht="43.2" hidden="1" x14ac:dyDescent="0.3">
      <c r="A1136" s="6" t="s">
        <v>3914</v>
      </c>
      <c r="B1136" s="6" t="str">
        <f>VLOOKUP(LD_01[[#This Row],[DOCUMENTO]],_xlfn.SORTBY(ARQUIVOS_RECEBIDOS!$E$2:$F$5010,ARQUIVOS_RECEBIDOS!$F$2:$F$5010,-1),2,)</f>
        <v>R01</v>
      </c>
      <c r="C1136" s="15" t="s">
        <v>5987</v>
      </c>
      <c r="D1136" s="6" t="s">
        <v>4320</v>
      </c>
      <c r="E1136" s="8" t="s">
        <v>4241</v>
      </c>
      <c r="F1136" s="8" t="s">
        <v>4341</v>
      </c>
      <c r="G1136" s="6" t="str">
        <f>_xlfn.XLOOKUP(LD_01[[#This Row],[DISCIPLINA]],'CLASSES DE PROJETOS'!$F$3:$F$37,'CLASSES DE PROJETOS'!$C$3:$C$37)</f>
        <v>AR</v>
      </c>
      <c r="H1136" t="str">
        <f>_xlfn.TEXTJOIN("/",TRUE,"MSV-163MS-"&amp;LD_01[[#This Row],[TRECHO]],_xlfn.XLOOKUP(LD_01[[#This Row],[SIGLA]],'CLASSES DE PROJETOS'!$C$3:$C$37,'CLASSES DE PROJETOS'!$E$3:$E$37))</f>
        <v>MSV-163MS-638-NORTE/04.AR</v>
      </c>
      <c r="I1136" s="6" t="str" cm="1">
        <f t="array" ref="I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J1136" s="6" t="str" cm="1">
        <f t="array" ref="J1136">_xlfn.TEXTJOIN(", ",TRUE,_xlfn.UNIQUE(_xlfn._xlws.FILTER(ARQUIVOS_RECEBIDOS!$F$2:$F$5010,ARQUIVOS_RECEBIDOS!$E$2:$E$5010=LD_01[[#This Row],[DOCUMENTO]])))</f>
        <v>R00, R01</v>
      </c>
      <c r="K1136" s="12" cm="1">
        <f t="array" ref="K1136">_xlfn.UNIQUE(_xlfn._xlws.FILTER(ARQUIVOS[DATA RECEBIMENTO],(ARQUIVOS[DOCUMENTO]=LD_01[[#This Row],[DOCUMENTO]])*(ARQUIVOS[REVISÃO]=LD_01[[#This Row],[REVISÃO]])))</f>
        <v>45931</v>
      </c>
      <c r="L11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M1136" s="6" t="str">
        <f>LD_01[[#This Row],[PASTA]]&amp;"/"&amp;LD_01[[#This Row],[ARQUIVO]]</f>
        <v>MSV-163MS-638-NORTE/04.AR/MSV-163MS-638+600-EDI-EXE-MD-P5-301-R01.pdf</v>
      </c>
    </row>
    <row r="1137" spans="1:13" ht="28.8" hidden="1" x14ac:dyDescent="0.3">
      <c r="A1137" s="6" t="s">
        <v>3907</v>
      </c>
      <c r="B1137" s="6" t="str">
        <f>VLOOKUP(LD_01[[#This Row],[DOCUMENTO]],_xlfn.SORTBY(ARQUIVOS_RECEBIDOS!$E$2:$F$5010,ARQUIVOS_RECEBIDOS!$F$2:$F$5010,-1),2,)</f>
        <v>R01</v>
      </c>
      <c r="C1137" s="15" t="s">
        <v>5987</v>
      </c>
      <c r="D1137" s="6" t="s">
        <v>4320</v>
      </c>
      <c r="E1137" s="8" t="s">
        <v>4852</v>
      </c>
      <c r="F1137" s="8" t="s">
        <v>4340</v>
      </c>
      <c r="G1137" s="6" t="str">
        <f>_xlfn.XLOOKUP(LD_01[[#This Row],[DISCIPLINA]],'CLASSES DE PROJETOS'!$F$3:$F$37,'CLASSES DE PROJETOS'!$C$3:$C$37)</f>
        <v>HI</v>
      </c>
      <c r="H1137" t="str">
        <f>_xlfn.TEXTJOIN("/",TRUE,"MSV-163MS-"&amp;LD_01[[#This Row],[TRECHO]],_xlfn.XLOOKUP(LD_01[[#This Row],[SIGLA]],'CLASSES DE PROJETOS'!$C$3:$C$37,'CLASSES DE PROJETOS'!$E$3:$E$37))</f>
        <v>MSV-163MS-638-NORTE/21.HI</v>
      </c>
      <c r="I1137" s="6" t="str" cm="1">
        <f t="array" ref="I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J1137" s="6" t="str" cm="1">
        <f t="array" ref="J1137">_xlfn.TEXTJOIN(", ",TRUE,_xlfn.UNIQUE(_xlfn._xlws.FILTER(ARQUIVOS_RECEBIDOS!$F$2:$F$5010,ARQUIVOS_RECEBIDOS!$E$2:$E$5010=LD_01[[#This Row],[DOCUMENTO]])))</f>
        <v>R00, R01</v>
      </c>
      <c r="K1137" s="12" cm="1">
        <f t="array" ref="K1137">_xlfn.UNIQUE(_xlfn._xlws.FILTER(ARQUIVOS[DATA RECEBIMENTO],(ARQUIVOS[DOCUMENTO]=LD_01[[#This Row],[DOCUMENTO]])*(ARQUIVOS[REVISÃO]=LD_01[[#This Row],[REVISÃO]])))</f>
        <v>45931</v>
      </c>
      <c r="L11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M1137" s="6" t="str">
        <f>LD_01[[#This Row],[PASTA]]&amp;"/"&amp;LD_01[[#This Row],[ARQUIVO]]</f>
        <v>MSV-163MS-638-NORTE/21.HI/MSV-163MS-638+600-EDI-EXE-MD-P8-001-R01.pdf</v>
      </c>
    </row>
    <row r="1138" spans="1:13" ht="28.8" hidden="1" x14ac:dyDescent="0.3">
      <c r="A1138" s="6" t="s">
        <v>3716</v>
      </c>
      <c r="B1138" s="6" t="str">
        <f>VLOOKUP(LD_01[[#This Row],[DOCUMENTO]],_xlfn.SORTBY(ARQUIVOS_RECEBIDOS!$E$2:$F$5010,ARQUIVOS_RECEBIDOS!$F$2:$F$5010,-1),2,)</f>
        <v>R03</v>
      </c>
      <c r="C1138" s="15" t="s">
        <v>5987</v>
      </c>
      <c r="D1138" s="6" t="s">
        <v>4320</v>
      </c>
      <c r="E1138" s="8" t="s">
        <v>4960</v>
      </c>
      <c r="F1138" s="8" t="s">
        <v>4330</v>
      </c>
      <c r="G1138" s="6" t="str">
        <f>_xlfn.XLOOKUP(LD_01[[#This Row],[DISCIPLINA]],'CLASSES DE PROJETOS'!$F$3:$F$37,'CLASSES DE PROJETOS'!$C$3:$C$37)</f>
        <v>TE</v>
      </c>
      <c r="H1138" t="str">
        <f>_xlfn.TEXTJOIN("/",TRUE,"MSV-163MS-"&amp;LD_01[[#This Row],[TRECHO]],_xlfn.XLOOKUP(LD_01[[#This Row],[SIGLA]],'CLASSES DE PROJETOS'!$C$3:$C$37,'CLASSES DE PROJETOS'!$E$3:$E$37))</f>
        <v>MSV-163MS-638-NORTE/32.TE</v>
      </c>
      <c r="I1138" s="6" t="str" cm="1">
        <f t="array" ref="I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J1138" s="6" t="str" cm="1">
        <f t="array" ref="J1138">_xlfn.TEXTJOIN(", ",TRUE,_xlfn.UNIQUE(_xlfn._xlws.FILTER(ARQUIVOS_RECEBIDOS!$F$2:$F$5010,ARQUIVOS_RECEBIDOS!$E$2:$E$5010=LD_01[[#This Row],[DOCUMENTO]])))</f>
        <v>R00, R01, R02, R03</v>
      </c>
      <c r="K1138" s="12" cm="1">
        <f t="array" ref="K1138">_xlfn.UNIQUE(_xlfn._xlws.FILTER(ARQUIVOS[DATA RECEBIMENTO],(ARQUIVOS[DOCUMENTO]=LD_01[[#This Row],[DOCUMENTO]])*(ARQUIVOS[REVISÃO]=LD_01[[#This Row],[REVISÃO]])))</f>
        <v>45931</v>
      </c>
      <c r="L11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M1138" s="6" t="str">
        <f>LD_01[[#This Row],[PASTA]]&amp;"/"&amp;LD_01[[#This Row],[ARQUIVO]]</f>
        <v>MSV-163MS-638-NORTE/32.TE/MSV-163MS-638+600-EDI-EXE-NS-C3-001-R03.pdf</v>
      </c>
    </row>
    <row r="1139" spans="1:13" hidden="1" x14ac:dyDescent="0.3">
      <c r="A1139" s="6" t="s">
        <v>3686</v>
      </c>
      <c r="B1139" s="6" t="str">
        <f>VLOOKUP(LD_01[[#This Row],[DOCUMENTO]],_xlfn.SORTBY(ARQUIVOS_RECEBIDOS!$E$2:$F$5010,ARQUIVOS_RECEBIDOS!$F$2:$F$5010,-1),2,)</f>
        <v>R00</v>
      </c>
      <c r="C1139" s="15" t="s">
        <v>5987</v>
      </c>
      <c r="D1139" s="6" t="s">
        <v>4320</v>
      </c>
      <c r="E1139" s="8" t="s">
        <v>4244</v>
      </c>
      <c r="F1139" s="8" t="s">
        <v>4163</v>
      </c>
      <c r="G1139" s="6" t="str">
        <f>_xlfn.XLOOKUP(LD_01[[#This Row],[DISCIPLINA]],'CLASSES DE PROJETOS'!$F$3:$F$37,'CLASSES DE PROJETOS'!$C$3:$C$37)</f>
        <v>TO</v>
      </c>
      <c r="H1139" t="str">
        <f>_xlfn.TEXTJOIN("/",TRUE,"MSV-163MS-"&amp;LD_01[[#This Row],[TRECHO]],_xlfn.XLOOKUP(LD_01[[#This Row],[SIGLA]],'CLASSES DE PROJETOS'!$C$3:$C$37,'CLASSES DE PROJETOS'!$E$3:$E$37))</f>
        <v>MSV-163MS-638-NORTE/33.TO</v>
      </c>
      <c r="I1139" s="6" t="str" cm="1">
        <f t="array" ref="I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J1139" s="6" t="str" cm="1">
        <f t="array" ref="J1139">_xlfn.TEXTJOIN(", ",TRUE,_xlfn.UNIQUE(_xlfn._xlws.FILTER(ARQUIVOS_RECEBIDOS!$F$2:$F$5010,ARQUIVOS_RECEBIDOS!$E$2:$E$5010=LD_01[[#This Row],[DOCUMENTO]])))</f>
        <v>R00</v>
      </c>
      <c r="K1139" s="12" cm="1">
        <f t="array" ref="K1139">_xlfn.UNIQUE(_xlfn._xlws.FILTER(ARQUIVOS[DATA RECEBIMENTO],(ARQUIVOS[DOCUMENTO]=LD_01[[#This Row],[DOCUMENTO]])*(ARQUIVOS[REVISÃO]=LD_01[[#This Row],[REVISÃO]])))</f>
        <v>45838</v>
      </c>
      <c r="L11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M1139" s="6" t="str">
        <f>LD_01[[#This Row],[PASTA]]&amp;"/"&amp;LD_01[[#This Row],[ARQUIVO]]</f>
        <v>MSV-163MS-638-NORTE/33.TO/MSV-163MS-638+600-EDI-EXE-RT-C1-001-R00.pdf</v>
      </c>
    </row>
    <row r="1140" spans="1:13" ht="28.8" hidden="1" x14ac:dyDescent="0.3">
      <c r="A1140" s="6" t="s">
        <v>3824</v>
      </c>
      <c r="B1140" s="6" t="str">
        <f>VLOOKUP(LD_01[[#This Row],[DOCUMENTO]],_xlfn.SORTBY(ARQUIVOS_RECEBIDOS!$E$2:$F$5010,ARQUIVOS_RECEBIDOS!$F$2:$F$5010,-1),2,)</f>
        <v>R01</v>
      </c>
      <c r="C1140" s="15" t="s">
        <v>5987</v>
      </c>
      <c r="D1140" s="6" t="s">
        <v>4320</v>
      </c>
      <c r="E1140" s="8" t="s">
        <v>4824</v>
      </c>
      <c r="F1140" s="8" t="s">
        <v>4332</v>
      </c>
      <c r="G1140" s="6" t="str">
        <f>_xlfn.XLOOKUP(LD_01[[#This Row],[DISCIPLINA]],'CLASSES DE PROJETOS'!$F$3:$F$37,'CLASSES DE PROJETOS'!$C$3:$C$37)</f>
        <v>GG</v>
      </c>
      <c r="H1140" t="str">
        <f>_xlfn.TEXTJOIN("/",TRUE,"MSV-163MS-"&amp;LD_01[[#This Row],[TRECHO]],_xlfn.XLOOKUP(LD_01[[#This Row],[SIGLA]],'CLASSES DE PROJETOS'!$C$3:$C$37,'CLASSES DE PROJETOS'!$E$3:$E$37))</f>
        <v>MSV-163MS-638-NORTE/19.GG</v>
      </c>
      <c r="I1140" s="6" t="str" cm="1">
        <f t="array" ref="I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J1140" s="6" t="str" cm="1">
        <f t="array" ref="J1140">_xlfn.TEXTJOIN(", ",TRUE,_xlfn.UNIQUE(_xlfn._xlws.FILTER(ARQUIVOS_RECEBIDOS!$F$2:$F$5010,ARQUIVOS_RECEBIDOS!$E$2:$E$5010=LD_01[[#This Row],[DOCUMENTO]])))</f>
        <v>R00, R01</v>
      </c>
      <c r="K1140" s="12" cm="1">
        <f t="array" ref="K1140">_xlfn.UNIQUE(_xlfn._xlws.FILTER(ARQUIVOS[DATA RECEBIMENTO],(ARQUIVOS[DOCUMENTO]=LD_01[[#This Row],[DOCUMENTO]])*(ARQUIVOS[REVISÃO]=LD_01[[#This Row],[REVISÃO]])))</f>
        <v>45931</v>
      </c>
      <c r="L11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M1140" s="6" t="str">
        <f>LD_01[[#This Row],[PASTA]]&amp;"/"&amp;LD_01[[#This Row],[ARQUIVO]]</f>
        <v>MSV-163MS-638-NORTE/19.GG/MSV-163MS-638+600-EDI-EXE-RT-D3-001-R01.pdf</v>
      </c>
    </row>
    <row r="1141" spans="1:13" ht="28.8" hidden="1" x14ac:dyDescent="0.3">
      <c r="A1141" s="6" t="s">
        <v>3920</v>
      </c>
      <c r="B1141" s="6" t="str">
        <f>VLOOKUP(LD_01[[#This Row],[DOCUMENTO]],_xlfn.SORTBY(ARQUIVOS_RECEBIDOS!$E$2:$F$5010,ARQUIVOS_RECEBIDOS!$F$2:$F$5010,-1),2,)</f>
        <v>R01</v>
      </c>
      <c r="C1141" s="15" t="s">
        <v>5987</v>
      </c>
      <c r="D1141" s="6" t="s">
        <v>4320</v>
      </c>
      <c r="E1141" s="8" t="s">
        <v>5027</v>
      </c>
      <c r="F1141" s="8" t="s">
        <v>4335</v>
      </c>
      <c r="G1141" s="6" t="str">
        <f>_xlfn.XLOOKUP(LD_01[[#This Row],[DISCIPLINA]],'CLASSES DE PROJETOS'!$F$3:$F$37,'CLASSES DE PROJETOS'!$C$3:$C$37)</f>
        <v>TR</v>
      </c>
      <c r="H1141" t="str">
        <f>_xlfn.TEXTJOIN("/",TRUE,"MSV-163MS-"&amp;LD_01[[#This Row],[TRECHO]],_xlfn.XLOOKUP(LD_01[[#This Row],[SIGLA]],'CLASSES DE PROJETOS'!$C$3:$C$37,'CLASSES DE PROJETOS'!$E$3:$E$37))</f>
        <v>MSV-163MS-638-NORTE/34.TR</v>
      </c>
      <c r="I1141" s="6" t="str" cm="1">
        <f t="array" ref="I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J1141" s="6" t="str" cm="1">
        <f t="array" ref="J1141">_xlfn.TEXTJOIN(", ",TRUE,_xlfn.UNIQUE(_xlfn._xlws.FILTER(ARQUIVOS_RECEBIDOS!$F$2:$F$5010,ARQUIVOS_RECEBIDOS!$E$2:$E$5010=LD_01[[#This Row],[DOCUMENTO]])))</f>
        <v>R01</v>
      </c>
      <c r="K1141" s="12" cm="1">
        <f t="array" ref="K1141">_xlfn.UNIQUE(_xlfn._xlws.FILTER(ARQUIVOS[DATA RECEBIMENTO],(ARQUIVOS[DOCUMENTO]=LD_01[[#This Row],[DOCUMENTO]])*(ARQUIVOS[REVISÃO]=LD_01[[#This Row],[REVISÃO]])))</f>
        <v>45838</v>
      </c>
      <c r="L11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M1141" s="6" t="str">
        <f>LD_01[[#This Row],[PASTA]]&amp;"/"&amp;LD_01[[#This Row],[ARQUIVO]]</f>
        <v>MSV-163MS-638-NORTE/34.TR/MSV-163MS-638+600-EDI-EXE-RT-E1-001-R01.pdf</v>
      </c>
    </row>
    <row r="1142" spans="1:13" ht="28.8" hidden="1" x14ac:dyDescent="0.3">
      <c r="A1142" s="6" t="s">
        <v>3695</v>
      </c>
      <c r="B1142" s="6" t="str">
        <f>VLOOKUP(LD_01[[#This Row],[DOCUMENTO]],_xlfn.SORTBY(ARQUIVOS_RECEBIDOS!$E$2:$F$5010,ARQUIVOS_RECEBIDOS!$F$2:$F$5010,-1),2,)</f>
        <v>R03</v>
      </c>
      <c r="C1142" s="15" t="s">
        <v>5987</v>
      </c>
      <c r="D1142" s="6" t="s">
        <v>4320</v>
      </c>
      <c r="E1142" s="8" t="s">
        <v>4950</v>
      </c>
      <c r="F1142" s="8" t="s">
        <v>4141</v>
      </c>
      <c r="G1142" s="6" t="str">
        <f>_xlfn.XLOOKUP(LD_01[[#This Row],[DISCIPLINA]],'CLASSES DE PROJETOS'!$F$3:$F$37,'CLASSES DE PROJETOS'!$C$3:$C$37)</f>
        <v>GE</v>
      </c>
      <c r="H1142" t="str">
        <f>_xlfn.TEXTJOIN("/",TRUE,"MSV-163MS-"&amp;LD_01[[#This Row],[TRECHO]],_xlfn.XLOOKUP(LD_01[[#This Row],[SIGLA]],'CLASSES DE PROJETOS'!$C$3:$C$37,'CLASSES DE PROJETOS'!$E$3:$E$37))</f>
        <v>MSV-163MS-638-NORTE/18.GE</v>
      </c>
      <c r="I1142" s="6" t="str" cm="1">
        <f t="array" ref="I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J1142" s="6" t="str" cm="1">
        <f t="array" ref="J1142">_xlfn.TEXTJOIN(", ",TRUE,_xlfn.UNIQUE(_xlfn._xlws.FILTER(ARQUIVOS_RECEBIDOS!$F$2:$F$5010,ARQUIVOS_RECEBIDOS!$E$2:$E$5010=LD_01[[#This Row],[DOCUMENTO]])))</f>
        <v>R02, R03</v>
      </c>
      <c r="K1142" s="12" cm="1">
        <f t="array" ref="K1142">_xlfn.UNIQUE(_xlfn._xlws.FILTER(ARQUIVOS[DATA RECEBIMENTO],(ARQUIVOS[DOCUMENTO]=LD_01[[#This Row],[DOCUMENTO]])*(ARQUIVOS[REVISÃO]=LD_01[[#This Row],[REVISÃO]])))</f>
        <v>45859</v>
      </c>
      <c r="L11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M1142" s="6" t="str">
        <f>LD_01[[#This Row],[PASTA]]&amp;"/"&amp;LD_01[[#This Row],[ARQUIVO]]</f>
        <v>MSV-163MS-638-NORTE/18.GE/MSV-163MS-638+600-EDI-EXE-RT-F1-001-R03.pdf</v>
      </c>
    </row>
    <row r="1143" spans="1:13" ht="28.8" hidden="1" x14ac:dyDescent="0.3">
      <c r="A1143" s="6" t="s">
        <v>3717</v>
      </c>
      <c r="B1143" s="6" t="str">
        <f>VLOOKUP(LD_01[[#This Row],[DOCUMENTO]],_xlfn.SORTBY(ARQUIVOS_RECEBIDOS!$E$2:$F$5010,ARQUIVOS_RECEBIDOS!$F$2:$F$5010,-1),2,)</f>
        <v>R00</v>
      </c>
      <c r="C1143" s="15" t="s">
        <v>5987</v>
      </c>
      <c r="D1143" s="6" t="s">
        <v>4320</v>
      </c>
      <c r="E1143" s="8" t="s">
        <v>5026</v>
      </c>
      <c r="F1143" s="8" t="s">
        <v>4330</v>
      </c>
      <c r="G1143" s="6" t="str">
        <f>_xlfn.XLOOKUP(LD_01[[#This Row],[DISCIPLINA]],'CLASSES DE PROJETOS'!$F$3:$F$37,'CLASSES DE PROJETOS'!$C$3:$C$37)</f>
        <v>TE</v>
      </c>
      <c r="H1143" t="str">
        <f>_xlfn.TEXTJOIN("/",TRUE,"MSV-163MS-"&amp;LD_01[[#This Row],[TRECHO]],_xlfn.XLOOKUP(LD_01[[#This Row],[SIGLA]],'CLASSES DE PROJETOS'!$C$3:$C$37,'CLASSES DE PROJETOS'!$E$3:$E$37))</f>
        <v>MSV-163MS-638-NORTE/32.TE</v>
      </c>
      <c r="I1143" s="6" t="str" cm="1">
        <f t="array" ref="I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J1143" s="6" t="str" cm="1">
        <f t="array" ref="J1143">_xlfn.TEXTJOIN(", ",TRUE,_xlfn.UNIQUE(_xlfn._xlws.FILTER(ARQUIVOS_RECEBIDOS!$F$2:$F$5010,ARQUIVOS_RECEBIDOS!$E$2:$E$5010=LD_01[[#This Row],[DOCUMENTO]])))</f>
        <v>R00</v>
      </c>
      <c r="K1143" s="12" cm="1">
        <f t="array" ref="K1143">_xlfn.UNIQUE(_xlfn._xlws.FILTER(ARQUIVOS[DATA RECEBIMENTO],(ARQUIVOS[DOCUMENTO]=LD_01[[#This Row],[DOCUMENTO]])*(ARQUIVOS[REVISÃO]=LD_01[[#This Row],[REVISÃO]])))</f>
        <v>45838</v>
      </c>
      <c r="L11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M1143" s="6" t="str">
        <f>LD_01[[#This Row],[PASTA]]&amp;"/"&amp;LD_01[[#This Row],[ARQUIVO]]</f>
        <v>MSV-163MS-638-NORTE/32.TE/MSV-163MS-638+600-EDI-EXE-RT-G1-001-R00.pdf</v>
      </c>
    </row>
    <row r="1144" spans="1:13" ht="28.8" hidden="1" x14ac:dyDescent="0.3">
      <c r="A1144" s="6" t="s">
        <v>3746</v>
      </c>
      <c r="B1144" s="6" t="str">
        <f>VLOOKUP(LD_01[[#This Row],[DOCUMENTO]],_xlfn.SORTBY(ARQUIVOS_RECEBIDOS!$E$2:$F$5010,ARQUIVOS_RECEBIDOS!$F$2:$F$5010,-1),2,)</f>
        <v>R01</v>
      </c>
      <c r="C1144" s="15" t="s">
        <v>5987</v>
      </c>
      <c r="D1144" s="6" t="s">
        <v>4320</v>
      </c>
      <c r="E1144" s="8" t="s">
        <v>5014</v>
      </c>
      <c r="F1144" s="8" t="s">
        <v>4331</v>
      </c>
      <c r="G1144" s="6" t="str">
        <f>_xlfn.XLOOKUP(LD_01[[#This Row],[DISCIPLINA]],'CLASSES DE PROJETOS'!$F$3:$F$37,'CLASSES DE PROJETOS'!$C$3:$C$37)</f>
        <v>SI</v>
      </c>
      <c r="H1144" t="str">
        <f>_xlfn.TEXTJOIN("/",TRUE,"MSV-163MS-"&amp;LD_01[[#This Row],[TRECHO]],_xlfn.XLOOKUP(LD_01[[#This Row],[SIGLA]],'CLASSES DE PROJETOS'!$C$3:$C$37,'CLASSES DE PROJETOS'!$E$3:$E$37))</f>
        <v>MSV-163MS-638-NORTE/31.SI</v>
      </c>
      <c r="I1144" s="6" t="str" cm="1">
        <f t="array" ref="I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J1144" s="6" t="str" cm="1">
        <f t="array" ref="J1144">_xlfn.TEXTJOIN(", ",TRUE,_xlfn.UNIQUE(_xlfn._xlws.FILTER(ARQUIVOS_RECEBIDOS!$F$2:$F$5010,ARQUIVOS_RECEBIDOS!$E$2:$E$5010=LD_01[[#This Row],[DOCUMENTO]])))</f>
        <v>R01</v>
      </c>
      <c r="K1144" s="12" cm="1">
        <f t="array" ref="K1144">_xlfn.UNIQUE(_xlfn._xlws.FILTER(ARQUIVOS[DATA RECEBIMENTO],(ARQUIVOS[DOCUMENTO]=LD_01[[#This Row],[DOCUMENTO]])*(ARQUIVOS[REVISÃO]=LD_01[[#This Row],[REVISÃO]])))</f>
        <v>45838</v>
      </c>
      <c r="L11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M1144" s="6" t="str">
        <f>LD_01[[#This Row],[PASTA]]&amp;"/"&amp;LD_01[[#This Row],[ARQUIVO]]</f>
        <v>MSV-163MS-638-NORTE/31.SI/MSV-163MS-638+600-EDI-EXE-RT-J1-001-R01.pdf</v>
      </c>
    </row>
    <row r="1145" spans="1:13" ht="43.2" hidden="1" x14ac:dyDescent="0.3">
      <c r="A1145" s="6" t="s">
        <v>3818</v>
      </c>
      <c r="B1145" s="6" t="str">
        <f>VLOOKUP(LD_01[[#This Row],[DOCUMENTO]],_xlfn.SORTBY(ARQUIVOS_RECEBIDOS!$E$2:$F$5010,ARQUIVOS_RECEBIDOS!$F$2:$F$5010,-1),2,)</f>
        <v>R03</v>
      </c>
      <c r="C1145" s="15" t="s">
        <v>5987</v>
      </c>
      <c r="D1145" s="6" t="s">
        <v>4320</v>
      </c>
      <c r="E1145" s="8" t="s">
        <v>4814</v>
      </c>
      <c r="F1145" s="8" t="s">
        <v>4337</v>
      </c>
      <c r="G1145" s="6" t="str">
        <f>_xlfn.XLOOKUP(LD_01[[#This Row],[DISCIPLINA]],'CLASSES DE PROJETOS'!$F$3:$F$37,'CLASSES DE PROJETOS'!$C$3:$C$37)</f>
        <v>EL</v>
      </c>
      <c r="H1145" t="str">
        <f>_xlfn.TEXTJOIN("/",TRUE,"MSV-163MS-"&amp;LD_01[[#This Row],[TRECHO]],_xlfn.XLOOKUP(LD_01[[#This Row],[SIGLA]],'CLASSES DE PROJETOS'!$C$3:$C$37,'CLASSES DE PROJETOS'!$E$3:$E$37))</f>
        <v>MSV-163MS-638-NORTE/14.EL</v>
      </c>
      <c r="I1145" s="6" t="str" cm="1">
        <f t="array" ref="I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J1145" s="6" t="str" cm="1">
        <f t="array" ref="J1145">_xlfn.TEXTJOIN(", ",TRUE,_xlfn.UNIQUE(_xlfn._xlws.FILTER(ARQUIVOS_RECEBIDOS!$F$2:$F$5010,ARQUIVOS_RECEBIDOS!$E$2:$E$5010=LD_01[[#This Row],[DOCUMENTO]])))</f>
        <v>R02, R03</v>
      </c>
      <c r="K1145" s="12" cm="1">
        <f t="array" ref="K1145">_xlfn.UNIQUE(_xlfn._xlws.FILTER(ARQUIVOS[DATA RECEBIMENTO],(ARQUIVOS[DOCUMENTO]=LD_01[[#This Row],[DOCUMENTO]])*(ARQUIVOS[REVISÃO]=LD_01[[#This Row],[REVISÃO]])))</f>
        <v>45931</v>
      </c>
      <c r="L11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M1145" s="6" t="str">
        <f>LD_01[[#This Row],[PASTA]]&amp;"/"&amp;LD_01[[#This Row],[ARQUIVO]]</f>
        <v>MSV-163MS-638-NORTE/14.EL/MSV-163MS-638+600-EDI-EXE-RT-K2-001-R03.pdf</v>
      </c>
    </row>
    <row r="1146" spans="1:13" ht="43.2" hidden="1" x14ac:dyDescent="0.3">
      <c r="A1146" s="6" t="s">
        <v>3826</v>
      </c>
      <c r="B1146" s="6" t="str">
        <f>VLOOKUP(LD_01[[#This Row],[DOCUMENTO]],_xlfn.SORTBY(ARQUIVOS_RECEBIDOS!$E$2:$F$5010,ARQUIVOS_RECEBIDOS!$F$2:$F$5010,-1),2,)</f>
        <v>R02</v>
      </c>
      <c r="C1146" s="15" t="s">
        <v>5987</v>
      </c>
      <c r="D1146" s="6" t="s">
        <v>4320</v>
      </c>
      <c r="E1146" s="8" t="s">
        <v>4087</v>
      </c>
      <c r="F1146" s="8" t="s">
        <v>4333</v>
      </c>
      <c r="G1146" s="6" t="str">
        <f>_xlfn.XLOOKUP(LD_01[[#This Row],[DISCIPLINA]],'CLASSES DE PROJETOS'!$F$3:$F$37,'CLASSES DE PROJETOS'!$C$3:$C$37)</f>
        <v>IN</v>
      </c>
      <c r="H1146" t="str">
        <f>_xlfn.TEXTJOIN("/",TRUE,"MSV-163MS-"&amp;LD_01[[#This Row],[TRECHO]],_xlfn.XLOOKUP(LD_01[[#This Row],[SIGLA]],'CLASSES DE PROJETOS'!$C$3:$C$37,'CLASSES DE PROJETOS'!$E$3:$E$37))</f>
        <v>MSV-163MS-638-NORTE/23.IN</v>
      </c>
      <c r="I1146" s="6" t="str" cm="1">
        <f t="array" ref="I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J1146" s="6" t="str" cm="1">
        <f t="array" ref="J1146">_xlfn.TEXTJOIN(", ",TRUE,_xlfn.UNIQUE(_xlfn._xlws.FILTER(ARQUIVOS_RECEBIDOS!$F$2:$F$5010,ARQUIVOS_RECEBIDOS!$E$2:$E$5010=LD_01[[#This Row],[DOCUMENTO]])))</f>
        <v>R00, R02</v>
      </c>
      <c r="K1146" s="12" cm="1">
        <f t="array" ref="K1146">_xlfn.UNIQUE(_xlfn._xlws.FILTER(ARQUIVOS[DATA RECEBIMENTO],(ARQUIVOS[DOCUMENTO]=LD_01[[#This Row],[DOCUMENTO]])*(ARQUIVOS[REVISÃO]=LD_01[[#This Row],[REVISÃO]])))</f>
        <v>45931</v>
      </c>
      <c r="L11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M1146" s="6" t="str">
        <f>LD_01[[#This Row],[PASTA]]&amp;"/"&amp;LD_01[[#This Row],[ARQUIVO]]</f>
        <v>MSV-163MS-638-NORTE/23.IN/MSV-163MS-638+600-EDI-EXE-RT-M1-001-R02.pdf</v>
      </c>
    </row>
    <row r="1147" spans="1:13" hidden="1" x14ac:dyDescent="0.3">
      <c r="A1147" s="6" t="s">
        <v>3919</v>
      </c>
      <c r="B1147" s="6" t="str">
        <f>VLOOKUP(LD_01[[#This Row],[DOCUMENTO]],_xlfn.SORTBY(ARQUIVOS_RECEBIDOS!$E$2:$F$5010,ARQUIVOS_RECEBIDOS!$F$2:$F$5010,-1),2,)</f>
        <v>R03</v>
      </c>
      <c r="C1147" s="15" t="s">
        <v>5987</v>
      </c>
      <c r="D1147" s="6" t="s">
        <v>4320</v>
      </c>
      <c r="E1147" s="8" t="s">
        <v>5008</v>
      </c>
      <c r="F1147" s="8" t="s">
        <v>4334</v>
      </c>
      <c r="G1147" s="6" t="str">
        <f>_xlfn.XLOOKUP(LD_01[[#This Row],[DISCIPLINA]],'CLASSES DE PROJETOS'!$F$3:$F$37,'CLASSES DE PROJETOS'!$C$3:$C$37)</f>
        <v>PA</v>
      </c>
      <c r="H1147" t="str">
        <f>_xlfn.TEXTJOIN("/",TRUE,"MSV-163MS-"&amp;LD_01[[#This Row],[TRECHO]],_xlfn.XLOOKUP(LD_01[[#This Row],[SIGLA]],'CLASSES DE PROJETOS'!$C$3:$C$37,'CLASSES DE PROJETOS'!$E$3:$E$37))</f>
        <v>MSV-163MS-638-NORTE/27.PA</v>
      </c>
      <c r="I1147" s="6" t="str" cm="1">
        <f t="array" ref="I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J1147" s="6" t="str" cm="1">
        <f t="array" ref="J1147">_xlfn.TEXTJOIN(", ",TRUE,_xlfn.UNIQUE(_xlfn._xlws.FILTER(ARQUIVOS_RECEBIDOS!$F$2:$F$5010,ARQUIVOS_RECEBIDOS!$E$2:$E$5010=LD_01[[#This Row],[DOCUMENTO]])))</f>
        <v>R01, R02, R03</v>
      </c>
      <c r="K1147" s="12" cm="1">
        <f t="array" ref="K1147">_xlfn.UNIQUE(_xlfn._xlws.FILTER(ARQUIVOS[DATA RECEBIMENTO],(ARQUIVOS[DOCUMENTO]=LD_01[[#This Row],[DOCUMENTO]])*(ARQUIVOS[REVISÃO]=LD_01[[#This Row],[REVISÃO]])))</f>
        <v>45931</v>
      </c>
      <c r="L11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M1147" s="6" t="str">
        <f>LD_01[[#This Row],[PASTA]]&amp;"/"&amp;LD_01[[#This Row],[ARQUIVO]]</f>
        <v>MSV-163MS-638-NORTE/27.PA/MSV-163MS-638+600-EDI-EXE-RT-N2-001-R03.pdf</v>
      </c>
    </row>
    <row r="1148" spans="1:13" ht="28.8" hidden="1" x14ac:dyDescent="0.3">
      <c r="A1148" s="6" t="s">
        <v>3850</v>
      </c>
      <c r="B1148" s="6" t="str">
        <f>VLOOKUP(LD_01[[#This Row],[DOCUMENTO]],_xlfn.SORTBY(ARQUIVOS_RECEBIDOS!$E$2:$F$5010,ARQUIVOS_RECEBIDOS!$F$2:$F$5010,-1),2,)</f>
        <v>R03</v>
      </c>
      <c r="C1148" s="15" t="s">
        <v>5987</v>
      </c>
      <c r="D1148" s="6" t="s">
        <v>4320</v>
      </c>
      <c r="E1148" s="8" t="s">
        <v>5020</v>
      </c>
      <c r="F1148" s="8" t="s">
        <v>4144</v>
      </c>
      <c r="G1148" s="6" t="str">
        <f>_xlfn.XLOOKUP(LD_01[[#This Row],[DISCIPLINA]],'CLASSES DE PROJETOS'!$F$3:$F$37,'CLASSES DE PROJETOS'!$C$3:$C$37)</f>
        <v>DV</v>
      </c>
      <c r="H1148" t="str">
        <f>_xlfn.TEXTJOIN("/",TRUE,"MSV-163MS-"&amp;LD_01[[#This Row],[TRECHO]],_xlfn.XLOOKUP(LD_01[[#This Row],[SIGLA]],'CLASSES DE PROJETOS'!$C$3:$C$37,'CLASSES DE PROJETOS'!$E$3:$E$37))</f>
        <v>MSV-163MS-638-NORTE/12.DV</v>
      </c>
      <c r="I1148" s="6" t="str" cm="1">
        <f t="array" ref="I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J1148" s="6" t="str" cm="1">
        <f t="array" ref="J1148">_xlfn.TEXTJOIN(", ",TRUE,_xlfn.UNIQUE(_xlfn._xlws.FILTER(ARQUIVOS_RECEBIDOS!$F$2:$F$5010,ARQUIVOS_RECEBIDOS!$E$2:$E$5010=LD_01[[#This Row],[DOCUMENTO]])))</f>
        <v>R02, R03</v>
      </c>
      <c r="K1148" s="12" cm="1">
        <f t="array" ref="K1148">_xlfn.UNIQUE(_xlfn._xlws.FILTER(ARQUIVOS[DATA RECEBIMENTO],(ARQUIVOS[DOCUMENTO]=LD_01[[#This Row],[DOCUMENTO]])*(ARQUIVOS[REVISÃO]=LD_01[[#This Row],[REVISÃO]])))</f>
        <v>45931</v>
      </c>
      <c r="L11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M1148" s="6" t="str">
        <f>LD_01[[#This Row],[PASTA]]&amp;"/"&amp;LD_01[[#This Row],[ARQUIVO]]</f>
        <v>MSV-163MS-638-NORTE/12.DV/MSV-163MS-638+600-EDI-EXE-RT-O2-001-R03.pdf</v>
      </c>
    </row>
    <row r="1149" spans="1:13" ht="43.2" hidden="1" x14ac:dyDescent="0.3">
      <c r="A1149" s="6" t="s">
        <v>3819</v>
      </c>
      <c r="B1149" s="6" t="str">
        <f>VLOOKUP(LD_01[[#This Row],[DOCUMENTO]],_xlfn.SORTBY(ARQUIVOS_RECEBIDOS!$E$2:$F$5010,ARQUIVOS_RECEBIDOS!$F$2:$F$5010,-1),2,)</f>
        <v>R02</v>
      </c>
      <c r="C1149" s="15" t="s">
        <v>5987</v>
      </c>
      <c r="D1149" s="6" t="s">
        <v>4320</v>
      </c>
      <c r="E1149" s="8" t="s">
        <v>4820</v>
      </c>
      <c r="F1149" s="8" t="s">
        <v>4337</v>
      </c>
      <c r="G1149" s="6" t="str">
        <f>_xlfn.XLOOKUP(LD_01[[#This Row],[DISCIPLINA]],'CLASSES DE PROJETOS'!$F$3:$F$37,'CLASSES DE PROJETOS'!$C$3:$C$37)</f>
        <v>EL</v>
      </c>
      <c r="H1149" t="str">
        <f>_xlfn.TEXTJOIN("/",TRUE,"MSV-163MS-"&amp;LD_01[[#This Row],[TRECHO]],_xlfn.XLOOKUP(LD_01[[#This Row],[SIGLA]],'CLASSES DE PROJETOS'!$C$3:$C$37,'CLASSES DE PROJETOS'!$E$3:$E$37))</f>
        <v>MSV-163MS-638-NORTE/14.EL</v>
      </c>
      <c r="I1149" s="6" t="str" cm="1">
        <f t="array" ref="I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J1149" s="6" t="str" cm="1">
        <f t="array" ref="J1149">_xlfn.TEXTJOIN(", ",TRUE,_xlfn.UNIQUE(_xlfn._xlws.FILTER(ARQUIVOS_RECEBIDOS!$F$2:$F$5010,ARQUIVOS_RECEBIDOS!$E$2:$E$5010=LD_01[[#This Row],[DOCUMENTO]])))</f>
        <v>R02</v>
      </c>
      <c r="K1149" s="12" cm="1">
        <f t="array" ref="K1149">_xlfn.UNIQUE(_xlfn._xlws.FILTER(ARQUIVOS[DATA RECEBIMENTO],(ARQUIVOS[DOCUMENTO]=LD_01[[#This Row],[DOCUMENTO]])*(ARQUIVOS[REVISÃO]=LD_01[[#This Row],[REVISÃO]])))</f>
        <v>45838</v>
      </c>
      <c r="L11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M1149" s="6" t="str">
        <f>LD_01[[#This Row],[PASTA]]&amp;"/"&amp;LD_01[[#This Row],[ARQUIVO]]</f>
        <v>MSV-163MS-638-NORTE/14.EL/MSV-163MS-638+600-EDI-EXE-RT-P4-001-R02.pdf</v>
      </c>
    </row>
    <row r="1150" spans="1:13" ht="28.8" hidden="1" x14ac:dyDescent="0.3">
      <c r="A1150" s="6" t="s">
        <v>3829</v>
      </c>
      <c r="B1150" s="6" t="str">
        <f>VLOOKUP(LD_01[[#This Row],[DOCUMENTO]],_xlfn.SORTBY(ARQUIVOS_RECEBIDOS!$E$2:$F$5010,ARQUIVOS_RECEBIDOS!$F$2:$F$5010,-1),2,)</f>
        <v>R03</v>
      </c>
      <c r="C1150" s="15" t="s">
        <v>5987</v>
      </c>
      <c r="D1150" s="6" t="s">
        <v>4320</v>
      </c>
      <c r="E1150" s="8" t="s">
        <v>4914</v>
      </c>
      <c r="F1150" s="8" t="s">
        <v>4338</v>
      </c>
      <c r="G1150" s="6" t="str">
        <f>_xlfn.XLOOKUP(LD_01[[#This Row],[DISCIPLINA]],'CLASSES DE PROJETOS'!$F$3:$F$37,'CLASSES DE PROJETOS'!$C$3:$C$37)</f>
        <v>DS</v>
      </c>
      <c r="H1150" t="str">
        <f>_xlfn.TEXTJOIN("/",TRUE,"MSV-163MS-"&amp;LD_01[[#This Row],[TRECHO]],_xlfn.XLOOKUP(LD_01[[#This Row],[SIGLA]],'CLASSES DE PROJETOS'!$C$3:$C$37,'CLASSES DE PROJETOS'!$E$3:$E$37))</f>
        <v>MSV-163MS-638-NORTE/11.DS</v>
      </c>
      <c r="I1150" s="6" t="str" cm="1">
        <f t="array" ref="I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J1150" s="6" t="str" cm="1">
        <f t="array" ref="J1150">_xlfn.TEXTJOIN(", ",TRUE,_xlfn.UNIQUE(_xlfn._xlws.FILTER(ARQUIVOS_RECEBIDOS!$F$2:$F$5010,ARQUIVOS_RECEBIDOS!$E$2:$E$5010=LD_01[[#This Row],[DOCUMENTO]])))</f>
        <v>R01, R02, R03</v>
      </c>
      <c r="K1150" s="12" cm="1">
        <f t="array" ref="K1150">_xlfn.UNIQUE(_xlfn._xlws.FILTER(ARQUIVOS[DATA RECEBIMENTO],(ARQUIVOS[DOCUMENTO]=LD_01[[#This Row],[DOCUMENTO]])*(ARQUIVOS[REVISÃO]=LD_01[[#This Row],[REVISÃO]])))</f>
        <v>45931</v>
      </c>
      <c r="L11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M1150" s="6" t="str">
        <f>LD_01[[#This Row],[PASTA]]&amp;"/"&amp;LD_01[[#This Row],[ARQUIVO]]</f>
        <v>MSV-163MS-638-NORTE/11.DS/MSV-163MS-638+600-EDI-EXE-RT-Q1-001-R03.pdf</v>
      </c>
    </row>
    <row r="1151" spans="1:13" ht="43.2" hidden="1" x14ac:dyDescent="0.3">
      <c r="A1151" s="6" t="s">
        <v>3953</v>
      </c>
      <c r="B1151" s="6" t="str">
        <f>VLOOKUP(LD_01[[#This Row],[DOCUMENTO]],_xlfn.SORTBY(ARQUIVOS_RECEBIDOS!$E$2:$F$5010,ARQUIVOS_RECEBIDOS!$F$2:$F$5010,-1),2,)</f>
        <v>R02</v>
      </c>
      <c r="C1151" s="15" t="s">
        <v>5987</v>
      </c>
      <c r="D1151" s="6" t="s">
        <v>4321</v>
      </c>
      <c r="E1151" s="8" t="s">
        <v>4280</v>
      </c>
      <c r="F1151" s="8" t="s">
        <v>4337</v>
      </c>
      <c r="G1151" s="6" t="str">
        <f>_xlfn.XLOOKUP(LD_01[[#This Row],[DISCIPLINA]],'CLASSES DE PROJETOS'!$F$3:$F$37,'CLASSES DE PROJETOS'!$C$3:$C$37)</f>
        <v>EL</v>
      </c>
      <c r="H1151" t="str">
        <f>_xlfn.TEXTJOIN("/",TRUE,"MSV-163MS-"&amp;LD_01[[#This Row],[TRECHO]],_xlfn.XLOOKUP(LD_01[[#This Row],[SIGLA]],'CLASSES DE PROJETOS'!$C$3:$C$37,'CLASSES DE PROJETOS'!$E$3:$E$37))</f>
        <v>MSV-163MS-702-NORTE/14.EL</v>
      </c>
      <c r="I1151" s="6" t="str" cm="1">
        <f t="array" ref="I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J1151" s="6" t="str" cm="1">
        <f t="array" ref="J1151">_xlfn.TEXTJOIN(", ",TRUE,_xlfn.UNIQUE(_xlfn._xlws.FILTER(ARQUIVOS_RECEBIDOS!$F$2:$F$5010,ARQUIVOS_RECEBIDOS!$E$2:$E$5010=LD_01[[#This Row],[DOCUMENTO]])))</f>
        <v>R02</v>
      </c>
      <c r="K1151" s="12" cm="1">
        <f t="array" ref="K1151">_xlfn.UNIQUE(_xlfn._xlws.FILTER(ARQUIVOS[DATA RECEBIMENTO],(ARQUIVOS[DOCUMENTO]=LD_01[[#This Row],[DOCUMENTO]])*(ARQUIVOS[REVISÃO]=LD_01[[#This Row],[REVISÃO]])))</f>
        <v>45838</v>
      </c>
      <c r="L11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M1151" s="6" t="str">
        <f>LD_01[[#This Row],[PASTA]]&amp;"/"&amp;LD_01[[#This Row],[ARQUIVO]]</f>
        <v>MSV-163MS-702-NORTE/14.EL/MSV-163MS-702+180-ACA-EXE-DE-K2-001-R02.pdf</v>
      </c>
    </row>
    <row r="1152" spans="1:13" ht="43.2" hidden="1" x14ac:dyDescent="0.3">
      <c r="A1152" s="6" t="s">
        <v>3954</v>
      </c>
      <c r="B1152" s="6" t="str">
        <f>VLOOKUP(LD_01[[#This Row],[DOCUMENTO]],_xlfn.SORTBY(ARQUIVOS_RECEBIDOS!$E$2:$F$5010,ARQUIVOS_RECEBIDOS!$F$2:$F$5010,-1),2,)</f>
        <v>R03</v>
      </c>
      <c r="C1152" s="15" t="s">
        <v>5987</v>
      </c>
      <c r="D1152" s="6" t="s">
        <v>4321</v>
      </c>
      <c r="E1152" s="8" t="s">
        <v>4281</v>
      </c>
      <c r="F1152" s="8" t="s">
        <v>4337</v>
      </c>
      <c r="G1152" s="6" t="str">
        <f>_xlfn.XLOOKUP(LD_01[[#This Row],[DISCIPLINA]],'CLASSES DE PROJETOS'!$F$3:$F$37,'CLASSES DE PROJETOS'!$C$3:$C$37)</f>
        <v>EL</v>
      </c>
      <c r="H1152" t="str">
        <f>_xlfn.TEXTJOIN("/",TRUE,"MSV-163MS-"&amp;LD_01[[#This Row],[TRECHO]],_xlfn.XLOOKUP(LD_01[[#This Row],[SIGLA]],'CLASSES DE PROJETOS'!$C$3:$C$37,'CLASSES DE PROJETOS'!$E$3:$E$37))</f>
        <v>MSV-163MS-702-NORTE/14.EL</v>
      </c>
      <c r="I1152" s="6" t="str" cm="1">
        <f t="array" ref="I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J1152" s="6" t="str" cm="1">
        <f t="array" ref="J1152">_xlfn.TEXTJOIN(", ",TRUE,_xlfn.UNIQUE(_xlfn._xlws.FILTER(ARQUIVOS_RECEBIDOS!$F$2:$F$5010,ARQUIVOS_RECEBIDOS!$E$2:$E$5010=LD_01[[#This Row],[DOCUMENTO]])))</f>
        <v>R02, R03</v>
      </c>
      <c r="K1152" s="12" cm="1">
        <f t="array" ref="K1152">_xlfn.UNIQUE(_xlfn._xlws.FILTER(ARQUIVOS[DATA RECEBIMENTO],(ARQUIVOS[DOCUMENTO]=LD_01[[#This Row],[DOCUMENTO]])*(ARQUIVOS[REVISÃO]=LD_01[[#This Row],[REVISÃO]])))</f>
        <v>45895</v>
      </c>
      <c r="L11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M1152" s="6" t="str">
        <f>LD_01[[#This Row],[PASTA]]&amp;"/"&amp;LD_01[[#This Row],[ARQUIVO]]</f>
        <v>MSV-163MS-702-NORTE/14.EL/MSV-163MS-702+180-ACA-EXE-DE-K2-002-R03.pdf</v>
      </c>
    </row>
    <row r="1153" spans="1:13" ht="43.2" hidden="1" x14ac:dyDescent="0.3">
      <c r="A1153" s="6" t="s">
        <v>3955</v>
      </c>
      <c r="B1153" s="6" t="str">
        <f>VLOOKUP(LD_01[[#This Row],[DOCUMENTO]],_xlfn.SORTBY(ARQUIVOS_RECEBIDOS!$E$2:$F$5010,ARQUIVOS_RECEBIDOS!$F$2:$F$5010,-1),2,)</f>
        <v>R04</v>
      </c>
      <c r="C1153" s="15" t="s">
        <v>5987</v>
      </c>
      <c r="D1153" s="6" t="s">
        <v>4321</v>
      </c>
      <c r="E1153" s="8" t="s">
        <v>4282</v>
      </c>
      <c r="F1153" s="8" t="s">
        <v>4337</v>
      </c>
      <c r="G1153" s="6" t="str">
        <f>_xlfn.XLOOKUP(LD_01[[#This Row],[DISCIPLINA]],'CLASSES DE PROJETOS'!$F$3:$F$37,'CLASSES DE PROJETOS'!$C$3:$C$37)</f>
        <v>EL</v>
      </c>
      <c r="H1153" t="str">
        <f>_xlfn.TEXTJOIN("/",TRUE,"MSV-163MS-"&amp;LD_01[[#This Row],[TRECHO]],_xlfn.XLOOKUP(LD_01[[#This Row],[SIGLA]],'CLASSES DE PROJETOS'!$C$3:$C$37,'CLASSES DE PROJETOS'!$E$3:$E$37))</f>
        <v>MSV-163MS-702-NORTE/14.EL</v>
      </c>
      <c r="I1153" s="6" t="str" cm="1">
        <f t="array" ref="I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J1153" s="6" t="str" cm="1">
        <f t="array" ref="J1153">_xlfn.TEXTJOIN(", ",TRUE,_xlfn.UNIQUE(_xlfn._xlws.FILTER(ARQUIVOS_RECEBIDOS!$F$2:$F$5010,ARQUIVOS_RECEBIDOS!$E$2:$E$5010=LD_01[[#This Row],[DOCUMENTO]])))</f>
        <v>R04</v>
      </c>
      <c r="K1153" s="12" cm="1">
        <f t="array" ref="K1153">_xlfn.UNIQUE(_xlfn._xlws.FILTER(ARQUIVOS[DATA RECEBIMENTO],(ARQUIVOS[DOCUMENTO]=LD_01[[#This Row],[DOCUMENTO]])*(ARQUIVOS[REVISÃO]=LD_01[[#This Row],[REVISÃO]])))</f>
        <v>45838</v>
      </c>
      <c r="L11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M1153" s="6" t="str">
        <f>LD_01[[#This Row],[PASTA]]&amp;"/"&amp;LD_01[[#This Row],[ARQUIVO]]</f>
        <v>MSV-163MS-702-NORTE/14.EL/MSV-163MS-702+180-ACA-EXE-DE-K2-003-R04.pdf</v>
      </c>
    </row>
    <row r="1154" spans="1:13" ht="43.2" hidden="1" x14ac:dyDescent="0.3">
      <c r="A1154" s="6" t="s">
        <v>3956</v>
      </c>
      <c r="B1154" s="6" t="str">
        <f>VLOOKUP(LD_01[[#This Row],[DOCUMENTO]],_xlfn.SORTBY(ARQUIVOS_RECEBIDOS!$E$2:$F$5010,ARQUIVOS_RECEBIDOS!$F$2:$F$5010,-1),2,)</f>
        <v>R03</v>
      </c>
      <c r="C1154" s="15" t="s">
        <v>5987</v>
      </c>
      <c r="D1154" s="6" t="s">
        <v>4321</v>
      </c>
      <c r="E1154" s="8" t="s">
        <v>4187</v>
      </c>
      <c r="F1154" s="8" t="s">
        <v>4337</v>
      </c>
      <c r="G1154" s="6" t="str">
        <f>_xlfn.XLOOKUP(LD_01[[#This Row],[DISCIPLINA]],'CLASSES DE PROJETOS'!$F$3:$F$37,'CLASSES DE PROJETOS'!$C$3:$C$37)</f>
        <v>EL</v>
      </c>
      <c r="H1154" t="str">
        <f>_xlfn.TEXTJOIN("/",TRUE,"MSV-163MS-"&amp;LD_01[[#This Row],[TRECHO]],_xlfn.XLOOKUP(LD_01[[#This Row],[SIGLA]],'CLASSES DE PROJETOS'!$C$3:$C$37,'CLASSES DE PROJETOS'!$E$3:$E$37))</f>
        <v>MSV-163MS-702-NORTE/14.EL</v>
      </c>
      <c r="I1154" s="6" t="str" cm="1">
        <f t="array" ref="I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J1154" s="6" t="str" cm="1">
        <f t="array" ref="J1154">_xlfn.TEXTJOIN(", ",TRUE,_xlfn.UNIQUE(_xlfn._xlws.FILTER(ARQUIVOS_RECEBIDOS!$F$2:$F$5010,ARQUIVOS_RECEBIDOS!$E$2:$E$5010=LD_01[[#This Row],[DOCUMENTO]])))</f>
        <v>R02, R03</v>
      </c>
      <c r="K1154" s="12" cm="1">
        <f t="array" ref="K1154">_xlfn.UNIQUE(_xlfn._xlws.FILTER(ARQUIVOS[DATA RECEBIMENTO],(ARQUIVOS[DOCUMENTO]=LD_01[[#This Row],[DOCUMENTO]])*(ARQUIVOS[REVISÃO]=LD_01[[#This Row],[REVISÃO]])))</f>
        <v>45895</v>
      </c>
      <c r="L11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M1154" s="6" t="str">
        <f>LD_01[[#This Row],[PASTA]]&amp;"/"&amp;LD_01[[#This Row],[ARQUIVO]]</f>
        <v>MSV-163MS-702-NORTE/14.EL/MSV-163MS-702+180-ACA-EXE-DE-K2-004-R03.pdf</v>
      </c>
    </row>
    <row r="1155" spans="1:13" ht="43.2" hidden="1" x14ac:dyDescent="0.3">
      <c r="A1155" s="6" t="s">
        <v>3957</v>
      </c>
      <c r="B1155" s="6" t="str">
        <f>VLOOKUP(LD_01[[#This Row],[DOCUMENTO]],_xlfn.SORTBY(ARQUIVOS_RECEBIDOS!$E$2:$F$5010,ARQUIVOS_RECEBIDOS!$F$2:$F$5010,-1),2,)</f>
        <v>R03</v>
      </c>
      <c r="C1155" s="15" t="s">
        <v>5987</v>
      </c>
      <c r="D1155" s="6" t="s">
        <v>4321</v>
      </c>
      <c r="E1155" s="8" t="s">
        <v>4283</v>
      </c>
      <c r="F1155" s="8" t="s">
        <v>4337</v>
      </c>
      <c r="G1155" s="6" t="str">
        <f>_xlfn.XLOOKUP(LD_01[[#This Row],[DISCIPLINA]],'CLASSES DE PROJETOS'!$F$3:$F$37,'CLASSES DE PROJETOS'!$C$3:$C$37)</f>
        <v>EL</v>
      </c>
      <c r="H1155" t="str">
        <f>_xlfn.TEXTJOIN("/",TRUE,"MSV-163MS-"&amp;LD_01[[#This Row],[TRECHO]],_xlfn.XLOOKUP(LD_01[[#This Row],[SIGLA]],'CLASSES DE PROJETOS'!$C$3:$C$37,'CLASSES DE PROJETOS'!$E$3:$E$37))</f>
        <v>MSV-163MS-702-NORTE/14.EL</v>
      </c>
      <c r="I1155" s="6" t="str" cm="1">
        <f t="array" ref="I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J1155" s="6" t="str" cm="1">
        <f t="array" ref="J1155">_xlfn.TEXTJOIN(", ",TRUE,_xlfn.UNIQUE(_xlfn._xlws.FILTER(ARQUIVOS_RECEBIDOS!$F$2:$F$5010,ARQUIVOS_RECEBIDOS!$E$2:$E$5010=LD_01[[#This Row],[DOCUMENTO]])))</f>
        <v>R03</v>
      </c>
      <c r="K1155" s="12" cm="1">
        <f t="array" ref="K1155">_xlfn.UNIQUE(_xlfn._xlws.FILTER(ARQUIVOS[DATA RECEBIMENTO],(ARQUIVOS[DOCUMENTO]=LD_01[[#This Row],[DOCUMENTO]])*(ARQUIVOS[REVISÃO]=LD_01[[#This Row],[REVISÃO]])))</f>
        <v>45838</v>
      </c>
      <c r="L11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M1155" s="6" t="str">
        <f>LD_01[[#This Row],[PASTA]]&amp;"/"&amp;LD_01[[#This Row],[ARQUIVO]]</f>
        <v>MSV-163MS-702-NORTE/14.EL/MSV-163MS-702+180-ACA-EXE-MC-K2-001-R03.pdf</v>
      </c>
    </row>
    <row r="1156" spans="1:13" ht="43.2" hidden="1" x14ac:dyDescent="0.3">
      <c r="A1156" s="6" t="s">
        <v>3958</v>
      </c>
      <c r="B1156" s="6" t="str">
        <f>VLOOKUP(LD_01[[#This Row],[DOCUMENTO]],_xlfn.SORTBY(ARQUIVOS_RECEBIDOS!$E$2:$F$5010,ARQUIVOS_RECEBIDOS!$F$2:$F$5010,-1),2,)</f>
        <v>R02</v>
      </c>
      <c r="C1156" s="15" t="s">
        <v>5987</v>
      </c>
      <c r="D1156" s="6" t="s">
        <v>4321</v>
      </c>
      <c r="E1156" s="8" t="s">
        <v>4189</v>
      </c>
      <c r="F1156" s="8" t="s">
        <v>4337</v>
      </c>
      <c r="G1156" s="6" t="str">
        <f>_xlfn.XLOOKUP(LD_01[[#This Row],[DISCIPLINA]],'CLASSES DE PROJETOS'!$F$3:$F$37,'CLASSES DE PROJETOS'!$C$3:$C$37)</f>
        <v>EL</v>
      </c>
      <c r="H1156" t="str">
        <f>_xlfn.TEXTJOIN("/",TRUE,"MSV-163MS-"&amp;LD_01[[#This Row],[TRECHO]],_xlfn.XLOOKUP(LD_01[[#This Row],[SIGLA]],'CLASSES DE PROJETOS'!$C$3:$C$37,'CLASSES DE PROJETOS'!$E$3:$E$37))</f>
        <v>MSV-163MS-702-NORTE/14.EL</v>
      </c>
      <c r="I1156" s="6" t="str" cm="1">
        <f t="array" ref="I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J1156" s="6" t="str" cm="1">
        <f t="array" ref="J1156">_xlfn.TEXTJOIN(", ",TRUE,_xlfn.UNIQUE(_xlfn._xlws.FILTER(ARQUIVOS_RECEBIDOS!$F$2:$F$5010,ARQUIVOS_RECEBIDOS!$E$2:$E$5010=LD_01[[#This Row],[DOCUMENTO]])))</f>
        <v>R02</v>
      </c>
      <c r="K1156" s="12" cm="1">
        <f t="array" ref="K1156">_xlfn.UNIQUE(_xlfn._xlws.FILTER(ARQUIVOS[DATA RECEBIMENTO],(ARQUIVOS[DOCUMENTO]=LD_01[[#This Row],[DOCUMENTO]])*(ARQUIVOS[REVISÃO]=LD_01[[#This Row],[REVISÃO]])))</f>
        <v>45838</v>
      </c>
      <c r="L11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M1156" s="6" t="str">
        <f>LD_01[[#This Row],[PASTA]]&amp;"/"&amp;LD_01[[#This Row],[ARQUIVO]]</f>
        <v>MSV-163MS-702-NORTE/14.EL/MSV-163MS-702+180-ACA-EXE-MC-K2-002-R02.pdf</v>
      </c>
    </row>
    <row r="1157" spans="1:13" ht="43.2" hidden="1" x14ac:dyDescent="0.3">
      <c r="A1157" s="6" t="s">
        <v>3959</v>
      </c>
      <c r="B1157" s="6" t="str">
        <f>VLOOKUP(LD_01[[#This Row],[DOCUMENTO]],_xlfn.SORTBY(ARQUIVOS_RECEBIDOS!$E$2:$F$5010,ARQUIVOS_RECEBIDOS!$F$2:$F$5010,-1),2,)</f>
        <v>R04</v>
      </c>
      <c r="C1157" s="15" t="s">
        <v>5987</v>
      </c>
      <c r="D1157" s="6" t="s">
        <v>4321</v>
      </c>
      <c r="E1157" s="8" t="s">
        <v>4190</v>
      </c>
      <c r="F1157" s="8" t="s">
        <v>4337</v>
      </c>
      <c r="G1157" s="6" t="str">
        <f>_xlfn.XLOOKUP(LD_01[[#This Row],[DISCIPLINA]],'CLASSES DE PROJETOS'!$F$3:$F$37,'CLASSES DE PROJETOS'!$C$3:$C$37)</f>
        <v>EL</v>
      </c>
      <c r="H1157" t="str">
        <f>_xlfn.TEXTJOIN("/",TRUE,"MSV-163MS-"&amp;LD_01[[#This Row],[TRECHO]],_xlfn.XLOOKUP(LD_01[[#This Row],[SIGLA]],'CLASSES DE PROJETOS'!$C$3:$C$37,'CLASSES DE PROJETOS'!$E$3:$E$37))</f>
        <v>MSV-163MS-702-NORTE/14.EL</v>
      </c>
      <c r="I1157" s="6" t="str" cm="1">
        <f t="array" ref="I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J1157" s="6" t="str" cm="1">
        <f t="array" ref="J1157">_xlfn.TEXTJOIN(", ",TRUE,_xlfn.UNIQUE(_xlfn._xlws.FILTER(ARQUIVOS_RECEBIDOS!$F$2:$F$5010,ARQUIVOS_RECEBIDOS!$E$2:$E$5010=LD_01[[#This Row],[DOCUMENTO]])))</f>
        <v>R02, R04</v>
      </c>
      <c r="K1157" s="12" cm="1">
        <f t="array" ref="K1157">_xlfn.UNIQUE(_xlfn._xlws.FILTER(ARQUIVOS[DATA RECEBIMENTO],(ARQUIVOS[DOCUMENTO]=LD_01[[#This Row],[DOCUMENTO]])*(ARQUIVOS[REVISÃO]=LD_01[[#This Row],[REVISÃO]])))</f>
        <v>45946</v>
      </c>
      <c r="L11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M1157" s="6" t="str">
        <f>LD_01[[#This Row],[PASTA]]&amp;"/"&amp;LD_01[[#This Row],[ARQUIVO]]</f>
        <v>MSV-163MS-702-NORTE/14.EL/MSV-163MS-702+180-ACA-EXE-MD-K2-001-R04.pdf</v>
      </c>
    </row>
    <row r="1158" spans="1:13" hidden="1" x14ac:dyDescent="0.3">
      <c r="A1158" s="6" t="s">
        <v>3921</v>
      </c>
      <c r="B1158" s="6" t="str">
        <f>VLOOKUP(LD_01[[#This Row],[DOCUMENTO]],_xlfn.SORTBY(ARQUIVOS_RECEBIDOS!$E$2:$F$5010,ARQUIVOS_RECEBIDOS!$F$2:$F$5010,-1),2,)</f>
        <v>R00</v>
      </c>
      <c r="C1158" s="15" t="s">
        <v>5987</v>
      </c>
      <c r="D1158" s="6" t="s">
        <v>4321</v>
      </c>
      <c r="E1158" s="8" t="s">
        <v>4164</v>
      </c>
      <c r="F1158" s="8" t="s">
        <v>4163</v>
      </c>
      <c r="G1158" s="6" t="str">
        <f>_xlfn.XLOOKUP(LD_01[[#This Row],[DISCIPLINA]],'CLASSES DE PROJETOS'!$F$3:$F$37,'CLASSES DE PROJETOS'!$C$3:$C$37)</f>
        <v>TO</v>
      </c>
      <c r="H1158" t="str">
        <f>_xlfn.TEXTJOIN("/",TRUE,"MSV-163MS-"&amp;LD_01[[#This Row],[TRECHO]],_xlfn.XLOOKUP(LD_01[[#This Row],[SIGLA]],'CLASSES DE PROJETOS'!$C$3:$C$37,'CLASSES DE PROJETOS'!$E$3:$E$37))</f>
        <v>MSV-163MS-702-NORTE/33.TO</v>
      </c>
      <c r="I1158" s="6" t="str" cm="1">
        <f t="array" ref="I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J1158" s="6" t="str" cm="1">
        <f t="array" ref="J1158">_xlfn.TEXTJOIN(", ",TRUE,_xlfn.UNIQUE(_xlfn._xlws.FILTER(ARQUIVOS_RECEBIDOS!$F$2:$F$5010,ARQUIVOS_RECEBIDOS!$E$2:$E$5010=LD_01[[#This Row],[DOCUMENTO]])))</f>
        <v>R00</v>
      </c>
      <c r="K1158" s="12" cm="1">
        <f t="array" ref="K1158">_xlfn.UNIQUE(_xlfn._xlws.FILTER(ARQUIVOS[DATA RECEBIMENTO],(ARQUIVOS[DOCUMENTO]=LD_01[[#This Row],[DOCUMENTO]])*(ARQUIVOS[REVISÃO]=LD_01[[#This Row],[REVISÃO]])))</f>
        <v>45838</v>
      </c>
      <c r="L11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M1158" s="6" t="str">
        <f>LD_01[[#This Row],[PASTA]]&amp;"/"&amp;LD_01[[#This Row],[ARQUIVO]]</f>
        <v>MSV-163MS-702-NORTE/33.TO/MSV-163MS-702+180-RET-EXE-DE-C1-001-R00.pdf</v>
      </c>
    </row>
    <row r="1159" spans="1:13" ht="28.8" hidden="1" x14ac:dyDescent="0.3">
      <c r="A1159" s="6" t="s">
        <v>3960</v>
      </c>
      <c r="B1159" s="6" t="str">
        <f>VLOOKUP(LD_01[[#This Row],[DOCUMENTO]],_xlfn.SORTBY(ARQUIVOS_RECEBIDOS!$E$2:$F$5010,ARQUIVOS_RECEBIDOS!$F$2:$F$5010,-1),2,)</f>
        <v>R02</v>
      </c>
      <c r="C1159" s="15" t="s">
        <v>5987</v>
      </c>
      <c r="D1159" s="6" t="s">
        <v>4321</v>
      </c>
      <c r="E1159" s="8" t="s">
        <v>4284</v>
      </c>
      <c r="F1159" s="8" t="s">
        <v>4332</v>
      </c>
      <c r="G1159" s="6" t="str">
        <f>_xlfn.XLOOKUP(LD_01[[#This Row],[DISCIPLINA]],'CLASSES DE PROJETOS'!$F$3:$F$37,'CLASSES DE PROJETOS'!$C$3:$C$37)</f>
        <v>GG</v>
      </c>
      <c r="H1159" t="str">
        <f>_xlfn.TEXTJOIN("/",TRUE,"MSV-163MS-"&amp;LD_01[[#This Row],[TRECHO]],_xlfn.XLOOKUP(LD_01[[#This Row],[SIGLA]],'CLASSES DE PROJETOS'!$C$3:$C$37,'CLASSES DE PROJETOS'!$E$3:$E$37))</f>
        <v>MSV-163MS-702-NORTE/19.GG</v>
      </c>
      <c r="I1159" s="6" t="str" cm="1">
        <f t="array" ref="I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J1159" s="6" t="str" cm="1">
        <f t="array" ref="J1159">_xlfn.TEXTJOIN(", ",TRUE,_xlfn.UNIQUE(_xlfn._xlws.FILTER(ARQUIVOS_RECEBIDOS!$F$2:$F$5010,ARQUIVOS_RECEBIDOS!$E$2:$E$5010=LD_01[[#This Row],[DOCUMENTO]])))</f>
        <v>R02</v>
      </c>
      <c r="K1159" s="12" cm="1">
        <f t="array" ref="K1159">_xlfn.UNIQUE(_xlfn._xlws.FILTER(ARQUIVOS[DATA RECEBIMENTO],(ARQUIVOS[DOCUMENTO]=LD_01[[#This Row],[DOCUMENTO]])*(ARQUIVOS[REVISÃO]=LD_01[[#This Row],[REVISÃO]])))</f>
        <v>45838</v>
      </c>
      <c r="L11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M1159" s="6" t="str">
        <f>LD_01[[#This Row],[PASTA]]&amp;"/"&amp;LD_01[[#This Row],[ARQUIVO]]</f>
        <v>MSV-163MS-702-NORTE/19.GG/MSV-163MS-702+180-RET-EXE-DE-D3-001-R02.pdf</v>
      </c>
    </row>
    <row r="1160" spans="1:13" ht="28.8" hidden="1" x14ac:dyDescent="0.3">
      <c r="A1160" s="6" t="s">
        <v>3961</v>
      </c>
      <c r="B1160" s="6" t="str">
        <f>VLOOKUP(LD_01[[#This Row],[DOCUMENTO]],_xlfn.SORTBY(ARQUIVOS_RECEBIDOS!$E$2:$F$5010,ARQUIVOS_RECEBIDOS!$F$2:$F$5010,-1),2,)</f>
        <v>R02</v>
      </c>
      <c r="C1160" s="15" t="s">
        <v>5987</v>
      </c>
      <c r="D1160" s="6" t="s">
        <v>4321</v>
      </c>
      <c r="E1160" s="8" t="s">
        <v>4284</v>
      </c>
      <c r="F1160" s="8" t="s">
        <v>4332</v>
      </c>
      <c r="G1160" s="6" t="str">
        <f>_xlfn.XLOOKUP(LD_01[[#This Row],[DISCIPLINA]],'CLASSES DE PROJETOS'!$F$3:$F$37,'CLASSES DE PROJETOS'!$C$3:$C$37)</f>
        <v>GG</v>
      </c>
      <c r="H1160" t="str">
        <f>_xlfn.TEXTJOIN("/",TRUE,"MSV-163MS-"&amp;LD_01[[#This Row],[TRECHO]],_xlfn.XLOOKUP(LD_01[[#This Row],[SIGLA]],'CLASSES DE PROJETOS'!$C$3:$C$37,'CLASSES DE PROJETOS'!$E$3:$E$37))</f>
        <v>MSV-163MS-702-NORTE/19.GG</v>
      </c>
      <c r="I1160" s="6" t="str" cm="1">
        <f t="array" ref="I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J1160" s="6" t="str" cm="1">
        <f t="array" ref="J1160">_xlfn.TEXTJOIN(", ",TRUE,_xlfn.UNIQUE(_xlfn._xlws.FILTER(ARQUIVOS_RECEBIDOS!$F$2:$F$5010,ARQUIVOS_RECEBIDOS!$E$2:$E$5010=LD_01[[#This Row],[DOCUMENTO]])))</f>
        <v>R02</v>
      </c>
      <c r="K1160" s="12" cm="1">
        <f t="array" ref="K1160">_xlfn.UNIQUE(_xlfn._xlws.FILTER(ARQUIVOS[DATA RECEBIMENTO],(ARQUIVOS[DOCUMENTO]=LD_01[[#This Row],[DOCUMENTO]])*(ARQUIVOS[REVISÃO]=LD_01[[#This Row],[REVISÃO]])))</f>
        <v>45838</v>
      </c>
      <c r="L11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M1160" s="6" t="str">
        <f>LD_01[[#This Row],[PASTA]]&amp;"/"&amp;LD_01[[#This Row],[ARQUIVO]]</f>
        <v>MSV-163MS-702-NORTE/19.GG/MSV-163MS-702+180-RET-EXE-DE-D3-002-R02.pdf</v>
      </c>
    </row>
    <row r="1161" spans="1:13" ht="28.8" hidden="1" x14ac:dyDescent="0.3">
      <c r="A1161" s="6" t="s">
        <v>3923</v>
      </c>
      <c r="B1161" s="6" t="str">
        <f>VLOOKUP(LD_01[[#This Row],[DOCUMENTO]],_xlfn.SORTBY(ARQUIVOS_RECEBIDOS!$E$2:$F$5010,ARQUIVOS_RECEBIDOS!$F$2:$F$5010,-1),2,)</f>
        <v>R03</v>
      </c>
      <c r="C1161" s="15" t="s">
        <v>5987</v>
      </c>
      <c r="D1161" s="6" t="s">
        <v>4321</v>
      </c>
      <c r="E1161" s="8" t="s">
        <v>4305</v>
      </c>
      <c r="F1161" s="8" t="s">
        <v>4141</v>
      </c>
      <c r="G1161" s="6" t="str">
        <f>_xlfn.XLOOKUP(LD_01[[#This Row],[DISCIPLINA]],'CLASSES DE PROJETOS'!$F$3:$F$37,'CLASSES DE PROJETOS'!$C$3:$C$37)</f>
        <v>GE</v>
      </c>
      <c r="H1161" t="str">
        <f>_xlfn.TEXTJOIN("/",TRUE,"MSV-163MS-"&amp;LD_01[[#This Row],[TRECHO]],_xlfn.XLOOKUP(LD_01[[#This Row],[SIGLA]],'CLASSES DE PROJETOS'!$C$3:$C$37,'CLASSES DE PROJETOS'!$E$3:$E$37))</f>
        <v>MSV-163MS-702-NORTE/18.GE</v>
      </c>
      <c r="I1161" s="6" t="str" cm="1">
        <f t="array" ref="I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J1161" s="6" t="str" cm="1">
        <f t="array" ref="J1161">_xlfn.TEXTJOIN(", ",TRUE,_xlfn.UNIQUE(_xlfn._xlws.FILTER(ARQUIVOS_RECEBIDOS!$F$2:$F$5010,ARQUIVOS_RECEBIDOS!$E$2:$E$5010=LD_01[[#This Row],[DOCUMENTO]])))</f>
        <v>R03</v>
      </c>
      <c r="K1161" s="12" cm="1">
        <f t="array" ref="K1161">_xlfn.UNIQUE(_xlfn._xlws.FILTER(ARQUIVOS[DATA RECEBIMENTO],(ARQUIVOS[DOCUMENTO]=LD_01[[#This Row],[DOCUMENTO]])*(ARQUIVOS[REVISÃO]=LD_01[[#This Row],[REVISÃO]])))</f>
        <v>45838</v>
      </c>
      <c r="L11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M1161" s="6" t="str">
        <f>LD_01[[#This Row],[PASTA]]&amp;"/"&amp;LD_01[[#This Row],[ARQUIVO]]</f>
        <v>MSV-163MS-702-NORTE/18.GE/MSV-163MS-702+180-RET-EXE-DE-F1-001-R03.pdf</v>
      </c>
    </row>
    <row r="1162" spans="1:13" ht="28.8" hidden="1" x14ac:dyDescent="0.3">
      <c r="A1162" s="6" t="s">
        <v>3924</v>
      </c>
      <c r="B1162" s="6" t="str">
        <f>VLOOKUP(LD_01[[#This Row],[DOCUMENTO]],_xlfn.SORTBY(ARQUIVOS_RECEBIDOS!$E$2:$F$5010,ARQUIVOS_RECEBIDOS!$F$2:$F$5010,-1),2,)</f>
        <v>R02</v>
      </c>
      <c r="C1162" s="15" t="s">
        <v>5987</v>
      </c>
      <c r="D1162" s="6" t="s">
        <v>4321</v>
      </c>
      <c r="E1162" s="8" t="s">
        <v>4305</v>
      </c>
      <c r="F1162" s="8" t="s">
        <v>4141</v>
      </c>
      <c r="G1162" s="6" t="str">
        <f>_xlfn.XLOOKUP(LD_01[[#This Row],[DISCIPLINA]],'CLASSES DE PROJETOS'!$F$3:$F$37,'CLASSES DE PROJETOS'!$C$3:$C$37)</f>
        <v>GE</v>
      </c>
      <c r="H1162" t="str">
        <f>_xlfn.TEXTJOIN("/",TRUE,"MSV-163MS-"&amp;LD_01[[#This Row],[TRECHO]],_xlfn.XLOOKUP(LD_01[[#This Row],[SIGLA]],'CLASSES DE PROJETOS'!$C$3:$C$37,'CLASSES DE PROJETOS'!$E$3:$E$37))</f>
        <v>MSV-163MS-702-NORTE/18.GE</v>
      </c>
      <c r="I1162" s="6" t="str" cm="1">
        <f t="array" ref="I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J1162" s="6" t="str" cm="1">
        <f t="array" ref="J1162">_xlfn.TEXTJOIN(", ",TRUE,_xlfn.UNIQUE(_xlfn._xlws.FILTER(ARQUIVOS_RECEBIDOS!$F$2:$F$5010,ARQUIVOS_RECEBIDOS!$E$2:$E$5010=LD_01[[#This Row],[DOCUMENTO]])))</f>
        <v>R02</v>
      </c>
      <c r="K1162" s="12" cm="1">
        <f t="array" ref="K1162">_xlfn.UNIQUE(_xlfn._xlws.FILTER(ARQUIVOS[DATA RECEBIMENTO],(ARQUIVOS[DOCUMENTO]=LD_01[[#This Row],[DOCUMENTO]])*(ARQUIVOS[REVISÃO]=LD_01[[#This Row],[REVISÃO]])))</f>
        <v>45838</v>
      </c>
      <c r="L11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M1162" s="6" t="str">
        <f>LD_01[[#This Row],[PASTA]]&amp;"/"&amp;LD_01[[#This Row],[ARQUIVO]]</f>
        <v>MSV-163MS-702-NORTE/18.GE/MSV-163MS-702+180-RET-EXE-DE-F1-002-R02.pdf</v>
      </c>
    </row>
    <row r="1163" spans="1:13" ht="28.8" hidden="1" x14ac:dyDescent="0.3">
      <c r="A1163" s="6" t="s">
        <v>3925</v>
      </c>
      <c r="B1163" s="6" t="str">
        <f>VLOOKUP(LD_01[[#This Row],[DOCUMENTO]],_xlfn.SORTBY(ARQUIVOS_RECEBIDOS!$E$2:$F$5010,ARQUIVOS_RECEBIDOS!$F$2:$F$5010,-1),2,)</f>
        <v>R01</v>
      </c>
      <c r="C1163" s="15" t="s">
        <v>5987</v>
      </c>
      <c r="D1163" s="6" t="s">
        <v>4321</v>
      </c>
      <c r="E1163" s="8" t="s">
        <v>4194</v>
      </c>
      <c r="F1163" s="8" t="s">
        <v>4141</v>
      </c>
      <c r="G1163" s="6" t="str">
        <f>_xlfn.XLOOKUP(LD_01[[#This Row],[DISCIPLINA]],'CLASSES DE PROJETOS'!$F$3:$F$37,'CLASSES DE PROJETOS'!$C$3:$C$37)</f>
        <v>GE</v>
      </c>
      <c r="H1163" t="str">
        <f>_xlfn.TEXTJOIN("/",TRUE,"MSV-163MS-"&amp;LD_01[[#This Row],[TRECHO]],_xlfn.XLOOKUP(LD_01[[#This Row],[SIGLA]],'CLASSES DE PROJETOS'!$C$3:$C$37,'CLASSES DE PROJETOS'!$E$3:$E$37))</f>
        <v>MSV-163MS-702-NORTE/18.GE</v>
      </c>
      <c r="I1163" s="6" t="str" cm="1">
        <f t="array" ref="I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J1163" s="6" t="str" cm="1">
        <f t="array" ref="J1163">_xlfn.TEXTJOIN(", ",TRUE,_xlfn.UNIQUE(_xlfn._xlws.FILTER(ARQUIVOS_RECEBIDOS!$F$2:$F$5010,ARQUIVOS_RECEBIDOS!$E$2:$E$5010=LD_01[[#This Row],[DOCUMENTO]])))</f>
        <v>R01</v>
      </c>
      <c r="K1163" s="12" cm="1">
        <f t="array" ref="K1163">_xlfn.UNIQUE(_xlfn._xlws.FILTER(ARQUIVOS[DATA RECEBIMENTO],(ARQUIVOS[DOCUMENTO]=LD_01[[#This Row],[DOCUMENTO]])*(ARQUIVOS[REVISÃO]=LD_01[[#This Row],[REVISÃO]])))</f>
        <v>45838</v>
      </c>
      <c r="L11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M1163" s="6" t="str">
        <f>LD_01[[#This Row],[PASTA]]&amp;"/"&amp;LD_01[[#This Row],[ARQUIVO]]</f>
        <v>MSV-163MS-702-NORTE/18.GE/MSV-163MS-702+180-RET-EXE-DE-F1-003-R01.pdf</v>
      </c>
    </row>
    <row r="1164" spans="1:13" ht="28.8" hidden="1" x14ac:dyDescent="0.3">
      <c r="A1164" s="6" t="s">
        <v>3927</v>
      </c>
      <c r="B1164" s="6" t="str">
        <f>VLOOKUP(LD_01[[#This Row],[DOCUMENTO]],_xlfn.SORTBY(ARQUIVOS_RECEBIDOS!$E$2:$F$5010,ARQUIVOS_RECEBIDOS!$F$2:$F$5010,-1),2,)</f>
        <v>R02</v>
      </c>
      <c r="C1164" s="15" t="s">
        <v>5987</v>
      </c>
      <c r="D1164" s="6" t="s">
        <v>4321</v>
      </c>
      <c r="E1164" s="8" t="s">
        <v>4260</v>
      </c>
      <c r="F1164" s="8" t="s">
        <v>4330</v>
      </c>
      <c r="G1164" s="6" t="str">
        <f>_xlfn.XLOOKUP(LD_01[[#This Row],[DISCIPLINA]],'CLASSES DE PROJETOS'!$F$3:$F$37,'CLASSES DE PROJETOS'!$C$3:$C$37)</f>
        <v>TE</v>
      </c>
      <c r="H1164" t="str">
        <f>_xlfn.TEXTJOIN("/",TRUE,"MSV-163MS-"&amp;LD_01[[#This Row],[TRECHO]],_xlfn.XLOOKUP(LD_01[[#This Row],[SIGLA]],'CLASSES DE PROJETOS'!$C$3:$C$37,'CLASSES DE PROJETOS'!$E$3:$E$37))</f>
        <v>MSV-163MS-702-NORTE/32.TE</v>
      </c>
      <c r="I1164" s="6" t="str" cm="1">
        <f t="array" ref="I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J1164" s="6" t="str" cm="1">
        <f t="array" ref="J1164">_xlfn.TEXTJOIN(", ",TRUE,_xlfn.UNIQUE(_xlfn._xlws.FILTER(ARQUIVOS_RECEBIDOS!$F$2:$F$5010,ARQUIVOS_RECEBIDOS!$E$2:$E$5010=LD_01[[#This Row],[DOCUMENTO]])))</f>
        <v>R02</v>
      </c>
      <c r="K1164" s="12" cm="1">
        <f t="array" ref="K1164">_xlfn.UNIQUE(_xlfn._xlws.FILTER(ARQUIVOS[DATA RECEBIMENTO],(ARQUIVOS[DOCUMENTO]=LD_01[[#This Row],[DOCUMENTO]])*(ARQUIVOS[REVISÃO]=LD_01[[#This Row],[REVISÃO]])))</f>
        <v>45838</v>
      </c>
      <c r="L11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M1164" s="6" t="str">
        <f>LD_01[[#This Row],[PASTA]]&amp;"/"&amp;LD_01[[#This Row],[ARQUIVO]]</f>
        <v>MSV-163MS-702-NORTE/32.TE/MSV-163MS-702+180-RET-EXE-DE-G1-001-R02.pdf</v>
      </c>
    </row>
    <row r="1165" spans="1:13" ht="28.8" hidden="1" x14ac:dyDescent="0.3">
      <c r="A1165" s="6" t="s">
        <v>3928</v>
      </c>
      <c r="B1165" s="6" t="str">
        <f>VLOOKUP(LD_01[[#This Row],[DOCUMENTO]],_xlfn.SORTBY(ARQUIVOS_RECEBIDOS!$E$2:$F$5010,ARQUIVOS_RECEBIDOS!$F$2:$F$5010,-1),2,)</f>
        <v>R02</v>
      </c>
      <c r="C1165" s="15" t="s">
        <v>5987</v>
      </c>
      <c r="D1165" s="6" t="s">
        <v>4321</v>
      </c>
      <c r="E1165" s="8" t="s">
        <v>4195</v>
      </c>
      <c r="F1165" s="8" t="s">
        <v>4330</v>
      </c>
      <c r="G1165" s="6" t="str">
        <f>_xlfn.XLOOKUP(LD_01[[#This Row],[DISCIPLINA]],'CLASSES DE PROJETOS'!$F$3:$F$37,'CLASSES DE PROJETOS'!$C$3:$C$37)</f>
        <v>TE</v>
      </c>
      <c r="H1165" t="str">
        <f>_xlfn.TEXTJOIN("/",TRUE,"MSV-163MS-"&amp;LD_01[[#This Row],[TRECHO]],_xlfn.XLOOKUP(LD_01[[#This Row],[SIGLA]],'CLASSES DE PROJETOS'!$C$3:$C$37,'CLASSES DE PROJETOS'!$E$3:$E$37))</f>
        <v>MSV-163MS-702-NORTE/32.TE</v>
      </c>
      <c r="I1165" s="6" t="str" cm="1">
        <f t="array" ref="I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J1165" s="6" t="str" cm="1">
        <f t="array" ref="J1165">_xlfn.TEXTJOIN(", ",TRUE,_xlfn.UNIQUE(_xlfn._xlws.FILTER(ARQUIVOS_RECEBIDOS!$F$2:$F$5010,ARQUIVOS_RECEBIDOS!$E$2:$E$5010=LD_01[[#This Row],[DOCUMENTO]])))</f>
        <v>R02</v>
      </c>
      <c r="K1165" s="12" cm="1">
        <f t="array" ref="K1165">_xlfn.UNIQUE(_xlfn._xlws.FILTER(ARQUIVOS[DATA RECEBIMENTO],(ARQUIVOS[DOCUMENTO]=LD_01[[#This Row],[DOCUMENTO]])*(ARQUIVOS[REVISÃO]=LD_01[[#This Row],[REVISÃO]])))</f>
        <v>45838</v>
      </c>
      <c r="L11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M1165" s="6" t="str">
        <f>LD_01[[#This Row],[PASTA]]&amp;"/"&amp;LD_01[[#This Row],[ARQUIVO]]</f>
        <v>MSV-163MS-702-NORTE/32.TE/MSV-163MS-702+180-RET-EXE-DE-G1-002-R02.pdf</v>
      </c>
    </row>
    <row r="1166" spans="1:13" ht="28.8" hidden="1" x14ac:dyDescent="0.3">
      <c r="A1166" s="6" t="s">
        <v>3929</v>
      </c>
      <c r="B1166" s="6" t="str">
        <f>VLOOKUP(LD_01[[#This Row],[DOCUMENTO]],_xlfn.SORTBY(ARQUIVOS_RECEBIDOS!$E$2:$F$5010,ARQUIVOS_RECEBIDOS!$F$2:$F$5010,-1),2,)</f>
        <v>R01</v>
      </c>
      <c r="C1166" s="15" t="s">
        <v>5987</v>
      </c>
      <c r="D1166" s="6" t="s">
        <v>4321</v>
      </c>
      <c r="E1166" s="8" t="s">
        <v>4195</v>
      </c>
      <c r="F1166" s="8" t="s">
        <v>4330</v>
      </c>
      <c r="G1166" s="6" t="str">
        <f>_xlfn.XLOOKUP(LD_01[[#This Row],[DISCIPLINA]],'CLASSES DE PROJETOS'!$F$3:$F$37,'CLASSES DE PROJETOS'!$C$3:$C$37)</f>
        <v>TE</v>
      </c>
      <c r="H1166" t="str">
        <f>_xlfn.TEXTJOIN("/",TRUE,"MSV-163MS-"&amp;LD_01[[#This Row],[TRECHO]],_xlfn.XLOOKUP(LD_01[[#This Row],[SIGLA]],'CLASSES DE PROJETOS'!$C$3:$C$37,'CLASSES DE PROJETOS'!$E$3:$E$37))</f>
        <v>MSV-163MS-702-NORTE/32.TE</v>
      </c>
      <c r="I1166" s="6" t="str" cm="1">
        <f t="array" ref="I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J1166" s="6" t="str" cm="1">
        <f t="array" ref="J1166">_xlfn.TEXTJOIN(", ",TRUE,_xlfn.UNIQUE(_xlfn._xlws.FILTER(ARQUIVOS_RECEBIDOS!$F$2:$F$5010,ARQUIVOS_RECEBIDOS!$E$2:$E$5010=LD_01[[#This Row],[DOCUMENTO]])))</f>
        <v>R01</v>
      </c>
      <c r="K1166" s="12" cm="1">
        <f t="array" ref="K1166">_xlfn.UNIQUE(_xlfn._xlws.FILTER(ARQUIVOS[DATA RECEBIMENTO],(ARQUIVOS[DOCUMENTO]=LD_01[[#This Row],[DOCUMENTO]])*(ARQUIVOS[REVISÃO]=LD_01[[#This Row],[REVISÃO]])))</f>
        <v>45838</v>
      </c>
      <c r="L11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M1166" s="6" t="str">
        <f>LD_01[[#This Row],[PASTA]]&amp;"/"&amp;LD_01[[#This Row],[ARQUIVO]]</f>
        <v>MSV-163MS-702-NORTE/32.TE/MSV-163MS-702+180-RET-EXE-DE-G1-003-R01.pdf</v>
      </c>
    </row>
    <row r="1167" spans="1:13" ht="28.8" hidden="1" x14ac:dyDescent="0.3">
      <c r="A1167" s="6" t="s">
        <v>3930</v>
      </c>
      <c r="B1167" s="6" t="str">
        <f>VLOOKUP(LD_01[[#This Row],[DOCUMENTO]],_xlfn.SORTBY(ARQUIVOS_RECEBIDOS!$E$2:$F$5010,ARQUIVOS_RECEBIDOS!$F$2:$F$5010,-1),2,)</f>
        <v>R01</v>
      </c>
      <c r="C1167" s="15" t="s">
        <v>5987</v>
      </c>
      <c r="D1167" s="6" t="s">
        <v>4321</v>
      </c>
      <c r="E1167" s="8" t="s">
        <v>4195</v>
      </c>
      <c r="F1167" s="8" t="s">
        <v>4330</v>
      </c>
      <c r="G1167" s="6" t="str">
        <f>_xlfn.XLOOKUP(LD_01[[#This Row],[DISCIPLINA]],'CLASSES DE PROJETOS'!$F$3:$F$37,'CLASSES DE PROJETOS'!$C$3:$C$37)</f>
        <v>TE</v>
      </c>
      <c r="H1167" t="str">
        <f>_xlfn.TEXTJOIN("/",TRUE,"MSV-163MS-"&amp;LD_01[[#This Row],[TRECHO]],_xlfn.XLOOKUP(LD_01[[#This Row],[SIGLA]],'CLASSES DE PROJETOS'!$C$3:$C$37,'CLASSES DE PROJETOS'!$E$3:$E$37))</f>
        <v>MSV-163MS-702-NORTE/32.TE</v>
      </c>
      <c r="I1167" s="6" t="str" cm="1">
        <f t="array" ref="I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J1167" s="6" t="str" cm="1">
        <f t="array" ref="J1167">_xlfn.TEXTJOIN(", ",TRUE,_xlfn.UNIQUE(_xlfn._xlws.FILTER(ARQUIVOS_RECEBIDOS!$F$2:$F$5010,ARQUIVOS_RECEBIDOS!$E$2:$E$5010=LD_01[[#This Row],[DOCUMENTO]])))</f>
        <v>R01</v>
      </c>
      <c r="K1167" s="12" cm="1">
        <f t="array" ref="K1167">_xlfn.UNIQUE(_xlfn._xlws.FILTER(ARQUIVOS[DATA RECEBIMENTO],(ARQUIVOS[DOCUMENTO]=LD_01[[#This Row],[DOCUMENTO]])*(ARQUIVOS[REVISÃO]=LD_01[[#This Row],[REVISÃO]])))</f>
        <v>45838</v>
      </c>
      <c r="L11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M1167" s="6" t="str">
        <f>LD_01[[#This Row],[PASTA]]&amp;"/"&amp;LD_01[[#This Row],[ARQUIVO]]</f>
        <v>MSV-163MS-702-NORTE/32.TE/MSV-163MS-702+180-RET-EXE-DE-G1-004-R01.pdf</v>
      </c>
    </row>
    <row r="1168" spans="1:13" ht="28.8" hidden="1" x14ac:dyDescent="0.3">
      <c r="A1168" s="6" t="s">
        <v>3931</v>
      </c>
      <c r="B1168" s="6" t="str">
        <f>VLOOKUP(LD_01[[#This Row],[DOCUMENTO]],_xlfn.SORTBY(ARQUIVOS_RECEBIDOS!$E$2:$F$5010,ARQUIVOS_RECEBIDOS!$F$2:$F$5010,-1),2,)</f>
        <v>R02</v>
      </c>
      <c r="C1168" s="15" t="s">
        <v>5987</v>
      </c>
      <c r="D1168" s="6" t="s">
        <v>4321</v>
      </c>
      <c r="E1168" s="8" t="s">
        <v>4261</v>
      </c>
      <c r="F1168" s="8" t="s">
        <v>4330</v>
      </c>
      <c r="G1168" s="6" t="str">
        <f>_xlfn.XLOOKUP(LD_01[[#This Row],[DISCIPLINA]],'CLASSES DE PROJETOS'!$F$3:$F$37,'CLASSES DE PROJETOS'!$C$3:$C$37)</f>
        <v>TE</v>
      </c>
      <c r="H1168" t="str">
        <f>_xlfn.TEXTJOIN("/",TRUE,"MSV-163MS-"&amp;LD_01[[#This Row],[TRECHO]],_xlfn.XLOOKUP(LD_01[[#This Row],[SIGLA]],'CLASSES DE PROJETOS'!$C$3:$C$37,'CLASSES DE PROJETOS'!$E$3:$E$37))</f>
        <v>MSV-163MS-702-NORTE/32.TE</v>
      </c>
      <c r="I1168" s="6" t="str" cm="1">
        <f t="array" ref="I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J1168" s="6" t="str" cm="1">
        <f t="array" ref="J1168">_xlfn.TEXTJOIN(", ",TRUE,_xlfn.UNIQUE(_xlfn._xlws.FILTER(ARQUIVOS_RECEBIDOS!$F$2:$F$5010,ARQUIVOS_RECEBIDOS!$E$2:$E$5010=LD_01[[#This Row],[DOCUMENTO]])))</f>
        <v>R02</v>
      </c>
      <c r="K1168" s="12" cm="1">
        <f t="array" ref="K1168">_xlfn.UNIQUE(_xlfn._xlws.FILTER(ARQUIVOS[DATA RECEBIMENTO],(ARQUIVOS[DOCUMENTO]=LD_01[[#This Row],[DOCUMENTO]])*(ARQUIVOS[REVISÃO]=LD_01[[#This Row],[REVISÃO]])))</f>
        <v>45838</v>
      </c>
      <c r="L11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M1168" s="6" t="str">
        <f>LD_01[[#This Row],[PASTA]]&amp;"/"&amp;LD_01[[#This Row],[ARQUIVO]]</f>
        <v>MSV-163MS-702-NORTE/32.TE/MSV-163MS-702+180-RET-EXE-DE-G1-101-R02.pdf</v>
      </c>
    </row>
    <row r="1169" spans="1:13" ht="28.8" hidden="1" x14ac:dyDescent="0.3">
      <c r="A1169" s="6" t="s">
        <v>3933</v>
      </c>
      <c r="B1169" s="6" t="str">
        <f>VLOOKUP(LD_01[[#This Row],[DOCUMENTO]],_xlfn.SORTBY(ARQUIVOS_RECEBIDOS!$E$2:$F$5010,ARQUIVOS_RECEBIDOS!$F$2:$F$5010,-1),2,)</f>
        <v>R04</v>
      </c>
      <c r="C1169" s="15" t="s">
        <v>5987</v>
      </c>
      <c r="D1169" s="6" t="s">
        <v>4321</v>
      </c>
      <c r="E1169" s="8" t="s">
        <v>4263</v>
      </c>
      <c r="F1169" s="8" t="s">
        <v>4142</v>
      </c>
      <c r="G1169" s="6" t="str">
        <f>_xlfn.XLOOKUP(LD_01[[#This Row],[DISCIPLINA]],'CLASSES DE PROJETOS'!$F$3:$F$37,'CLASSES DE PROJETOS'!$C$3:$C$37)</f>
        <v>DR</v>
      </c>
      <c r="H1169" t="str">
        <f>_xlfn.TEXTJOIN("/",TRUE,"MSV-163MS-"&amp;LD_01[[#This Row],[TRECHO]],_xlfn.XLOOKUP(LD_01[[#This Row],[SIGLA]],'CLASSES DE PROJETOS'!$C$3:$C$37,'CLASSES DE PROJETOS'!$E$3:$E$37))</f>
        <v>MSV-163MS-702-NORTE/10.DR</v>
      </c>
      <c r="I1169" s="6" t="str" cm="1">
        <f t="array" ref="I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J1169" s="6" t="str" cm="1">
        <f t="array" ref="J1169">_xlfn.TEXTJOIN(", ",TRUE,_xlfn.UNIQUE(_xlfn._xlws.FILTER(ARQUIVOS_RECEBIDOS!$F$2:$F$5010,ARQUIVOS_RECEBIDOS!$E$2:$E$5010=LD_01[[#This Row],[DOCUMENTO]])))</f>
        <v>R03, R04</v>
      </c>
      <c r="K1169" s="12" cm="1">
        <f t="array" ref="K1169">_xlfn.UNIQUE(_xlfn._xlws.FILTER(ARQUIVOS[DATA RECEBIMENTO],(ARQUIVOS[DOCUMENTO]=LD_01[[#This Row],[DOCUMENTO]])*(ARQUIVOS[REVISÃO]=LD_01[[#This Row],[REVISÃO]])))</f>
        <v>45895</v>
      </c>
      <c r="L11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M1169" s="6" t="str">
        <f>LD_01[[#This Row],[PASTA]]&amp;"/"&amp;LD_01[[#This Row],[ARQUIVO]]</f>
        <v>MSV-163MS-702-NORTE/10.DR/MSV-163MS-702+180-RET-EXE-DE-H2-001-R04.pdf</v>
      </c>
    </row>
    <row r="1170" spans="1:13" ht="28.8" hidden="1" x14ac:dyDescent="0.3">
      <c r="A1170" s="6" t="s">
        <v>3934</v>
      </c>
      <c r="B1170" s="6" t="str">
        <f>VLOOKUP(LD_01[[#This Row],[DOCUMENTO]],_xlfn.SORTBY(ARQUIVOS_RECEBIDOS!$E$2:$F$5010,ARQUIVOS_RECEBIDOS!$F$2:$F$5010,-1),2,)</f>
        <v>R04</v>
      </c>
      <c r="C1170" s="15" t="s">
        <v>5987</v>
      </c>
      <c r="D1170" s="6" t="s">
        <v>4321</v>
      </c>
      <c r="E1170" s="8" t="s">
        <v>4263</v>
      </c>
      <c r="F1170" s="8" t="s">
        <v>4142</v>
      </c>
      <c r="G1170" s="6" t="str">
        <f>_xlfn.XLOOKUP(LD_01[[#This Row],[DISCIPLINA]],'CLASSES DE PROJETOS'!$F$3:$F$37,'CLASSES DE PROJETOS'!$C$3:$C$37)</f>
        <v>DR</v>
      </c>
      <c r="H1170" t="str">
        <f>_xlfn.TEXTJOIN("/",TRUE,"MSV-163MS-"&amp;LD_01[[#This Row],[TRECHO]],_xlfn.XLOOKUP(LD_01[[#This Row],[SIGLA]],'CLASSES DE PROJETOS'!$C$3:$C$37,'CLASSES DE PROJETOS'!$E$3:$E$37))</f>
        <v>MSV-163MS-702-NORTE/10.DR</v>
      </c>
      <c r="I1170" s="6" t="str" cm="1">
        <f t="array" ref="I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J1170" s="6" t="str" cm="1">
        <f t="array" ref="J1170">_xlfn.TEXTJOIN(", ",TRUE,_xlfn.UNIQUE(_xlfn._xlws.FILTER(ARQUIVOS_RECEBIDOS!$F$2:$F$5010,ARQUIVOS_RECEBIDOS!$E$2:$E$5010=LD_01[[#This Row],[DOCUMENTO]])))</f>
        <v>R03, R04</v>
      </c>
      <c r="K1170" s="12" cm="1">
        <f t="array" ref="K1170">_xlfn.UNIQUE(_xlfn._xlws.FILTER(ARQUIVOS[DATA RECEBIMENTO],(ARQUIVOS[DOCUMENTO]=LD_01[[#This Row],[DOCUMENTO]])*(ARQUIVOS[REVISÃO]=LD_01[[#This Row],[REVISÃO]])))</f>
        <v>45895</v>
      </c>
      <c r="L11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M1170" s="6" t="str">
        <f>LD_01[[#This Row],[PASTA]]&amp;"/"&amp;LD_01[[#This Row],[ARQUIVO]]</f>
        <v>MSV-163MS-702-NORTE/10.DR/MSV-163MS-702+180-RET-EXE-DE-H2-002-R04.pdf</v>
      </c>
    </row>
    <row r="1171" spans="1:13" ht="28.8" hidden="1" x14ac:dyDescent="0.3">
      <c r="A1171" s="6" t="s">
        <v>3935</v>
      </c>
      <c r="B1171" s="6" t="str">
        <f>VLOOKUP(LD_01[[#This Row],[DOCUMENTO]],_xlfn.SORTBY(ARQUIVOS_RECEBIDOS!$E$2:$F$5010,ARQUIVOS_RECEBIDOS!$F$2:$F$5010,-1),2,)</f>
        <v>R02</v>
      </c>
      <c r="C1171" s="15" t="s">
        <v>5987</v>
      </c>
      <c r="D1171" s="6" t="s">
        <v>4321</v>
      </c>
      <c r="E1171" s="8" t="s">
        <v>4264</v>
      </c>
      <c r="F1171" s="8" t="s">
        <v>4142</v>
      </c>
      <c r="G1171" s="6" t="str">
        <f>_xlfn.XLOOKUP(LD_01[[#This Row],[DISCIPLINA]],'CLASSES DE PROJETOS'!$F$3:$F$37,'CLASSES DE PROJETOS'!$C$3:$C$37)</f>
        <v>DR</v>
      </c>
      <c r="H1171" t="str">
        <f>_xlfn.TEXTJOIN("/",TRUE,"MSV-163MS-"&amp;LD_01[[#This Row],[TRECHO]],_xlfn.XLOOKUP(LD_01[[#This Row],[SIGLA]],'CLASSES DE PROJETOS'!$C$3:$C$37,'CLASSES DE PROJETOS'!$E$3:$E$37))</f>
        <v>MSV-163MS-702-NORTE/10.DR</v>
      </c>
      <c r="I1171" s="6" t="str" cm="1">
        <f t="array" ref="I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J1171" s="6" t="str" cm="1">
        <f t="array" ref="J1171">_xlfn.TEXTJOIN(", ",TRUE,_xlfn.UNIQUE(_xlfn._xlws.FILTER(ARQUIVOS_RECEBIDOS!$F$2:$F$5010,ARQUIVOS_RECEBIDOS!$E$2:$E$5010=LD_01[[#This Row],[DOCUMENTO]])))</f>
        <v>R02</v>
      </c>
      <c r="K1171" s="12" cm="1">
        <f t="array" ref="K1171">_xlfn.UNIQUE(_xlfn._xlws.FILTER(ARQUIVOS[DATA RECEBIMENTO],(ARQUIVOS[DOCUMENTO]=LD_01[[#This Row],[DOCUMENTO]])*(ARQUIVOS[REVISÃO]=LD_01[[#This Row],[REVISÃO]])))</f>
        <v>45838</v>
      </c>
      <c r="L11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M1171" s="6" t="str">
        <f>LD_01[[#This Row],[PASTA]]&amp;"/"&amp;LD_01[[#This Row],[ARQUIVO]]</f>
        <v>MSV-163MS-702-NORTE/10.DR/MSV-163MS-702+180-RET-EXE-DE-H2-003-R02.pdf</v>
      </c>
    </row>
    <row r="1172" spans="1:13" ht="43.2" hidden="1" x14ac:dyDescent="0.3">
      <c r="A1172" s="6" t="s">
        <v>3936</v>
      </c>
      <c r="B1172" s="6" t="str">
        <f>VLOOKUP(LD_01[[#This Row],[DOCUMENTO]],_xlfn.SORTBY(ARQUIVOS_RECEBIDOS!$E$2:$F$5010,ARQUIVOS_RECEBIDOS!$F$2:$F$5010,-1),2,)</f>
        <v>R01</v>
      </c>
      <c r="C1172" s="15" t="s">
        <v>5987</v>
      </c>
      <c r="D1172" s="6" t="s">
        <v>4321</v>
      </c>
      <c r="E1172" s="8" t="s">
        <v>4265</v>
      </c>
      <c r="F1172" s="8" t="s">
        <v>4142</v>
      </c>
      <c r="G1172" s="6" t="str">
        <f>_xlfn.XLOOKUP(LD_01[[#This Row],[DISCIPLINA]],'CLASSES DE PROJETOS'!$F$3:$F$37,'CLASSES DE PROJETOS'!$C$3:$C$37)</f>
        <v>DR</v>
      </c>
      <c r="H1172" t="str">
        <f>_xlfn.TEXTJOIN("/",TRUE,"MSV-163MS-"&amp;LD_01[[#This Row],[TRECHO]],_xlfn.XLOOKUP(LD_01[[#This Row],[SIGLA]],'CLASSES DE PROJETOS'!$C$3:$C$37,'CLASSES DE PROJETOS'!$E$3:$E$37))</f>
        <v>MSV-163MS-702-NORTE/10.DR</v>
      </c>
      <c r="I1172" s="6" t="str" cm="1">
        <f t="array" ref="I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J1172" s="6" t="str" cm="1">
        <f t="array" ref="J1172">_xlfn.TEXTJOIN(", ",TRUE,_xlfn.UNIQUE(_xlfn._xlws.FILTER(ARQUIVOS_RECEBIDOS!$F$2:$F$5010,ARQUIVOS_RECEBIDOS!$E$2:$E$5010=LD_01[[#This Row],[DOCUMENTO]])))</f>
        <v>R01</v>
      </c>
      <c r="K1172" s="12" cm="1">
        <f t="array" ref="K1172">_xlfn.UNIQUE(_xlfn._xlws.FILTER(ARQUIVOS[DATA RECEBIMENTO],(ARQUIVOS[DOCUMENTO]=LD_01[[#This Row],[DOCUMENTO]])*(ARQUIVOS[REVISÃO]=LD_01[[#This Row],[REVISÃO]])))</f>
        <v>45838</v>
      </c>
      <c r="L11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M1172" s="6" t="str">
        <f>LD_01[[#This Row],[PASTA]]&amp;"/"&amp;LD_01[[#This Row],[ARQUIVO]]</f>
        <v>MSV-163MS-702-NORTE/10.DR/MSV-163MS-702+180-RET-EXE-DE-H2-101-R01.pdf</v>
      </c>
    </row>
    <row r="1173" spans="1:13" ht="43.2" hidden="1" x14ac:dyDescent="0.3">
      <c r="A1173" s="6" t="s">
        <v>3937</v>
      </c>
      <c r="B1173" s="6" t="str">
        <f>VLOOKUP(LD_01[[#This Row],[DOCUMENTO]],_xlfn.SORTBY(ARQUIVOS_RECEBIDOS!$E$2:$F$5010,ARQUIVOS_RECEBIDOS!$F$2:$F$5010,-1),2,)</f>
        <v>R00</v>
      </c>
      <c r="C1173" s="15" t="s">
        <v>5987</v>
      </c>
      <c r="D1173" s="6" t="s">
        <v>4321</v>
      </c>
      <c r="E1173" s="8" t="s">
        <v>4266</v>
      </c>
      <c r="F1173" s="8" t="s">
        <v>4142</v>
      </c>
      <c r="G1173" s="6" t="str">
        <f>_xlfn.XLOOKUP(LD_01[[#This Row],[DISCIPLINA]],'CLASSES DE PROJETOS'!$F$3:$F$37,'CLASSES DE PROJETOS'!$C$3:$C$37)</f>
        <v>DR</v>
      </c>
      <c r="H1173" t="str">
        <f>_xlfn.TEXTJOIN("/",TRUE,"MSV-163MS-"&amp;LD_01[[#This Row],[TRECHO]],_xlfn.XLOOKUP(LD_01[[#This Row],[SIGLA]],'CLASSES DE PROJETOS'!$C$3:$C$37,'CLASSES DE PROJETOS'!$E$3:$E$37))</f>
        <v>MSV-163MS-702-NORTE/10.DR</v>
      </c>
      <c r="I1173" s="6" t="str" cm="1">
        <f t="array" ref="I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J1173" s="6" t="str" cm="1">
        <f t="array" ref="J1173">_xlfn.TEXTJOIN(", ",TRUE,_xlfn.UNIQUE(_xlfn._xlws.FILTER(ARQUIVOS_RECEBIDOS!$F$2:$F$5010,ARQUIVOS_RECEBIDOS!$E$2:$E$5010=LD_01[[#This Row],[DOCUMENTO]])))</f>
        <v>R00</v>
      </c>
      <c r="K1173" s="12" cm="1">
        <f t="array" ref="K1173">_xlfn.UNIQUE(_xlfn._xlws.FILTER(ARQUIVOS[DATA RECEBIMENTO],(ARQUIVOS[DOCUMENTO]=LD_01[[#This Row],[DOCUMENTO]])*(ARQUIVOS[REVISÃO]=LD_01[[#This Row],[REVISÃO]])))</f>
        <v>45838</v>
      </c>
      <c r="L11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M1173" s="6" t="str">
        <f>LD_01[[#This Row],[PASTA]]&amp;"/"&amp;LD_01[[#This Row],[ARQUIVO]]</f>
        <v>MSV-163MS-702-NORTE/10.DR/MSV-163MS-702+180-RET-EXE-DE-H2-102-R00.pdf</v>
      </c>
    </row>
    <row r="1174" spans="1:13" ht="43.2" hidden="1" x14ac:dyDescent="0.3">
      <c r="A1174" s="6" t="s">
        <v>3938</v>
      </c>
      <c r="B1174" s="6" t="str">
        <f>VLOOKUP(LD_01[[#This Row],[DOCUMENTO]],_xlfn.SORTBY(ARQUIVOS_RECEBIDOS!$E$2:$F$5010,ARQUIVOS_RECEBIDOS!$F$2:$F$5010,-1),2,)</f>
        <v>R00</v>
      </c>
      <c r="C1174" s="15" t="s">
        <v>5987</v>
      </c>
      <c r="D1174" s="6" t="s">
        <v>4321</v>
      </c>
      <c r="E1174" s="8" t="s">
        <v>4267</v>
      </c>
      <c r="F1174" s="8" t="s">
        <v>4142</v>
      </c>
      <c r="G1174" s="6" t="str">
        <f>_xlfn.XLOOKUP(LD_01[[#This Row],[DISCIPLINA]],'CLASSES DE PROJETOS'!$F$3:$F$37,'CLASSES DE PROJETOS'!$C$3:$C$37)</f>
        <v>DR</v>
      </c>
      <c r="H1174" t="str">
        <f>_xlfn.TEXTJOIN("/",TRUE,"MSV-163MS-"&amp;LD_01[[#This Row],[TRECHO]],_xlfn.XLOOKUP(LD_01[[#This Row],[SIGLA]],'CLASSES DE PROJETOS'!$C$3:$C$37,'CLASSES DE PROJETOS'!$E$3:$E$37))</f>
        <v>MSV-163MS-702-NORTE/10.DR</v>
      </c>
      <c r="I1174" s="6" t="str" cm="1">
        <f t="array" ref="I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J1174" s="6" t="str" cm="1">
        <f t="array" ref="J1174">_xlfn.TEXTJOIN(", ",TRUE,_xlfn.UNIQUE(_xlfn._xlws.FILTER(ARQUIVOS_RECEBIDOS!$F$2:$F$5010,ARQUIVOS_RECEBIDOS!$E$2:$E$5010=LD_01[[#This Row],[DOCUMENTO]])))</f>
        <v>R00</v>
      </c>
      <c r="K1174" s="12" cm="1">
        <f t="array" ref="K1174">_xlfn.UNIQUE(_xlfn._xlws.FILTER(ARQUIVOS[DATA RECEBIMENTO],(ARQUIVOS[DOCUMENTO]=LD_01[[#This Row],[DOCUMENTO]])*(ARQUIVOS[REVISÃO]=LD_01[[#This Row],[REVISÃO]])))</f>
        <v>45838</v>
      </c>
      <c r="L11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M1174" s="6" t="str">
        <f>LD_01[[#This Row],[PASTA]]&amp;"/"&amp;LD_01[[#This Row],[ARQUIVO]]</f>
        <v>MSV-163MS-702-NORTE/10.DR/MSV-163MS-702+180-RET-EXE-DE-H2-103-R00.pdf</v>
      </c>
    </row>
    <row r="1175" spans="1:13" ht="43.2" hidden="1" x14ac:dyDescent="0.3">
      <c r="A1175" s="6" t="s">
        <v>3939</v>
      </c>
      <c r="B1175" s="6" t="str">
        <f>VLOOKUP(LD_01[[#This Row],[DOCUMENTO]],_xlfn.SORTBY(ARQUIVOS_RECEBIDOS!$E$2:$F$5010,ARQUIVOS_RECEBIDOS!$F$2:$F$5010,-1),2,)</f>
        <v>R00</v>
      </c>
      <c r="C1175" s="15" t="s">
        <v>5987</v>
      </c>
      <c r="D1175" s="6" t="s">
        <v>4321</v>
      </c>
      <c r="E1175" s="8" t="s">
        <v>4268</v>
      </c>
      <c r="F1175" s="8" t="s">
        <v>4142</v>
      </c>
      <c r="G1175" s="6" t="str">
        <f>_xlfn.XLOOKUP(LD_01[[#This Row],[DISCIPLINA]],'CLASSES DE PROJETOS'!$F$3:$F$37,'CLASSES DE PROJETOS'!$C$3:$C$37)</f>
        <v>DR</v>
      </c>
      <c r="H1175" t="str">
        <f>_xlfn.TEXTJOIN("/",TRUE,"MSV-163MS-"&amp;LD_01[[#This Row],[TRECHO]],_xlfn.XLOOKUP(LD_01[[#This Row],[SIGLA]],'CLASSES DE PROJETOS'!$C$3:$C$37,'CLASSES DE PROJETOS'!$E$3:$E$37))</f>
        <v>MSV-163MS-702-NORTE/10.DR</v>
      </c>
      <c r="I1175" s="6" t="str" cm="1">
        <f t="array" ref="I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J1175" s="6" t="str" cm="1">
        <f t="array" ref="J1175">_xlfn.TEXTJOIN(", ",TRUE,_xlfn.UNIQUE(_xlfn._xlws.FILTER(ARQUIVOS_RECEBIDOS!$F$2:$F$5010,ARQUIVOS_RECEBIDOS!$E$2:$E$5010=LD_01[[#This Row],[DOCUMENTO]])))</f>
        <v>R00</v>
      </c>
      <c r="K1175" s="12" cm="1">
        <f t="array" ref="K1175">_xlfn.UNIQUE(_xlfn._xlws.FILTER(ARQUIVOS[DATA RECEBIMENTO],(ARQUIVOS[DOCUMENTO]=LD_01[[#This Row],[DOCUMENTO]])*(ARQUIVOS[REVISÃO]=LD_01[[#This Row],[REVISÃO]])))</f>
        <v>45838</v>
      </c>
      <c r="L11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M1175" s="6" t="str">
        <f>LD_01[[#This Row],[PASTA]]&amp;"/"&amp;LD_01[[#This Row],[ARQUIVO]]</f>
        <v>MSV-163MS-702-NORTE/10.DR/MSV-163MS-702+180-RET-EXE-DE-H2-104-R00.pdf</v>
      </c>
    </row>
    <row r="1176" spans="1:13" ht="43.2" hidden="1" x14ac:dyDescent="0.3">
      <c r="A1176" s="6" t="s">
        <v>3940</v>
      </c>
      <c r="B1176" s="6" t="str">
        <f>VLOOKUP(LD_01[[#This Row],[DOCUMENTO]],_xlfn.SORTBY(ARQUIVOS_RECEBIDOS!$E$2:$F$5010,ARQUIVOS_RECEBIDOS!$F$2:$F$5010,-1),2,)</f>
        <v>R00</v>
      </c>
      <c r="C1176" s="15" t="s">
        <v>5987</v>
      </c>
      <c r="D1176" s="6" t="s">
        <v>4321</v>
      </c>
      <c r="E1176" s="8" t="s">
        <v>4269</v>
      </c>
      <c r="F1176" s="8" t="s">
        <v>4142</v>
      </c>
      <c r="G1176" s="6" t="str">
        <f>_xlfn.XLOOKUP(LD_01[[#This Row],[DISCIPLINA]],'CLASSES DE PROJETOS'!$F$3:$F$37,'CLASSES DE PROJETOS'!$C$3:$C$37)</f>
        <v>DR</v>
      </c>
      <c r="H1176" t="str">
        <f>_xlfn.TEXTJOIN("/",TRUE,"MSV-163MS-"&amp;LD_01[[#This Row],[TRECHO]],_xlfn.XLOOKUP(LD_01[[#This Row],[SIGLA]],'CLASSES DE PROJETOS'!$C$3:$C$37,'CLASSES DE PROJETOS'!$E$3:$E$37))</f>
        <v>MSV-163MS-702-NORTE/10.DR</v>
      </c>
      <c r="I1176" s="6" t="str" cm="1">
        <f t="array" ref="I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J1176" s="6" t="str" cm="1">
        <f t="array" ref="J1176">_xlfn.TEXTJOIN(", ",TRUE,_xlfn.UNIQUE(_xlfn._xlws.FILTER(ARQUIVOS_RECEBIDOS!$F$2:$F$5010,ARQUIVOS_RECEBIDOS!$E$2:$E$5010=LD_01[[#This Row],[DOCUMENTO]])))</f>
        <v>R00</v>
      </c>
      <c r="K1176" s="12" cm="1">
        <f t="array" ref="K1176">_xlfn.UNIQUE(_xlfn._xlws.FILTER(ARQUIVOS[DATA RECEBIMENTO],(ARQUIVOS[DOCUMENTO]=LD_01[[#This Row],[DOCUMENTO]])*(ARQUIVOS[REVISÃO]=LD_01[[#This Row],[REVISÃO]])))</f>
        <v>45838</v>
      </c>
      <c r="L11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M1176" s="6" t="str">
        <f>LD_01[[#This Row],[PASTA]]&amp;"/"&amp;LD_01[[#This Row],[ARQUIVO]]</f>
        <v>MSV-163MS-702-NORTE/10.DR/MSV-163MS-702+180-RET-EXE-DE-H2-105-R00.pdf</v>
      </c>
    </row>
    <row r="1177" spans="1:13" ht="28.8" hidden="1" x14ac:dyDescent="0.3">
      <c r="A1177" s="6" t="s">
        <v>3947</v>
      </c>
      <c r="B1177" s="6" t="str">
        <f>VLOOKUP(LD_01[[#This Row],[DOCUMENTO]],_xlfn.SORTBY(ARQUIVOS_RECEBIDOS!$E$2:$F$5010,ARQUIVOS_RECEBIDOS!$F$2:$F$5010,-1),2,)</f>
        <v>R01</v>
      </c>
      <c r="C1177" s="15" t="s">
        <v>5987</v>
      </c>
      <c r="D1177" s="6" t="s">
        <v>4321</v>
      </c>
      <c r="E1177" s="8" t="s">
        <v>4275</v>
      </c>
      <c r="F1177" s="8" t="s">
        <v>4143</v>
      </c>
      <c r="G1177" s="6" t="str">
        <f>_xlfn.XLOOKUP(LD_01[[#This Row],[DISCIPLINA]],'CLASSES DE PROJETOS'!$F$3:$F$37,'CLASSES DE PROJETOS'!$C$3:$C$37)</f>
        <v>PV</v>
      </c>
      <c r="H1177" t="str">
        <f>_xlfn.TEXTJOIN("/",TRUE,"MSV-163MS-"&amp;LD_01[[#This Row],[TRECHO]],_xlfn.XLOOKUP(LD_01[[#This Row],[SIGLA]],'CLASSES DE PROJETOS'!$C$3:$C$37,'CLASSES DE PROJETOS'!$E$3:$E$37))</f>
        <v>MSV-163MS-702-NORTE/28.PV</v>
      </c>
      <c r="I1177" s="6" t="str" cm="1">
        <f t="array" ref="I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J1177" s="6" t="str" cm="1">
        <f t="array" ref="J1177">_xlfn.TEXTJOIN(", ",TRUE,_xlfn.UNIQUE(_xlfn._xlws.FILTER(ARQUIVOS_RECEBIDOS!$F$2:$F$5010,ARQUIVOS_RECEBIDOS!$E$2:$E$5010=LD_01[[#This Row],[DOCUMENTO]])))</f>
        <v>R01</v>
      </c>
      <c r="K1177" s="12" cm="1">
        <f t="array" ref="K1177">_xlfn.UNIQUE(_xlfn._xlws.FILTER(ARQUIVOS[DATA RECEBIMENTO],(ARQUIVOS[DOCUMENTO]=LD_01[[#This Row],[DOCUMENTO]])*(ARQUIVOS[REVISÃO]=LD_01[[#This Row],[REVISÃO]])))</f>
        <v>45838</v>
      </c>
      <c r="L11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M1177" s="6" t="str">
        <f>LD_01[[#This Row],[PASTA]]&amp;"/"&amp;LD_01[[#This Row],[ARQUIVO]]</f>
        <v>MSV-163MS-702-NORTE/28.PV/MSV-163MS-702+180-RET-EXE-DE-I2-001-R01.pdf</v>
      </c>
    </row>
    <row r="1178" spans="1:13" ht="28.8" hidden="1" x14ac:dyDescent="0.3">
      <c r="A1178" s="6" t="s">
        <v>3948</v>
      </c>
      <c r="B1178" s="6" t="str">
        <f>VLOOKUP(LD_01[[#This Row],[DOCUMENTO]],_xlfn.SORTBY(ARQUIVOS_RECEBIDOS!$E$2:$F$5010,ARQUIVOS_RECEBIDOS!$F$2:$F$5010,-1),2,)</f>
        <v>R01</v>
      </c>
      <c r="C1178" s="15" t="s">
        <v>5987</v>
      </c>
      <c r="D1178" s="6" t="s">
        <v>4321</v>
      </c>
      <c r="E1178" s="8" t="s">
        <v>4275</v>
      </c>
      <c r="F1178" s="8" t="s">
        <v>4143</v>
      </c>
      <c r="G1178" s="6" t="str">
        <f>_xlfn.XLOOKUP(LD_01[[#This Row],[DISCIPLINA]],'CLASSES DE PROJETOS'!$F$3:$F$37,'CLASSES DE PROJETOS'!$C$3:$C$37)</f>
        <v>PV</v>
      </c>
      <c r="H1178" t="str">
        <f>_xlfn.TEXTJOIN("/",TRUE,"MSV-163MS-"&amp;LD_01[[#This Row],[TRECHO]],_xlfn.XLOOKUP(LD_01[[#This Row],[SIGLA]],'CLASSES DE PROJETOS'!$C$3:$C$37,'CLASSES DE PROJETOS'!$E$3:$E$37))</f>
        <v>MSV-163MS-702-NORTE/28.PV</v>
      </c>
      <c r="I1178" s="6" t="str" cm="1">
        <f t="array" ref="I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J1178" s="6" t="str" cm="1">
        <f t="array" ref="J1178">_xlfn.TEXTJOIN(", ",TRUE,_xlfn.UNIQUE(_xlfn._xlws.FILTER(ARQUIVOS_RECEBIDOS!$F$2:$F$5010,ARQUIVOS_RECEBIDOS!$E$2:$E$5010=LD_01[[#This Row],[DOCUMENTO]])))</f>
        <v>R01</v>
      </c>
      <c r="K1178" s="12" cm="1">
        <f t="array" ref="K1178">_xlfn.UNIQUE(_xlfn._xlws.FILTER(ARQUIVOS[DATA RECEBIMENTO],(ARQUIVOS[DOCUMENTO]=LD_01[[#This Row],[DOCUMENTO]])*(ARQUIVOS[REVISÃO]=LD_01[[#This Row],[REVISÃO]])))</f>
        <v>45838</v>
      </c>
      <c r="L11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M1178" s="6" t="str">
        <f>LD_01[[#This Row],[PASTA]]&amp;"/"&amp;LD_01[[#This Row],[ARQUIVO]]</f>
        <v>MSV-163MS-702-NORTE/28.PV/MSV-163MS-702+180-RET-EXE-DE-I2-002-R01.pdf</v>
      </c>
    </row>
    <row r="1179" spans="1:13" ht="28.8" hidden="1" x14ac:dyDescent="0.3">
      <c r="A1179" s="6" t="s">
        <v>3949</v>
      </c>
      <c r="B1179" s="6" t="str">
        <f>VLOOKUP(LD_01[[#This Row],[DOCUMENTO]],_xlfn.SORTBY(ARQUIVOS_RECEBIDOS!$E$2:$F$5010,ARQUIVOS_RECEBIDOS!$F$2:$F$5010,-1),2,)</f>
        <v>R04</v>
      </c>
      <c r="C1179" s="15" t="s">
        <v>5987</v>
      </c>
      <c r="D1179" s="6" t="s">
        <v>4321</v>
      </c>
      <c r="E1179" s="8" t="s">
        <v>4276</v>
      </c>
      <c r="F1179" s="8" t="s">
        <v>4143</v>
      </c>
      <c r="G1179" s="6" t="str">
        <f>_xlfn.XLOOKUP(LD_01[[#This Row],[DISCIPLINA]],'CLASSES DE PROJETOS'!$F$3:$F$37,'CLASSES DE PROJETOS'!$C$3:$C$37)</f>
        <v>PV</v>
      </c>
      <c r="H1179" t="str">
        <f>_xlfn.TEXTJOIN("/",TRUE,"MSV-163MS-"&amp;LD_01[[#This Row],[TRECHO]],_xlfn.XLOOKUP(LD_01[[#This Row],[SIGLA]],'CLASSES DE PROJETOS'!$C$3:$C$37,'CLASSES DE PROJETOS'!$E$3:$E$37))</f>
        <v>MSV-163MS-702-NORTE/28.PV</v>
      </c>
      <c r="I1179" s="6" t="str" cm="1">
        <f t="array" ref="I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J1179" s="6" t="str" cm="1">
        <f t="array" ref="J1179">_xlfn.TEXTJOIN(", ",TRUE,_xlfn.UNIQUE(_xlfn._xlws.FILTER(ARQUIVOS_RECEBIDOS!$F$2:$F$5010,ARQUIVOS_RECEBIDOS!$E$2:$E$5010=LD_01[[#This Row],[DOCUMENTO]])))</f>
        <v>R03, R04</v>
      </c>
      <c r="K1179" s="12" cm="1">
        <f t="array" ref="K1179">_xlfn.UNIQUE(_xlfn._xlws.FILTER(ARQUIVOS[DATA RECEBIMENTO],(ARQUIVOS[DOCUMENTO]=LD_01[[#This Row],[DOCUMENTO]])*(ARQUIVOS[REVISÃO]=LD_01[[#This Row],[REVISÃO]])))</f>
        <v>45895</v>
      </c>
      <c r="L11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M1179" s="6" t="str">
        <f>LD_01[[#This Row],[PASTA]]&amp;"/"&amp;LD_01[[#This Row],[ARQUIVO]]</f>
        <v>MSV-163MS-702-NORTE/28.PV/MSV-163MS-702+180-RET-EXE-DE-I2-003-R04.pdf</v>
      </c>
    </row>
    <row r="1180" spans="1:13" ht="28.8" hidden="1" x14ac:dyDescent="0.3">
      <c r="A1180" s="6" t="s">
        <v>3950</v>
      </c>
      <c r="B1180" s="6" t="str">
        <f>VLOOKUP(LD_01[[#This Row],[DOCUMENTO]],_xlfn.SORTBY(ARQUIVOS_RECEBIDOS!$E$2:$F$5010,ARQUIVOS_RECEBIDOS!$F$2:$F$5010,-1),2,)</f>
        <v>R03</v>
      </c>
      <c r="C1180" s="15" t="s">
        <v>5987</v>
      </c>
      <c r="D1180" s="6" t="s">
        <v>4321</v>
      </c>
      <c r="E1180" s="8" t="s">
        <v>4277</v>
      </c>
      <c r="F1180" s="8" t="s">
        <v>4143</v>
      </c>
      <c r="G1180" s="6" t="str">
        <f>_xlfn.XLOOKUP(LD_01[[#This Row],[DISCIPLINA]],'CLASSES DE PROJETOS'!$F$3:$F$37,'CLASSES DE PROJETOS'!$C$3:$C$37)</f>
        <v>PV</v>
      </c>
      <c r="H1180" t="str">
        <f>_xlfn.TEXTJOIN("/",TRUE,"MSV-163MS-"&amp;LD_01[[#This Row],[TRECHO]],_xlfn.XLOOKUP(LD_01[[#This Row],[SIGLA]],'CLASSES DE PROJETOS'!$C$3:$C$37,'CLASSES DE PROJETOS'!$E$3:$E$37))</f>
        <v>MSV-163MS-702-NORTE/28.PV</v>
      </c>
      <c r="I1180" s="6" t="str" cm="1">
        <f t="array" ref="I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J1180" s="6" t="str" cm="1">
        <f t="array" ref="J1180">_xlfn.TEXTJOIN(", ",TRUE,_xlfn.UNIQUE(_xlfn._xlws.FILTER(ARQUIVOS_RECEBIDOS!$F$2:$F$5010,ARQUIVOS_RECEBIDOS!$E$2:$E$5010=LD_01[[#This Row],[DOCUMENTO]])))</f>
        <v>R03</v>
      </c>
      <c r="K1180" s="12" cm="1">
        <f t="array" ref="K1180">_xlfn.UNIQUE(_xlfn._xlws.FILTER(ARQUIVOS[DATA RECEBIMENTO],(ARQUIVOS[DOCUMENTO]=LD_01[[#This Row],[DOCUMENTO]])*(ARQUIVOS[REVISÃO]=LD_01[[#This Row],[REVISÃO]])))</f>
        <v>45838</v>
      </c>
      <c r="L11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M1180" s="6" t="str">
        <f>LD_01[[#This Row],[PASTA]]&amp;"/"&amp;LD_01[[#This Row],[ARQUIVO]]</f>
        <v>MSV-163MS-702-NORTE/28.PV/MSV-163MS-702+180-RET-EXE-DE-I2-004-R03.pdf</v>
      </c>
    </row>
    <row r="1181" spans="1:13" hidden="1" x14ac:dyDescent="0.3">
      <c r="A1181" s="6" t="s">
        <v>3943</v>
      </c>
      <c r="B1181" s="6" t="str">
        <f>VLOOKUP(LD_01[[#This Row],[DOCUMENTO]],_xlfn.SORTBY(ARQUIVOS_RECEBIDOS!$E$2:$F$5010,ARQUIVOS_RECEBIDOS!$F$2:$F$5010,-1),2,)</f>
        <v>R04</v>
      </c>
      <c r="C1181" s="15" t="s">
        <v>5987</v>
      </c>
      <c r="D1181" s="6" t="s">
        <v>4321</v>
      </c>
      <c r="E1181" s="8" t="s">
        <v>4083</v>
      </c>
      <c r="F1181" s="8" t="s">
        <v>4331</v>
      </c>
      <c r="G1181" s="6" t="str">
        <f>_xlfn.XLOOKUP(LD_01[[#This Row],[DISCIPLINA]],'CLASSES DE PROJETOS'!$F$3:$F$37,'CLASSES DE PROJETOS'!$C$3:$C$37)</f>
        <v>SI</v>
      </c>
      <c r="H1181" t="str">
        <f>_xlfn.TEXTJOIN("/",TRUE,"MSV-163MS-"&amp;LD_01[[#This Row],[TRECHO]],_xlfn.XLOOKUP(LD_01[[#This Row],[SIGLA]],'CLASSES DE PROJETOS'!$C$3:$C$37,'CLASSES DE PROJETOS'!$E$3:$E$37))</f>
        <v>MSV-163MS-702-NORTE/31.SI</v>
      </c>
      <c r="I1181" s="6" t="str" cm="1">
        <f t="array" ref="I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J1181" s="6" t="str" cm="1">
        <f t="array" ref="J1181">_xlfn.TEXTJOIN(", ",TRUE,_xlfn.UNIQUE(_xlfn._xlws.FILTER(ARQUIVOS_RECEBIDOS!$F$2:$F$5010,ARQUIVOS_RECEBIDOS!$E$2:$E$5010=LD_01[[#This Row],[DOCUMENTO]])))</f>
        <v>R04</v>
      </c>
      <c r="K1181" s="12" cm="1">
        <f t="array" ref="K1181">_xlfn.UNIQUE(_xlfn._xlws.FILTER(ARQUIVOS[DATA RECEBIMENTO],(ARQUIVOS[DOCUMENTO]=LD_01[[#This Row],[DOCUMENTO]])*(ARQUIVOS[REVISÃO]=LD_01[[#This Row],[REVISÃO]])))</f>
        <v>45838</v>
      </c>
      <c r="L11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M1181" s="6" t="str">
        <f>LD_01[[#This Row],[PASTA]]&amp;"/"&amp;LD_01[[#This Row],[ARQUIVO]]</f>
        <v>MSV-163MS-702-NORTE/31.SI/MSV-163MS-702+180-RET-EXE-DE-J1-001-R04.pdf</v>
      </c>
    </row>
    <row r="1182" spans="1:13" ht="28.8" hidden="1" x14ac:dyDescent="0.3">
      <c r="A1182" s="6" t="s">
        <v>3944</v>
      </c>
      <c r="B1182" s="6" t="str">
        <f>VLOOKUP(LD_01[[#This Row],[DOCUMENTO]],_xlfn.SORTBY(ARQUIVOS_RECEBIDOS!$E$2:$F$5010,ARQUIVOS_RECEBIDOS!$F$2:$F$5010,-1),2,)</f>
        <v>R01</v>
      </c>
      <c r="C1182" s="15" t="s">
        <v>5987</v>
      </c>
      <c r="D1182" s="6" t="s">
        <v>4321</v>
      </c>
      <c r="E1182" s="8" t="s">
        <v>4272</v>
      </c>
      <c r="F1182" s="8" t="s">
        <v>4331</v>
      </c>
      <c r="G1182" s="6" t="str">
        <f>_xlfn.XLOOKUP(LD_01[[#This Row],[DISCIPLINA]],'CLASSES DE PROJETOS'!$F$3:$F$37,'CLASSES DE PROJETOS'!$C$3:$C$37)</f>
        <v>SI</v>
      </c>
      <c r="H1182" t="str">
        <f>_xlfn.TEXTJOIN("/",TRUE,"MSV-163MS-"&amp;LD_01[[#This Row],[TRECHO]],_xlfn.XLOOKUP(LD_01[[#This Row],[SIGLA]],'CLASSES DE PROJETOS'!$C$3:$C$37,'CLASSES DE PROJETOS'!$E$3:$E$37))</f>
        <v>MSV-163MS-702-NORTE/31.SI</v>
      </c>
      <c r="I1182" s="6" t="str" cm="1">
        <f t="array" ref="I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J1182" s="6" t="str" cm="1">
        <f t="array" ref="J1182">_xlfn.TEXTJOIN(", ",TRUE,_xlfn.UNIQUE(_xlfn._xlws.FILTER(ARQUIVOS_RECEBIDOS!$F$2:$F$5010,ARQUIVOS_RECEBIDOS!$E$2:$E$5010=LD_01[[#This Row],[DOCUMENTO]])))</f>
        <v>R01</v>
      </c>
      <c r="K1182" s="12" cm="1">
        <f t="array" ref="K1182">_xlfn.UNIQUE(_xlfn._xlws.FILTER(ARQUIVOS[DATA RECEBIMENTO],(ARQUIVOS[DOCUMENTO]=LD_01[[#This Row],[DOCUMENTO]])*(ARQUIVOS[REVISÃO]=LD_01[[#This Row],[REVISÃO]])))</f>
        <v>45838</v>
      </c>
      <c r="L11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M1182" s="6" t="str">
        <f>LD_01[[#This Row],[PASTA]]&amp;"/"&amp;LD_01[[#This Row],[ARQUIVO]]</f>
        <v>MSV-163MS-702-NORTE/31.SI/MSV-163MS-702+180-RET-EXE-DE-J1-002-R01.pdf</v>
      </c>
    </row>
    <row r="1183" spans="1:13" ht="28.8" hidden="1" x14ac:dyDescent="0.3">
      <c r="A1183" s="6" t="s">
        <v>3945</v>
      </c>
      <c r="B1183" s="6" t="str">
        <f>VLOOKUP(LD_01[[#This Row],[DOCUMENTO]],_xlfn.SORTBY(ARQUIVOS_RECEBIDOS!$E$2:$F$5010,ARQUIVOS_RECEBIDOS!$F$2:$F$5010,-1),2,)</f>
        <v>R01</v>
      </c>
      <c r="C1183" s="15" t="s">
        <v>5987</v>
      </c>
      <c r="D1183" s="6" t="s">
        <v>4321</v>
      </c>
      <c r="E1183" s="8" t="s">
        <v>4273</v>
      </c>
      <c r="F1183" s="8" t="s">
        <v>4331</v>
      </c>
      <c r="G1183" s="6" t="str">
        <f>_xlfn.XLOOKUP(LD_01[[#This Row],[DISCIPLINA]],'CLASSES DE PROJETOS'!$F$3:$F$37,'CLASSES DE PROJETOS'!$C$3:$C$37)</f>
        <v>SI</v>
      </c>
      <c r="H1183" t="str">
        <f>_xlfn.TEXTJOIN("/",TRUE,"MSV-163MS-"&amp;LD_01[[#This Row],[TRECHO]],_xlfn.XLOOKUP(LD_01[[#This Row],[SIGLA]],'CLASSES DE PROJETOS'!$C$3:$C$37,'CLASSES DE PROJETOS'!$E$3:$E$37))</f>
        <v>MSV-163MS-702-NORTE/31.SI</v>
      </c>
      <c r="I1183" s="6" t="str" cm="1">
        <f t="array" ref="I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J1183" s="6" t="str" cm="1">
        <f t="array" ref="J1183">_xlfn.TEXTJOIN(", ",TRUE,_xlfn.UNIQUE(_xlfn._xlws.FILTER(ARQUIVOS_RECEBIDOS!$F$2:$F$5010,ARQUIVOS_RECEBIDOS!$E$2:$E$5010=LD_01[[#This Row],[DOCUMENTO]])))</f>
        <v>R01</v>
      </c>
      <c r="K1183" s="12" cm="1">
        <f t="array" ref="K1183">_xlfn.UNIQUE(_xlfn._xlws.FILTER(ARQUIVOS[DATA RECEBIMENTO],(ARQUIVOS[DOCUMENTO]=LD_01[[#This Row],[DOCUMENTO]])*(ARQUIVOS[REVISÃO]=LD_01[[#This Row],[REVISÃO]])))</f>
        <v>45838</v>
      </c>
      <c r="L11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M1183" s="6" t="str">
        <f>LD_01[[#This Row],[PASTA]]&amp;"/"&amp;LD_01[[#This Row],[ARQUIVO]]</f>
        <v>MSV-163MS-702-NORTE/31.SI/MSV-163MS-702+180-RET-EXE-DE-J1-003-R01.pdf</v>
      </c>
    </row>
    <row r="1184" spans="1:13" ht="28.8" hidden="1" x14ac:dyDescent="0.3">
      <c r="A1184" s="6" t="s">
        <v>3946</v>
      </c>
      <c r="B1184" s="6" t="str">
        <f>VLOOKUP(LD_01[[#This Row],[DOCUMENTO]],_xlfn.SORTBY(ARQUIVOS_RECEBIDOS!$E$2:$F$5010,ARQUIVOS_RECEBIDOS!$F$2:$F$5010,-1),2,)</f>
        <v>R01</v>
      </c>
      <c r="C1184" s="15" t="s">
        <v>5987</v>
      </c>
      <c r="D1184" s="6" t="s">
        <v>4321</v>
      </c>
      <c r="E1184" s="8" t="s">
        <v>4274</v>
      </c>
      <c r="F1184" s="8" t="s">
        <v>4331</v>
      </c>
      <c r="G1184" s="6" t="str">
        <f>_xlfn.XLOOKUP(LD_01[[#This Row],[DISCIPLINA]],'CLASSES DE PROJETOS'!$F$3:$F$37,'CLASSES DE PROJETOS'!$C$3:$C$37)</f>
        <v>SI</v>
      </c>
      <c r="H1184" t="str">
        <f>_xlfn.TEXTJOIN("/",TRUE,"MSV-163MS-"&amp;LD_01[[#This Row],[TRECHO]],_xlfn.XLOOKUP(LD_01[[#This Row],[SIGLA]],'CLASSES DE PROJETOS'!$C$3:$C$37,'CLASSES DE PROJETOS'!$E$3:$E$37))</f>
        <v>MSV-163MS-702-NORTE/31.SI</v>
      </c>
      <c r="I1184" s="6" t="str" cm="1">
        <f t="array" ref="I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J1184" s="6" t="str" cm="1">
        <f t="array" ref="J1184">_xlfn.TEXTJOIN(", ",TRUE,_xlfn.UNIQUE(_xlfn._xlws.FILTER(ARQUIVOS_RECEBIDOS!$F$2:$F$5010,ARQUIVOS_RECEBIDOS!$E$2:$E$5010=LD_01[[#This Row],[DOCUMENTO]])))</f>
        <v>R01</v>
      </c>
      <c r="K1184" s="12" cm="1">
        <f t="array" ref="K1184">_xlfn.UNIQUE(_xlfn._xlws.FILTER(ARQUIVOS[DATA RECEBIMENTO],(ARQUIVOS[DOCUMENTO]=LD_01[[#This Row],[DOCUMENTO]])*(ARQUIVOS[REVISÃO]=LD_01[[#This Row],[REVISÃO]])))</f>
        <v>45838</v>
      </c>
      <c r="L11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M1184" s="6" t="str">
        <f>LD_01[[#This Row],[PASTA]]&amp;"/"&amp;LD_01[[#This Row],[ARQUIVO]]</f>
        <v>MSV-163MS-702-NORTE/31.SI/MSV-163MS-702+180-RET-EXE-DE-J1-004-R01.pdf</v>
      </c>
    </row>
    <row r="1185" spans="1:13" ht="43.2" hidden="1" x14ac:dyDescent="0.3">
      <c r="A1185" s="6" t="s">
        <v>3964</v>
      </c>
      <c r="B1185" s="6" t="str">
        <f>VLOOKUP(LD_01[[#This Row],[DOCUMENTO]],_xlfn.SORTBY(ARQUIVOS_RECEBIDOS!$E$2:$F$5010,ARQUIVOS_RECEBIDOS!$F$2:$F$5010,-1),2,)</f>
        <v>R03</v>
      </c>
      <c r="C1185" s="15" t="s">
        <v>5987</v>
      </c>
      <c r="D1185" s="6" t="s">
        <v>4321</v>
      </c>
      <c r="E1185" s="8" t="s">
        <v>4258</v>
      </c>
      <c r="F1185" s="8" t="s">
        <v>4333</v>
      </c>
      <c r="G1185" s="6" t="str">
        <f>_xlfn.XLOOKUP(LD_01[[#This Row],[DISCIPLINA]],'CLASSES DE PROJETOS'!$F$3:$F$37,'CLASSES DE PROJETOS'!$C$3:$C$37)</f>
        <v>IN</v>
      </c>
      <c r="H1185" t="str">
        <f>_xlfn.TEXTJOIN("/",TRUE,"MSV-163MS-"&amp;LD_01[[#This Row],[TRECHO]],_xlfn.XLOOKUP(LD_01[[#This Row],[SIGLA]],'CLASSES DE PROJETOS'!$C$3:$C$37,'CLASSES DE PROJETOS'!$E$3:$E$37))</f>
        <v>MSV-163MS-702-NORTE/23.IN</v>
      </c>
      <c r="I1185" s="6" t="str" cm="1">
        <f t="array" ref="I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J1185" s="6" t="str" cm="1">
        <f t="array" ref="J1185">_xlfn.TEXTJOIN(", ",TRUE,_xlfn.UNIQUE(_xlfn._xlws.FILTER(ARQUIVOS_RECEBIDOS!$F$2:$F$5010,ARQUIVOS_RECEBIDOS!$E$2:$E$5010=LD_01[[#This Row],[DOCUMENTO]])))</f>
        <v>R03</v>
      </c>
      <c r="K1185" s="12" cm="1">
        <f t="array" ref="K1185">_xlfn.UNIQUE(_xlfn._xlws.FILTER(ARQUIVOS[DATA RECEBIMENTO],(ARQUIVOS[DOCUMENTO]=LD_01[[#This Row],[DOCUMENTO]])*(ARQUIVOS[REVISÃO]=LD_01[[#This Row],[REVISÃO]])))</f>
        <v>45838</v>
      </c>
      <c r="L11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M1185" s="6" t="str">
        <f>LD_01[[#This Row],[PASTA]]&amp;"/"&amp;LD_01[[#This Row],[ARQUIVO]]</f>
        <v>MSV-163MS-702-NORTE/23.IN/MSV-163MS-702+180-RET-EXE-DE-M1-001-R03.pdf</v>
      </c>
    </row>
    <row r="1186" spans="1:13" ht="28.8" hidden="1" x14ac:dyDescent="0.3">
      <c r="A1186" s="6" t="s">
        <v>3970</v>
      </c>
      <c r="B1186" s="6" t="str">
        <f>VLOOKUP(LD_01[[#This Row],[DOCUMENTO]],_xlfn.SORTBY(ARQUIVOS_RECEBIDOS!$E$2:$F$5010,ARQUIVOS_RECEBIDOS!$F$2:$F$5010,-1),2,)</f>
        <v>R03</v>
      </c>
      <c r="C1186" s="15" t="s">
        <v>5987</v>
      </c>
      <c r="D1186" s="6" t="s">
        <v>4321</v>
      </c>
      <c r="E1186" s="8" t="s">
        <v>4168</v>
      </c>
      <c r="F1186" s="8" t="s">
        <v>4334</v>
      </c>
      <c r="G1186" s="6" t="str">
        <f>_xlfn.XLOOKUP(LD_01[[#This Row],[DISCIPLINA]],'CLASSES DE PROJETOS'!$F$3:$F$37,'CLASSES DE PROJETOS'!$C$3:$C$37)</f>
        <v>PA</v>
      </c>
      <c r="H1186" t="str">
        <f>_xlfn.TEXTJOIN("/",TRUE,"MSV-163MS-"&amp;LD_01[[#This Row],[TRECHO]],_xlfn.XLOOKUP(LD_01[[#This Row],[SIGLA]],'CLASSES DE PROJETOS'!$C$3:$C$37,'CLASSES DE PROJETOS'!$E$3:$E$37))</f>
        <v>MSV-163MS-702-NORTE/27.PA</v>
      </c>
      <c r="I1186" s="6" t="str" cm="1">
        <f t="array" ref="I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J1186" s="6" t="str" cm="1">
        <f t="array" ref="J1186">_xlfn.TEXTJOIN(", ",TRUE,_xlfn.UNIQUE(_xlfn._xlws.FILTER(ARQUIVOS_RECEBIDOS!$F$2:$F$5010,ARQUIVOS_RECEBIDOS!$E$2:$E$5010=LD_01[[#This Row],[DOCUMENTO]])))</f>
        <v>R03</v>
      </c>
      <c r="K1186" s="12" cm="1">
        <f t="array" ref="K1186">_xlfn.UNIQUE(_xlfn._xlws.FILTER(ARQUIVOS[DATA RECEBIMENTO],(ARQUIVOS[DOCUMENTO]=LD_01[[#This Row],[DOCUMENTO]])*(ARQUIVOS[REVISÃO]=LD_01[[#This Row],[REVISÃO]])))</f>
        <v>45838</v>
      </c>
      <c r="L11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M1186" s="6" t="str">
        <f>LD_01[[#This Row],[PASTA]]&amp;"/"&amp;LD_01[[#This Row],[ARQUIVO]]</f>
        <v>MSV-163MS-702-NORTE/27.PA/MSV-163MS-702+180-RET-EXE-DE-N2-001-R03.pdf</v>
      </c>
    </row>
    <row r="1187" spans="1:13" ht="28.8" hidden="1" x14ac:dyDescent="0.3">
      <c r="A1187" s="6" t="s">
        <v>3966</v>
      </c>
      <c r="B1187" s="6" t="str">
        <f>VLOOKUP(LD_01[[#This Row],[DOCUMENTO]],_xlfn.SORTBY(ARQUIVOS_RECEBIDOS!$E$2:$F$5010,ARQUIVOS_RECEBIDOS!$F$2:$F$5010,-1),2,)</f>
        <v>R02</v>
      </c>
      <c r="C1187" s="15" t="s">
        <v>5987</v>
      </c>
      <c r="D1187" s="6" t="s">
        <v>4321</v>
      </c>
      <c r="E1187" s="8" t="s">
        <v>4286</v>
      </c>
      <c r="F1187" s="8" t="s">
        <v>4144</v>
      </c>
      <c r="G1187" s="6" t="str">
        <f>_xlfn.XLOOKUP(LD_01[[#This Row],[DISCIPLINA]],'CLASSES DE PROJETOS'!$F$3:$F$37,'CLASSES DE PROJETOS'!$C$3:$C$37)</f>
        <v>DV</v>
      </c>
      <c r="H1187" t="str">
        <f>_xlfn.TEXTJOIN("/",TRUE,"MSV-163MS-"&amp;LD_01[[#This Row],[TRECHO]],_xlfn.XLOOKUP(LD_01[[#This Row],[SIGLA]],'CLASSES DE PROJETOS'!$C$3:$C$37,'CLASSES DE PROJETOS'!$E$3:$E$37))</f>
        <v>MSV-163MS-702-NORTE/12.DV</v>
      </c>
      <c r="I1187" s="6" t="str" cm="1">
        <f t="array" ref="I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J1187" s="6" t="str" cm="1">
        <f t="array" ref="J1187">_xlfn.TEXTJOIN(", ",TRUE,_xlfn.UNIQUE(_xlfn._xlws.FILTER(ARQUIVOS_RECEBIDOS!$F$2:$F$5010,ARQUIVOS_RECEBIDOS!$E$2:$E$5010=LD_01[[#This Row],[DOCUMENTO]])))</f>
        <v>R02</v>
      </c>
      <c r="K1187" s="12" cm="1">
        <f t="array" ref="K1187">_xlfn.UNIQUE(_xlfn._xlws.FILTER(ARQUIVOS[DATA RECEBIMENTO],(ARQUIVOS[DOCUMENTO]=LD_01[[#This Row],[DOCUMENTO]])*(ARQUIVOS[REVISÃO]=LD_01[[#This Row],[REVISÃO]])))</f>
        <v>45838</v>
      </c>
      <c r="L11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M1187" s="6" t="str">
        <f>LD_01[[#This Row],[PASTA]]&amp;"/"&amp;LD_01[[#This Row],[ARQUIVO]]</f>
        <v>MSV-163MS-702-NORTE/12.DV/MSV-163MS-702+180-RET-EXE-DE-O2-001-R02.pdf</v>
      </c>
    </row>
    <row r="1188" spans="1:13" ht="28.8" hidden="1" x14ac:dyDescent="0.3">
      <c r="A1188" s="6" t="s">
        <v>3967</v>
      </c>
      <c r="B1188" s="6" t="str">
        <f>VLOOKUP(LD_01[[#This Row],[DOCUMENTO]],_xlfn.SORTBY(ARQUIVOS_RECEBIDOS!$E$2:$F$5010,ARQUIVOS_RECEBIDOS!$F$2:$F$5010,-1),2,)</f>
        <v>R02</v>
      </c>
      <c r="C1188" s="15" t="s">
        <v>5987</v>
      </c>
      <c r="D1188" s="6" t="s">
        <v>4321</v>
      </c>
      <c r="E1188" s="8" t="s">
        <v>4171</v>
      </c>
      <c r="F1188" s="8" t="s">
        <v>4144</v>
      </c>
      <c r="G1188" s="6" t="str">
        <f>_xlfn.XLOOKUP(LD_01[[#This Row],[DISCIPLINA]],'CLASSES DE PROJETOS'!$F$3:$F$37,'CLASSES DE PROJETOS'!$C$3:$C$37)</f>
        <v>DV</v>
      </c>
      <c r="H1188" t="str">
        <f>_xlfn.TEXTJOIN("/",TRUE,"MSV-163MS-"&amp;LD_01[[#This Row],[TRECHO]],_xlfn.XLOOKUP(LD_01[[#This Row],[SIGLA]],'CLASSES DE PROJETOS'!$C$3:$C$37,'CLASSES DE PROJETOS'!$E$3:$E$37))</f>
        <v>MSV-163MS-702-NORTE/12.DV</v>
      </c>
      <c r="I1188" s="6" t="str" cm="1">
        <f t="array" ref="I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J1188" s="6" t="str" cm="1">
        <f t="array" ref="J1188">_xlfn.TEXTJOIN(", ",TRUE,_xlfn.UNIQUE(_xlfn._xlws.FILTER(ARQUIVOS_RECEBIDOS!$F$2:$F$5010,ARQUIVOS_RECEBIDOS!$E$2:$E$5010=LD_01[[#This Row],[DOCUMENTO]])))</f>
        <v>R02</v>
      </c>
      <c r="K1188" s="12" cm="1">
        <f t="array" ref="K1188">_xlfn.UNIQUE(_xlfn._xlws.FILTER(ARQUIVOS[DATA RECEBIMENTO],(ARQUIVOS[DOCUMENTO]=LD_01[[#This Row],[DOCUMENTO]])*(ARQUIVOS[REVISÃO]=LD_01[[#This Row],[REVISÃO]])))</f>
        <v>45838</v>
      </c>
      <c r="L11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M1188" s="6" t="str">
        <f>LD_01[[#This Row],[PASTA]]&amp;"/"&amp;LD_01[[#This Row],[ARQUIVO]]</f>
        <v>MSV-163MS-702-NORTE/12.DV/MSV-163MS-702+180-RET-EXE-DE-O2-002-R02.pdf</v>
      </c>
    </row>
    <row r="1189" spans="1:13" ht="28.8" hidden="1" x14ac:dyDescent="0.3">
      <c r="A1189" s="6" t="s">
        <v>3968</v>
      </c>
      <c r="B1189" s="6" t="str">
        <f>VLOOKUP(LD_01[[#This Row],[DOCUMENTO]],_xlfn.SORTBY(ARQUIVOS_RECEBIDOS!$E$2:$F$5010,ARQUIVOS_RECEBIDOS!$F$2:$F$5010,-1),2,)</f>
        <v>R02</v>
      </c>
      <c r="C1189" s="15" t="s">
        <v>5987</v>
      </c>
      <c r="D1189" s="6" t="s">
        <v>4321</v>
      </c>
      <c r="E1189" s="8" t="s">
        <v>4172</v>
      </c>
      <c r="F1189" s="8" t="s">
        <v>4144</v>
      </c>
      <c r="G1189" s="6" t="str">
        <f>_xlfn.XLOOKUP(LD_01[[#This Row],[DISCIPLINA]],'CLASSES DE PROJETOS'!$F$3:$F$37,'CLASSES DE PROJETOS'!$C$3:$C$37)</f>
        <v>DV</v>
      </c>
      <c r="H1189" t="str">
        <f>_xlfn.TEXTJOIN("/",TRUE,"MSV-163MS-"&amp;LD_01[[#This Row],[TRECHO]],_xlfn.XLOOKUP(LD_01[[#This Row],[SIGLA]],'CLASSES DE PROJETOS'!$C$3:$C$37,'CLASSES DE PROJETOS'!$E$3:$E$37))</f>
        <v>MSV-163MS-702-NORTE/12.DV</v>
      </c>
      <c r="I1189" s="6" t="str" cm="1">
        <f t="array" ref="I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J1189" s="6" t="str" cm="1">
        <f t="array" ref="J1189">_xlfn.TEXTJOIN(", ",TRUE,_xlfn.UNIQUE(_xlfn._xlws.FILTER(ARQUIVOS_RECEBIDOS!$F$2:$F$5010,ARQUIVOS_RECEBIDOS!$E$2:$E$5010=LD_01[[#This Row],[DOCUMENTO]])))</f>
        <v>R02</v>
      </c>
      <c r="K1189" s="12" cm="1">
        <f t="array" ref="K1189">_xlfn.UNIQUE(_xlfn._xlws.FILTER(ARQUIVOS[DATA RECEBIMENTO],(ARQUIVOS[DOCUMENTO]=LD_01[[#This Row],[DOCUMENTO]])*(ARQUIVOS[REVISÃO]=LD_01[[#This Row],[REVISÃO]])))</f>
        <v>45838</v>
      </c>
      <c r="L11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M1189" s="6" t="str">
        <f>LD_01[[#This Row],[PASTA]]&amp;"/"&amp;LD_01[[#This Row],[ARQUIVO]]</f>
        <v>MSV-163MS-702-NORTE/12.DV/MSV-163MS-702+180-RET-EXE-DE-O2-003-R02.pdf</v>
      </c>
    </row>
    <row r="1190" spans="1:13" ht="28.8" hidden="1" x14ac:dyDescent="0.3">
      <c r="A1190" s="6" t="s">
        <v>3932</v>
      </c>
      <c r="B1190" s="6" t="str">
        <f>VLOOKUP(LD_01[[#This Row],[DOCUMENTO]],_xlfn.SORTBY(ARQUIVOS_RECEBIDOS!$E$2:$F$5010,ARQUIVOS_RECEBIDOS!$F$2:$F$5010,-1),2,)</f>
        <v>R06</v>
      </c>
      <c r="C1190" s="15" t="s">
        <v>5987</v>
      </c>
      <c r="D1190" s="6" t="s">
        <v>4321</v>
      </c>
      <c r="E1190" s="8" t="s">
        <v>4262</v>
      </c>
      <c r="F1190" s="8" t="s">
        <v>4330</v>
      </c>
      <c r="G1190" s="6" t="str">
        <f>_xlfn.XLOOKUP(LD_01[[#This Row],[DISCIPLINA]],'CLASSES DE PROJETOS'!$F$3:$F$37,'CLASSES DE PROJETOS'!$C$3:$C$37)</f>
        <v>TE</v>
      </c>
      <c r="H1190" t="str">
        <f>_xlfn.TEXTJOIN("/",TRUE,"MSV-163MS-"&amp;LD_01[[#This Row],[TRECHO]],_xlfn.XLOOKUP(LD_01[[#This Row],[SIGLA]],'CLASSES DE PROJETOS'!$C$3:$C$37,'CLASSES DE PROJETOS'!$E$3:$E$37))</f>
        <v>MSV-163MS-702-NORTE/32.TE</v>
      </c>
      <c r="I1190" s="6" t="str" cm="1">
        <f t="array" ref="I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J1190" s="6" t="str" cm="1">
        <f t="array" ref="J1190">_xlfn.TEXTJOIN(", ",TRUE,_xlfn.UNIQUE(_xlfn._xlws.FILTER(ARQUIVOS_RECEBIDOS!$F$2:$F$5010,ARQUIVOS_RECEBIDOS!$E$2:$E$5010=LD_01[[#This Row],[DOCUMENTO]])))</f>
        <v>R06</v>
      </c>
      <c r="K1190" s="12" cm="1">
        <f t="array" ref="K1190">_xlfn.UNIQUE(_xlfn._xlws.FILTER(ARQUIVOS[DATA RECEBIMENTO],(ARQUIVOS[DOCUMENTO]=LD_01[[#This Row],[DOCUMENTO]])*(ARQUIVOS[REVISÃO]=LD_01[[#This Row],[REVISÃO]])))</f>
        <v>45838</v>
      </c>
      <c r="L11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M1190" s="6" t="str">
        <f>LD_01[[#This Row],[PASTA]]&amp;"/"&amp;LD_01[[#This Row],[ARQUIVO]]</f>
        <v>MSV-163MS-702-NORTE/32.TE/MSV-163MS-702+180-RET-EXE-MC-G1-001-R06.pdf</v>
      </c>
    </row>
    <row r="1191" spans="1:13" ht="28.8" hidden="1" x14ac:dyDescent="0.3">
      <c r="A1191" s="6" t="s">
        <v>3941</v>
      </c>
      <c r="B1191" s="6" t="str">
        <f>VLOOKUP(LD_01[[#This Row],[DOCUMENTO]],_xlfn.SORTBY(ARQUIVOS_RECEBIDOS!$E$2:$F$5010,ARQUIVOS_RECEBIDOS!$F$2:$F$5010,-1),2,)</f>
        <v>R04</v>
      </c>
      <c r="C1191" s="15" t="s">
        <v>5987</v>
      </c>
      <c r="D1191" s="6" t="s">
        <v>4321</v>
      </c>
      <c r="E1191" s="8" t="s">
        <v>4270</v>
      </c>
      <c r="F1191" s="8" t="s">
        <v>4142</v>
      </c>
      <c r="G1191" s="6" t="str">
        <f>_xlfn.XLOOKUP(LD_01[[#This Row],[DISCIPLINA]],'CLASSES DE PROJETOS'!$F$3:$F$37,'CLASSES DE PROJETOS'!$C$3:$C$37)</f>
        <v>DR</v>
      </c>
      <c r="H1191" t="str">
        <f>_xlfn.TEXTJOIN("/",TRUE,"MSV-163MS-"&amp;LD_01[[#This Row],[TRECHO]],_xlfn.XLOOKUP(LD_01[[#This Row],[SIGLA]],'CLASSES DE PROJETOS'!$C$3:$C$37,'CLASSES DE PROJETOS'!$E$3:$E$37))</f>
        <v>MSV-163MS-702-NORTE/10.DR</v>
      </c>
      <c r="I1191" s="6" t="str" cm="1">
        <f t="array" ref="I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J1191" s="6" t="str" cm="1">
        <f t="array" ref="J1191">_xlfn.TEXTJOIN(", ",TRUE,_xlfn.UNIQUE(_xlfn._xlws.FILTER(ARQUIVOS_RECEBIDOS!$F$2:$F$5010,ARQUIVOS_RECEBIDOS!$E$2:$E$5010=LD_01[[#This Row],[DOCUMENTO]])))</f>
        <v>R03, R04</v>
      </c>
      <c r="K1191" s="12" cm="1">
        <f t="array" ref="K1191">_xlfn.UNIQUE(_xlfn._xlws.FILTER(ARQUIVOS[DATA RECEBIMENTO],(ARQUIVOS[DOCUMENTO]=LD_01[[#This Row],[DOCUMENTO]])*(ARQUIVOS[REVISÃO]=LD_01[[#This Row],[REVISÃO]])))</f>
        <v>45895</v>
      </c>
      <c r="L11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M1191" s="6" t="str">
        <f>LD_01[[#This Row],[PASTA]]&amp;"/"&amp;LD_01[[#This Row],[ARQUIVO]]</f>
        <v>MSV-163MS-702-NORTE/10.DR/MSV-163MS-702+180-RET-EXE-MC-H2-001-R04.pdf</v>
      </c>
    </row>
    <row r="1192" spans="1:13" ht="28.8" hidden="1" x14ac:dyDescent="0.3">
      <c r="A1192" s="6" t="s">
        <v>3942</v>
      </c>
      <c r="B1192" s="6" t="str">
        <f>VLOOKUP(LD_01[[#This Row],[DOCUMENTO]],_xlfn.SORTBY(ARQUIVOS_RECEBIDOS!$E$2:$F$5010,ARQUIVOS_RECEBIDOS!$F$2:$F$5010,-1),2,)</f>
        <v>R01</v>
      </c>
      <c r="C1192" s="15" t="s">
        <v>5987</v>
      </c>
      <c r="D1192" s="6" t="s">
        <v>4321</v>
      </c>
      <c r="E1192" s="8" t="s">
        <v>4271</v>
      </c>
      <c r="F1192" s="8" t="s">
        <v>4142</v>
      </c>
      <c r="G1192" s="6" t="str">
        <f>_xlfn.XLOOKUP(LD_01[[#This Row],[DISCIPLINA]],'CLASSES DE PROJETOS'!$F$3:$F$37,'CLASSES DE PROJETOS'!$C$3:$C$37)</f>
        <v>DR</v>
      </c>
      <c r="H1192" t="str">
        <f>_xlfn.TEXTJOIN("/",TRUE,"MSV-163MS-"&amp;LD_01[[#This Row],[TRECHO]],_xlfn.XLOOKUP(LD_01[[#This Row],[SIGLA]],'CLASSES DE PROJETOS'!$C$3:$C$37,'CLASSES DE PROJETOS'!$E$3:$E$37))</f>
        <v>MSV-163MS-702-NORTE/10.DR</v>
      </c>
      <c r="I1192" s="6" t="str" cm="1">
        <f t="array" ref="I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J1192" s="6" t="str" cm="1">
        <f t="array" ref="J1192">_xlfn.TEXTJOIN(", ",TRUE,_xlfn.UNIQUE(_xlfn._xlws.FILTER(ARQUIVOS_RECEBIDOS!$F$2:$F$5010,ARQUIVOS_RECEBIDOS!$E$2:$E$5010=LD_01[[#This Row],[DOCUMENTO]])))</f>
        <v>R01</v>
      </c>
      <c r="K1192" s="12" cm="1">
        <f t="array" ref="K1192">_xlfn.UNIQUE(_xlfn._xlws.FILTER(ARQUIVOS[DATA RECEBIMENTO],(ARQUIVOS[DOCUMENTO]=LD_01[[#This Row],[DOCUMENTO]])*(ARQUIVOS[REVISÃO]=LD_01[[#This Row],[REVISÃO]])))</f>
        <v>45838</v>
      </c>
      <c r="L11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M1192" s="6" t="str">
        <f>LD_01[[#This Row],[PASTA]]&amp;"/"&amp;LD_01[[#This Row],[ARQUIVO]]</f>
        <v>MSV-163MS-702-NORTE/10.DR/MSV-163MS-702+180-RET-EXE-MD-H1-001-R01.pdf</v>
      </c>
    </row>
    <row r="1193" spans="1:13" ht="28.8" hidden="1" x14ac:dyDescent="0.3">
      <c r="A1193" s="6" t="s">
        <v>3951</v>
      </c>
      <c r="B1193" s="6" t="str">
        <f>VLOOKUP(LD_01[[#This Row],[DOCUMENTO]],_xlfn.SORTBY(ARQUIVOS_RECEBIDOS!$E$2:$F$5010,ARQUIVOS_RECEBIDOS!$F$2:$F$5010,-1),2,)</f>
        <v>R04</v>
      </c>
      <c r="C1193" s="15" t="s">
        <v>5987</v>
      </c>
      <c r="D1193" s="6" t="s">
        <v>4321</v>
      </c>
      <c r="E1193" s="8" t="s">
        <v>4278</v>
      </c>
      <c r="F1193" s="8" t="s">
        <v>4143</v>
      </c>
      <c r="G1193" s="6" t="str">
        <f>_xlfn.XLOOKUP(LD_01[[#This Row],[DISCIPLINA]],'CLASSES DE PROJETOS'!$F$3:$F$37,'CLASSES DE PROJETOS'!$C$3:$C$37)</f>
        <v>PV</v>
      </c>
      <c r="H1193" t="str">
        <f>_xlfn.TEXTJOIN("/",TRUE,"MSV-163MS-"&amp;LD_01[[#This Row],[TRECHO]],_xlfn.XLOOKUP(LD_01[[#This Row],[SIGLA]],'CLASSES DE PROJETOS'!$C$3:$C$37,'CLASSES DE PROJETOS'!$E$3:$E$37))</f>
        <v>MSV-163MS-702-NORTE/28.PV</v>
      </c>
      <c r="I1193" s="6" t="str" cm="1">
        <f t="array" ref="I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J1193" s="6" t="str" cm="1">
        <f t="array" ref="J1193">_xlfn.TEXTJOIN(", ",TRUE,_xlfn.UNIQUE(_xlfn._xlws.FILTER(ARQUIVOS_RECEBIDOS!$F$2:$F$5010,ARQUIVOS_RECEBIDOS!$E$2:$E$5010=LD_01[[#This Row],[DOCUMENTO]])))</f>
        <v>R03, R04</v>
      </c>
      <c r="K1193" s="12" cm="1">
        <f t="array" ref="K1193">_xlfn.UNIQUE(_xlfn._xlws.FILTER(ARQUIVOS[DATA RECEBIMENTO],(ARQUIVOS[DOCUMENTO]=LD_01[[#This Row],[DOCUMENTO]])*(ARQUIVOS[REVISÃO]=LD_01[[#This Row],[REVISÃO]])))</f>
        <v>45895</v>
      </c>
      <c r="L11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M1193" s="6" t="str">
        <f>LD_01[[#This Row],[PASTA]]&amp;"/"&amp;LD_01[[#This Row],[ARQUIVO]]</f>
        <v>MSV-163MS-702-NORTE/28.PV/MSV-163MS-702+180-RET-EXE-MD-I2-001-R04.pdf</v>
      </c>
    </row>
    <row r="1194" spans="1:13" ht="28.8" hidden="1" x14ac:dyDescent="0.3">
      <c r="A1194" s="6" t="s">
        <v>4074</v>
      </c>
      <c r="B1194" s="6" t="str">
        <f>VLOOKUP(LD_01[[#This Row],[DOCUMENTO]],_xlfn.SORTBY(ARQUIVOS_RECEBIDOS!$E$2:$F$5010,ARQUIVOS_RECEBIDOS!$F$2:$F$5010,-1),2,)</f>
        <v>R00</v>
      </c>
      <c r="C1194" s="15" t="s">
        <v>5987</v>
      </c>
      <c r="D1194" s="6" t="s">
        <v>4321</v>
      </c>
      <c r="E1194" s="8" t="s">
        <v>4245</v>
      </c>
      <c r="F1194" s="8" t="s">
        <v>4331</v>
      </c>
      <c r="G1194" s="6" t="str">
        <f>_xlfn.XLOOKUP(LD_01[[#This Row],[DISCIPLINA]],'CLASSES DE PROJETOS'!$F$3:$F$37,'CLASSES DE PROJETOS'!$C$3:$C$37)</f>
        <v>SI</v>
      </c>
      <c r="H1194" t="str">
        <f>_xlfn.TEXTJOIN("/",TRUE,"MSV-163MS-"&amp;LD_01[[#This Row],[TRECHO]],_xlfn.XLOOKUP(LD_01[[#This Row],[SIGLA]],'CLASSES DE PROJETOS'!$C$3:$C$37,'CLASSES DE PROJETOS'!$E$3:$E$37))</f>
        <v>MSV-163MS-702-NORTE/31.SI</v>
      </c>
      <c r="I1194" s="6" t="str" cm="1">
        <f t="array" ref="I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J1194" s="6" t="str" cm="1">
        <f t="array" ref="J1194">_xlfn.TEXTJOIN(", ",TRUE,_xlfn.UNIQUE(_xlfn._xlws.FILTER(ARQUIVOS_RECEBIDOS!$F$2:$F$5010,ARQUIVOS_RECEBIDOS!$E$2:$E$5010=LD_01[[#This Row],[DOCUMENTO]])))</f>
        <v>R00</v>
      </c>
      <c r="K1194" s="12" cm="1">
        <f t="array" ref="K1194">_xlfn.UNIQUE(_xlfn._xlws.FILTER(ARQUIVOS[DATA RECEBIMENTO],(ARQUIVOS[DOCUMENTO]=LD_01[[#This Row],[DOCUMENTO]])*(ARQUIVOS[REVISÃO]=LD_01[[#This Row],[REVISÃO]])))</f>
        <v>45895</v>
      </c>
      <c r="L11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M1194" s="6" t="str">
        <f>LD_01[[#This Row],[PASTA]]&amp;"/"&amp;LD_01[[#This Row],[ARQUIVO]]</f>
        <v>MSV-163MS-702-NORTE/31.SI/MSV-163MS-702+180-RET-EXE-MD-J1-001-R00.pdf</v>
      </c>
    </row>
    <row r="1195" spans="1:13" ht="28.8" hidden="1" x14ac:dyDescent="0.3">
      <c r="A1195" s="6" t="s">
        <v>3971</v>
      </c>
      <c r="B1195" s="6" t="str">
        <f>VLOOKUP(LD_01[[#This Row],[DOCUMENTO]],_xlfn.SORTBY(ARQUIVOS_RECEBIDOS!$E$2:$F$5010,ARQUIVOS_RECEBIDOS!$F$2:$F$5010,-1),2,)</f>
        <v>R00</v>
      </c>
      <c r="C1195" s="15" t="s">
        <v>5987</v>
      </c>
      <c r="D1195" s="6" t="s">
        <v>4321</v>
      </c>
      <c r="E1195" s="8" t="s">
        <v>4169</v>
      </c>
      <c r="F1195" s="8" t="s">
        <v>4334</v>
      </c>
      <c r="G1195" s="6" t="str">
        <f>_xlfn.XLOOKUP(LD_01[[#This Row],[DISCIPLINA]],'CLASSES DE PROJETOS'!$F$3:$F$37,'CLASSES DE PROJETOS'!$C$3:$C$37)</f>
        <v>PA</v>
      </c>
      <c r="H1195" t="str">
        <f>_xlfn.TEXTJOIN("/",TRUE,"MSV-163MS-"&amp;LD_01[[#This Row],[TRECHO]],_xlfn.XLOOKUP(LD_01[[#This Row],[SIGLA]],'CLASSES DE PROJETOS'!$C$3:$C$37,'CLASSES DE PROJETOS'!$E$3:$E$37))</f>
        <v>MSV-163MS-702-NORTE/27.PA</v>
      </c>
      <c r="I1195" s="6" t="str" cm="1">
        <f t="array" ref="I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J1195" s="6" t="str" cm="1">
        <f t="array" ref="J1195">_xlfn.TEXTJOIN(", ",TRUE,_xlfn.UNIQUE(_xlfn._xlws.FILTER(ARQUIVOS_RECEBIDOS!$F$2:$F$5010,ARQUIVOS_RECEBIDOS!$E$2:$E$5010=LD_01[[#This Row],[DOCUMENTO]])))</f>
        <v>R00</v>
      </c>
      <c r="K1195" s="12" cm="1">
        <f t="array" ref="K1195">_xlfn.UNIQUE(_xlfn._xlws.FILTER(ARQUIVOS[DATA RECEBIMENTO],(ARQUIVOS[DOCUMENTO]=LD_01[[#This Row],[DOCUMENTO]])*(ARQUIVOS[REVISÃO]=LD_01[[#This Row],[REVISÃO]])))</f>
        <v>45838</v>
      </c>
      <c r="L11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M1195" s="6" t="str">
        <f>LD_01[[#This Row],[PASTA]]&amp;"/"&amp;LD_01[[#This Row],[ARQUIVO]]</f>
        <v>MSV-163MS-702-NORTE/27.PA/MSV-163MS-702+180-RET-EXE-MD-N2-001-R00.pdf</v>
      </c>
    </row>
    <row r="1196" spans="1:13" ht="28.8" hidden="1" x14ac:dyDescent="0.3">
      <c r="A1196" s="6" t="s">
        <v>3969</v>
      </c>
      <c r="B1196" s="6" t="str">
        <f>VLOOKUP(LD_01[[#This Row],[DOCUMENTO]],_xlfn.SORTBY(ARQUIVOS_RECEBIDOS!$E$2:$F$5010,ARQUIVOS_RECEBIDOS!$F$2:$F$5010,-1),2,)</f>
        <v>R00</v>
      </c>
      <c r="C1196" s="15" t="s">
        <v>5987</v>
      </c>
      <c r="D1196" s="6" t="s">
        <v>4321</v>
      </c>
      <c r="E1196" s="8" t="s">
        <v>4167</v>
      </c>
      <c r="F1196" s="8" t="s">
        <v>4144</v>
      </c>
      <c r="G1196" s="6" t="str">
        <f>_xlfn.XLOOKUP(LD_01[[#This Row],[DISCIPLINA]],'CLASSES DE PROJETOS'!$F$3:$F$37,'CLASSES DE PROJETOS'!$C$3:$C$37)</f>
        <v>DV</v>
      </c>
      <c r="H1196" t="str">
        <f>_xlfn.TEXTJOIN("/",TRUE,"MSV-163MS-"&amp;LD_01[[#This Row],[TRECHO]],_xlfn.XLOOKUP(LD_01[[#This Row],[SIGLA]],'CLASSES DE PROJETOS'!$C$3:$C$37,'CLASSES DE PROJETOS'!$E$3:$E$37))</f>
        <v>MSV-163MS-702-NORTE/12.DV</v>
      </c>
      <c r="I1196" s="6" t="str" cm="1">
        <f t="array" ref="I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J1196" s="6" t="str" cm="1">
        <f t="array" ref="J1196">_xlfn.TEXTJOIN(", ",TRUE,_xlfn.UNIQUE(_xlfn._xlws.FILTER(ARQUIVOS_RECEBIDOS!$F$2:$F$5010,ARQUIVOS_RECEBIDOS!$E$2:$E$5010=LD_01[[#This Row],[DOCUMENTO]])))</f>
        <v>R00</v>
      </c>
      <c r="K1196" s="12" cm="1">
        <f t="array" ref="K1196">_xlfn.UNIQUE(_xlfn._xlws.FILTER(ARQUIVOS[DATA RECEBIMENTO],(ARQUIVOS[DOCUMENTO]=LD_01[[#This Row],[DOCUMENTO]])*(ARQUIVOS[REVISÃO]=LD_01[[#This Row],[REVISÃO]])))</f>
        <v>45838</v>
      </c>
      <c r="L11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M1196" s="6" t="str">
        <f>LD_01[[#This Row],[PASTA]]&amp;"/"&amp;LD_01[[#This Row],[ARQUIVO]]</f>
        <v>MSV-163MS-702-NORTE/12.DV/MSV-163MS-702+180-RET-EXE-MD-O2-001-R00.pdf</v>
      </c>
    </row>
    <row r="1197" spans="1:13" ht="28.8" hidden="1" x14ac:dyDescent="0.3">
      <c r="A1197" s="6" t="s">
        <v>3952</v>
      </c>
      <c r="B1197" s="6" t="str">
        <f>VLOOKUP(LD_01[[#This Row],[DOCUMENTO]],_xlfn.SORTBY(ARQUIVOS_RECEBIDOS!$E$2:$F$5010,ARQUIVOS_RECEBIDOS!$F$2:$F$5010,-1),2,)</f>
        <v>R01</v>
      </c>
      <c r="C1197" s="15" t="s">
        <v>5987</v>
      </c>
      <c r="D1197" s="6" t="s">
        <v>4321</v>
      </c>
      <c r="E1197" s="8" t="s">
        <v>4279</v>
      </c>
      <c r="F1197" s="8" t="s">
        <v>4143</v>
      </c>
      <c r="G1197" s="6" t="str">
        <f>_xlfn.XLOOKUP(LD_01[[#This Row],[DISCIPLINA]],'CLASSES DE PROJETOS'!$F$3:$F$37,'CLASSES DE PROJETOS'!$C$3:$C$37)</f>
        <v>PV</v>
      </c>
      <c r="H1197" t="str">
        <f>_xlfn.TEXTJOIN("/",TRUE,"MSV-163MS-"&amp;LD_01[[#This Row],[TRECHO]],_xlfn.XLOOKUP(LD_01[[#This Row],[SIGLA]],'CLASSES DE PROJETOS'!$C$3:$C$37,'CLASSES DE PROJETOS'!$E$3:$E$37))</f>
        <v>MSV-163MS-702-NORTE/28.PV</v>
      </c>
      <c r="I1197" s="6" t="str" cm="1">
        <f t="array" ref="I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J1197" s="6" t="str" cm="1">
        <f t="array" ref="J1197">_xlfn.TEXTJOIN(", ",TRUE,_xlfn.UNIQUE(_xlfn._xlws.FILTER(ARQUIVOS_RECEBIDOS!$F$2:$F$5010,ARQUIVOS_RECEBIDOS!$E$2:$E$5010=LD_01[[#This Row],[DOCUMENTO]])))</f>
        <v>R01</v>
      </c>
      <c r="K1197" s="12" cm="1">
        <f t="array" ref="K1197">_xlfn.UNIQUE(_xlfn._xlws.FILTER(ARQUIVOS[DATA RECEBIMENTO],(ARQUIVOS[DOCUMENTO]=LD_01[[#This Row],[DOCUMENTO]])*(ARQUIVOS[REVISÃO]=LD_01[[#This Row],[REVISÃO]])))</f>
        <v>45838</v>
      </c>
      <c r="L11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M1197" s="6" t="str">
        <f>LD_01[[#This Row],[PASTA]]&amp;"/"&amp;LD_01[[#This Row],[ARQUIVO]]</f>
        <v>MSV-163MS-702-NORTE/28.PV/MSV-163MS-702+180-RET-EXE-NS-C3-001-R01.pdf</v>
      </c>
    </row>
    <row r="1198" spans="1:13" hidden="1" x14ac:dyDescent="0.3">
      <c r="A1198" s="6" t="s">
        <v>3922</v>
      </c>
      <c r="B1198" s="6" t="str">
        <f>VLOOKUP(LD_01[[#This Row],[DOCUMENTO]],_xlfn.SORTBY(ARQUIVOS_RECEBIDOS!$E$2:$F$5010,ARQUIVOS_RECEBIDOS!$F$2:$F$5010,-1),2,)</f>
        <v>R01</v>
      </c>
      <c r="C1198" s="15" t="s">
        <v>5987</v>
      </c>
      <c r="D1198" s="6" t="s">
        <v>4321</v>
      </c>
      <c r="E1198" s="8" t="s">
        <v>4165</v>
      </c>
      <c r="F1198" s="8" t="s">
        <v>4163</v>
      </c>
      <c r="G1198" s="6" t="str">
        <f>_xlfn.XLOOKUP(LD_01[[#This Row],[DISCIPLINA]],'CLASSES DE PROJETOS'!$F$3:$F$37,'CLASSES DE PROJETOS'!$C$3:$C$37)</f>
        <v>TO</v>
      </c>
      <c r="H1198" t="str">
        <f>_xlfn.TEXTJOIN("/",TRUE,"MSV-163MS-"&amp;LD_01[[#This Row],[TRECHO]],_xlfn.XLOOKUP(LD_01[[#This Row],[SIGLA]],'CLASSES DE PROJETOS'!$C$3:$C$37,'CLASSES DE PROJETOS'!$E$3:$E$37))</f>
        <v>MSV-163MS-702-NORTE/33.TO</v>
      </c>
      <c r="I1198" s="6" t="str" cm="1">
        <f t="array" ref="I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J1198" s="6" t="str" cm="1">
        <f t="array" ref="J1198">_xlfn.TEXTJOIN(", ",TRUE,_xlfn.UNIQUE(_xlfn._xlws.FILTER(ARQUIVOS_RECEBIDOS!$F$2:$F$5010,ARQUIVOS_RECEBIDOS!$E$2:$E$5010=LD_01[[#This Row],[DOCUMENTO]])))</f>
        <v>R01</v>
      </c>
      <c r="K1198" s="12" cm="1">
        <f t="array" ref="K1198">_xlfn.UNIQUE(_xlfn._xlws.FILTER(ARQUIVOS[DATA RECEBIMENTO],(ARQUIVOS[DOCUMENTO]=LD_01[[#This Row],[DOCUMENTO]])*(ARQUIVOS[REVISÃO]=LD_01[[#This Row],[REVISÃO]])))</f>
        <v>45838</v>
      </c>
      <c r="L11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M1198" s="6" t="str">
        <f>LD_01[[#This Row],[PASTA]]&amp;"/"&amp;LD_01[[#This Row],[ARQUIVO]]</f>
        <v>MSV-163MS-702-NORTE/33.TO/MSV-163MS-702+180-RET-EXE-RT-C1-001-R01.pdf</v>
      </c>
    </row>
    <row r="1199" spans="1:13" ht="28.8" hidden="1" x14ac:dyDescent="0.3">
      <c r="A1199" s="6" t="s">
        <v>3962</v>
      </c>
      <c r="B1199" s="6" t="str">
        <f>VLOOKUP(LD_01[[#This Row],[DOCUMENTO]],_xlfn.SORTBY(ARQUIVOS_RECEBIDOS!$E$2:$F$5010,ARQUIVOS_RECEBIDOS!$F$2:$F$5010,-1),2,)</f>
        <v>R01</v>
      </c>
      <c r="C1199" s="15" t="s">
        <v>5987</v>
      </c>
      <c r="D1199" s="6" t="s">
        <v>4321</v>
      </c>
      <c r="E1199" s="8" t="s">
        <v>4092</v>
      </c>
      <c r="F1199" s="8" t="s">
        <v>4332</v>
      </c>
      <c r="G1199" s="6" t="str">
        <f>_xlfn.XLOOKUP(LD_01[[#This Row],[DISCIPLINA]],'CLASSES DE PROJETOS'!$F$3:$F$37,'CLASSES DE PROJETOS'!$C$3:$C$37)</f>
        <v>GG</v>
      </c>
      <c r="H1199" t="str">
        <f>_xlfn.TEXTJOIN("/",TRUE,"MSV-163MS-"&amp;LD_01[[#This Row],[TRECHO]],_xlfn.XLOOKUP(LD_01[[#This Row],[SIGLA]],'CLASSES DE PROJETOS'!$C$3:$C$37,'CLASSES DE PROJETOS'!$E$3:$E$37))</f>
        <v>MSV-163MS-702-NORTE/19.GG</v>
      </c>
      <c r="I1199" s="6" t="str" cm="1">
        <f t="array" ref="I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J1199" s="6" t="str" cm="1">
        <f t="array" ref="J1199">_xlfn.TEXTJOIN(", ",TRUE,_xlfn.UNIQUE(_xlfn._xlws.FILTER(ARQUIVOS_RECEBIDOS!$F$2:$F$5010,ARQUIVOS_RECEBIDOS!$E$2:$E$5010=LD_01[[#This Row],[DOCUMENTO]])))</f>
        <v>R01</v>
      </c>
      <c r="K1199" s="12" cm="1">
        <f t="array" ref="K1199">_xlfn.UNIQUE(_xlfn._xlws.FILTER(ARQUIVOS[DATA RECEBIMENTO],(ARQUIVOS[DOCUMENTO]=LD_01[[#This Row],[DOCUMENTO]])*(ARQUIVOS[REVISÃO]=LD_01[[#This Row],[REVISÃO]])))</f>
        <v>45838</v>
      </c>
      <c r="L11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M1199" s="6" t="str">
        <f>LD_01[[#This Row],[PASTA]]&amp;"/"&amp;LD_01[[#This Row],[ARQUIVO]]</f>
        <v>MSV-163MS-702-NORTE/19.GG/MSV-163MS-702+180-RET-EXE-RT-D3-001-R01.pdf</v>
      </c>
    </row>
    <row r="1200" spans="1:13" ht="28.8" hidden="1" x14ac:dyDescent="0.3">
      <c r="A1200" s="6" t="s">
        <v>3963</v>
      </c>
      <c r="B1200" s="6" t="str">
        <f>VLOOKUP(LD_01[[#This Row],[DOCUMENTO]],_xlfn.SORTBY(ARQUIVOS_RECEBIDOS!$E$2:$F$5010,ARQUIVOS_RECEBIDOS!$F$2:$F$5010,-1),2,)</f>
        <v>R00</v>
      </c>
      <c r="C1200" s="15" t="s">
        <v>5987</v>
      </c>
      <c r="D1200" s="6" t="s">
        <v>4321</v>
      </c>
      <c r="E1200" s="8" t="s">
        <v>4285</v>
      </c>
      <c r="F1200" s="8" t="s">
        <v>4332</v>
      </c>
      <c r="G1200" s="6" t="str">
        <f>_xlfn.XLOOKUP(LD_01[[#This Row],[DISCIPLINA]],'CLASSES DE PROJETOS'!$F$3:$F$37,'CLASSES DE PROJETOS'!$C$3:$C$37)</f>
        <v>GG</v>
      </c>
      <c r="H1200" t="str">
        <f>_xlfn.TEXTJOIN("/",TRUE,"MSV-163MS-"&amp;LD_01[[#This Row],[TRECHO]],_xlfn.XLOOKUP(LD_01[[#This Row],[SIGLA]],'CLASSES DE PROJETOS'!$C$3:$C$37,'CLASSES DE PROJETOS'!$E$3:$E$37))</f>
        <v>MSV-163MS-702-NORTE/19.GG</v>
      </c>
      <c r="I1200" s="6" t="str" cm="1">
        <f t="array" ref="I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J1200" s="6" t="str" cm="1">
        <f t="array" ref="J1200">_xlfn.TEXTJOIN(", ",TRUE,_xlfn.UNIQUE(_xlfn._xlws.FILTER(ARQUIVOS_RECEBIDOS!$F$2:$F$5010,ARQUIVOS_RECEBIDOS!$E$2:$E$5010=LD_01[[#This Row],[DOCUMENTO]])))</f>
        <v>R00</v>
      </c>
      <c r="K1200" s="12" cm="1">
        <f t="array" ref="K1200">_xlfn.UNIQUE(_xlfn._xlws.FILTER(ARQUIVOS[DATA RECEBIMENTO],(ARQUIVOS[DOCUMENTO]=LD_01[[#This Row],[DOCUMENTO]])*(ARQUIVOS[REVISÃO]=LD_01[[#This Row],[REVISÃO]])))</f>
        <v>45838</v>
      </c>
      <c r="L12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M1200" s="6" t="str">
        <f>LD_01[[#This Row],[PASTA]]&amp;"/"&amp;LD_01[[#This Row],[ARQUIVO]]</f>
        <v>MSV-163MS-702-NORTE/19.GG/MSV-163MS-702+180-RET-EXE-RT-D3-101-R00.pdf</v>
      </c>
    </row>
    <row r="1201" spans="1:13" ht="28.8" hidden="1" x14ac:dyDescent="0.3">
      <c r="A1201" s="6" t="s">
        <v>3972</v>
      </c>
      <c r="B1201" s="6" t="str">
        <f>VLOOKUP(LD_01[[#This Row],[DOCUMENTO]],_xlfn.SORTBY(ARQUIVOS_RECEBIDOS!$E$2:$F$5010,ARQUIVOS_RECEBIDOS!$F$2:$F$5010,-1),2,)</f>
        <v>R00</v>
      </c>
      <c r="C1201" s="15" t="s">
        <v>5987</v>
      </c>
      <c r="D1201" s="6" t="s">
        <v>4321</v>
      </c>
      <c r="E1201" s="8" t="s">
        <v>4173</v>
      </c>
      <c r="F1201" s="8" t="s">
        <v>4335</v>
      </c>
      <c r="G1201" s="6" t="str">
        <f>_xlfn.XLOOKUP(LD_01[[#This Row],[DISCIPLINA]],'CLASSES DE PROJETOS'!$F$3:$F$37,'CLASSES DE PROJETOS'!$C$3:$C$37)</f>
        <v>TR</v>
      </c>
      <c r="H1201" t="str">
        <f>_xlfn.TEXTJOIN("/",TRUE,"MSV-163MS-"&amp;LD_01[[#This Row],[TRECHO]],_xlfn.XLOOKUP(LD_01[[#This Row],[SIGLA]],'CLASSES DE PROJETOS'!$C$3:$C$37,'CLASSES DE PROJETOS'!$E$3:$E$37))</f>
        <v>MSV-163MS-702-NORTE/34.TR</v>
      </c>
      <c r="I1201" s="6" t="str" cm="1">
        <f t="array" ref="I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J1201" s="6" t="str" cm="1">
        <f t="array" ref="J1201">_xlfn.TEXTJOIN(", ",TRUE,_xlfn.UNIQUE(_xlfn._xlws.FILTER(ARQUIVOS_RECEBIDOS!$F$2:$F$5010,ARQUIVOS_RECEBIDOS!$E$2:$E$5010=LD_01[[#This Row],[DOCUMENTO]])))</f>
        <v>R00</v>
      </c>
      <c r="K1201" s="12" cm="1">
        <f t="array" ref="K1201">_xlfn.UNIQUE(_xlfn._xlws.FILTER(ARQUIVOS[DATA RECEBIMENTO],(ARQUIVOS[DOCUMENTO]=LD_01[[#This Row],[DOCUMENTO]])*(ARQUIVOS[REVISÃO]=LD_01[[#This Row],[REVISÃO]])))</f>
        <v>45838</v>
      </c>
      <c r="L12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M1201" s="6" t="str">
        <f>LD_01[[#This Row],[PASTA]]&amp;"/"&amp;LD_01[[#This Row],[ARQUIVO]]</f>
        <v>MSV-163MS-702-NORTE/34.TR/MSV-163MS-702+180-RET-EXE-RT-E1-001-R00.pdf</v>
      </c>
    </row>
    <row r="1202" spans="1:13" ht="43.2" hidden="1" x14ac:dyDescent="0.3">
      <c r="A1202" s="6" t="s">
        <v>3965</v>
      </c>
      <c r="B1202" s="6" t="str">
        <f>VLOOKUP(LD_01[[#This Row],[DOCUMENTO]],_xlfn.SORTBY(ARQUIVOS_RECEBIDOS!$E$2:$F$5010,ARQUIVOS_RECEBIDOS!$F$2:$F$5010,-1),2,)</f>
        <v>R01</v>
      </c>
      <c r="C1202" s="15" t="s">
        <v>5987</v>
      </c>
      <c r="D1202" s="6" t="s">
        <v>4321</v>
      </c>
      <c r="E1202" s="8" t="s">
        <v>4166</v>
      </c>
      <c r="F1202" s="8" t="s">
        <v>4333</v>
      </c>
      <c r="G1202" s="6" t="str">
        <f>_xlfn.XLOOKUP(LD_01[[#This Row],[DISCIPLINA]],'CLASSES DE PROJETOS'!$F$3:$F$37,'CLASSES DE PROJETOS'!$C$3:$C$37)</f>
        <v>IN</v>
      </c>
      <c r="H1202" t="str">
        <f>_xlfn.TEXTJOIN("/",TRUE,"MSV-163MS-"&amp;LD_01[[#This Row],[TRECHO]],_xlfn.XLOOKUP(LD_01[[#This Row],[SIGLA]],'CLASSES DE PROJETOS'!$C$3:$C$37,'CLASSES DE PROJETOS'!$E$3:$E$37))</f>
        <v>MSV-163MS-702-NORTE/23.IN</v>
      </c>
      <c r="I1202" s="6" t="str" cm="1">
        <f t="array" ref="I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J1202" s="6" t="str" cm="1">
        <f t="array" ref="J1202">_xlfn.TEXTJOIN(", ",TRUE,_xlfn.UNIQUE(_xlfn._xlws.FILTER(ARQUIVOS_RECEBIDOS!$F$2:$F$5010,ARQUIVOS_RECEBIDOS!$E$2:$E$5010=LD_01[[#This Row],[DOCUMENTO]])))</f>
        <v>R01</v>
      </c>
      <c r="K1202" s="12" cm="1">
        <f t="array" ref="K1202">_xlfn.UNIQUE(_xlfn._xlws.FILTER(ARQUIVOS[DATA RECEBIMENTO],(ARQUIVOS[DOCUMENTO]=LD_01[[#This Row],[DOCUMENTO]])*(ARQUIVOS[REVISÃO]=LD_01[[#This Row],[REVISÃO]])))</f>
        <v>45838</v>
      </c>
      <c r="L12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M1202" s="6" t="str">
        <f>LD_01[[#This Row],[PASTA]]&amp;"/"&amp;LD_01[[#This Row],[ARQUIVO]]</f>
        <v>MSV-163MS-702-NORTE/23.IN/MSV-163MS-702+180-RET-EXE-RT-M1-001-R01.pdf</v>
      </c>
    </row>
    <row r="1203" spans="1:13" ht="28.8" hidden="1" x14ac:dyDescent="0.3">
      <c r="A1203" s="6" t="s">
        <v>3926</v>
      </c>
      <c r="B1203" s="6" t="str">
        <f>VLOOKUP(LD_01[[#This Row],[DOCUMENTO]],_xlfn.SORTBY(ARQUIVOS_RECEBIDOS!$E$2:$F$5010,ARQUIVOS_RECEBIDOS!$F$2:$F$5010,-1),2,)</f>
        <v>R01</v>
      </c>
      <c r="C1203" s="15" t="s">
        <v>5987</v>
      </c>
      <c r="D1203" s="6" t="s">
        <v>4321</v>
      </c>
      <c r="E1203" s="8" t="s">
        <v>4259</v>
      </c>
      <c r="F1203" s="8" t="s">
        <v>4141</v>
      </c>
      <c r="G1203" s="6" t="str">
        <f>_xlfn.XLOOKUP(LD_01[[#This Row],[DISCIPLINA]],'CLASSES DE PROJETOS'!$F$3:$F$37,'CLASSES DE PROJETOS'!$C$3:$C$37)</f>
        <v>GE</v>
      </c>
      <c r="H1203" t="str">
        <f>_xlfn.TEXTJOIN("/",TRUE,"MSV-163MS-"&amp;LD_01[[#This Row],[TRECHO]],_xlfn.XLOOKUP(LD_01[[#This Row],[SIGLA]],'CLASSES DE PROJETOS'!$C$3:$C$37,'CLASSES DE PROJETOS'!$E$3:$E$37))</f>
        <v>MSV-163MS-702-NORTE/18.GE</v>
      </c>
      <c r="I1203" s="6" t="str" cm="1">
        <f t="array" ref="I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J1203" s="6" t="str" cm="1">
        <f t="array" ref="J1203">_xlfn.TEXTJOIN(", ",TRUE,_xlfn.UNIQUE(_xlfn._xlws.FILTER(ARQUIVOS_RECEBIDOS!$F$2:$F$5010,ARQUIVOS_RECEBIDOS!$E$2:$E$5010=LD_01[[#This Row],[DOCUMENTO]])))</f>
        <v>R01</v>
      </c>
      <c r="K1203" s="12" cm="1">
        <f t="array" ref="K1203">_xlfn.UNIQUE(_xlfn._xlws.FILTER(ARQUIVOS[DATA RECEBIMENTO],(ARQUIVOS[DOCUMENTO]=LD_01[[#This Row],[DOCUMENTO]])*(ARQUIVOS[REVISÃO]=LD_01[[#This Row],[REVISÃO]])))</f>
        <v>45838</v>
      </c>
      <c r="L12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M1203" s="6" t="str">
        <f>LD_01[[#This Row],[PASTA]]&amp;"/"&amp;LD_01[[#This Row],[ARQUIVO]]</f>
        <v>MSV-163MS-702-NORTE/18.GE/MSV-163MS-703+000-RET-EXE-RT-F1-001-R01.pdf</v>
      </c>
    </row>
    <row r="1204" spans="1:13" hidden="1" x14ac:dyDescent="0.3">
      <c r="A1204" s="6" t="s">
        <v>3973</v>
      </c>
      <c r="B1204" s="6" t="str">
        <f>VLOOKUP(LD_01[[#This Row],[DOCUMENTO]],_xlfn.SORTBY(ARQUIVOS_RECEBIDOS!$E$2:$F$5010,ARQUIVOS_RECEBIDOS!$F$2:$F$5010,-1),2,)</f>
        <v>R00</v>
      </c>
      <c r="C1204" s="15" t="s">
        <v>5987</v>
      </c>
      <c r="D1204" s="6" t="s">
        <v>4322</v>
      </c>
      <c r="E1204" s="8" t="s">
        <v>4164</v>
      </c>
      <c r="F1204" s="8" t="s">
        <v>4163</v>
      </c>
      <c r="G1204" s="6" t="str">
        <f>_xlfn.XLOOKUP(LD_01[[#This Row],[DISCIPLINA]],'CLASSES DE PROJETOS'!$F$3:$F$37,'CLASSES DE PROJETOS'!$C$3:$C$37)</f>
        <v>TO</v>
      </c>
      <c r="H1204" t="str">
        <f>_xlfn.TEXTJOIN("/",TRUE,"MSV-163MS-"&amp;LD_01[[#This Row],[TRECHO]],_xlfn.XLOOKUP(LD_01[[#This Row],[SIGLA]],'CLASSES DE PROJETOS'!$C$3:$C$37,'CLASSES DE PROJETOS'!$E$3:$E$37))</f>
        <v>MSV-163MS-730-732/33.TO</v>
      </c>
      <c r="I1204" s="6" t="str" cm="1">
        <f t="array" ref="I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J1204" s="6" t="str" cm="1">
        <f t="array" ref="J1204">_xlfn.TEXTJOIN(", ",TRUE,_xlfn.UNIQUE(_xlfn._xlws.FILTER(ARQUIVOS_RECEBIDOS!$F$2:$F$5010,ARQUIVOS_RECEBIDOS!$E$2:$E$5010=LD_01[[#This Row],[DOCUMENTO]])))</f>
        <v>R00</v>
      </c>
      <c r="K1204" s="12" cm="1">
        <f t="array" ref="K1204">_xlfn.UNIQUE(_xlfn._xlws.FILTER(ARQUIVOS[DATA RECEBIMENTO],(ARQUIVOS[DOCUMENTO]=LD_01[[#This Row],[DOCUMENTO]])*(ARQUIVOS[REVISÃO]=LD_01[[#This Row],[REVISÃO]])))</f>
        <v>45838</v>
      </c>
      <c r="L12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M1204" s="6" t="str">
        <f>LD_01[[#This Row],[PASTA]]&amp;"/"&amp;LD_01[[#This Row],[ARQUIVO]]</f>
        <v>MSV-163MS-730-732/33.TO/MSV-163MS-730-732-ACA-EXE-DE-C1-001-R00.pdf</v>
      </c>
    </row>
    <row r="1205" spans="1:13" hidden="1" x14ac:dyDescent="0.3">
      <c r="A1205" s="6" t="s">
        <v>3974</v>
      </c>
      <c r="B1205" s="6" t="str">
        <f>VLOOKUP(LD_01[[#This Row],[DOCUMENTO]],_xlfn.SORTBY(ARQUIVOS_RECEBIDOS!$E$2:$F$5010,ARQUIVOS_RECEBIDOS!$F$2:$F$5010,-1),2,)</f>
        <v>R00</v>
      </c>
      <c r="C1205" s="15" t="s">
        <v>5987</v>
      </c>
      <c r="D1205" s="6" t="s">
        <v>4322</v>
      </c>
      <c r="E1205" s="8" t="s">
        <v>4164</v>
      </c>
      <c r="F1205" s="8" t="s">
        <v>4163</v>
      </c>
      <c r="G1205" s="6" t="str">
        <f>_xlfn.XLOOKUP(LD_01[[#This Row],[DISCIPLINA]],'CLASSES DE PROJETOS'!$F$3:$F$37,'CLASSES DE PROJETOS'!$C$3:$C$37)</f>
        <v>TO</v>
      </c>
      <c r="H1205" t="str">
        <f>_xlfn.TEXTJOIN("/",TRUE,"MSV-163MS-"&amp;LD_01[[#This Row],[TRECHO]],_xlfn.XLOOKUP(LD_01[[#This Row],[SIGLA]],'CLASSES DE PROJETOS'!$C$3:$C$37,'CLASSES DE PROJETOS'!$E$3:$E$37))</f>
        <v>MSV-163MS-730-732/33.TO</v>
      </c>
      <c r="I1205" s="6" t="str" cm="1">
        <f t="array" ref="I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J1205" s="6" t="str" cm="1">
        <f t="array" ref="J1205">_xlfn.TEXTJOIN(", ",TRUE,_xlfn.UNIQUE(_xlfn._xlws.FILTER(ARQUIVOS_RECEBIDOS!$F$2:$F$5010,ARQUIVOS_RECEBIDOS!$E$2:$E$5010=LD_01[[#This Row],[DOCUMENTO]])))</f>
        <v>R00</v>
      </c>
      <c r="K1205" s="12" cm="1">
        <f t="array" ref="K1205">_xlfn.UNIQUE(_xlfn._xlws.FILTER(ARQUIVOS[DATA RECEBIMENTO],(ARQUIVOS[DOCUMENTO]=LD_01[[#This Row],[DOCUMENTO]])*(ARQUIVOS[REVISÃO]=LD_01[[#This Row],[REVISÃO]])))</f>
        <v>45838</v>
      </c>
      <c r="L12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M1205" s="6" t="str">
        <f>LD_01[[#This Row],[PASTA]]&amp;"/"&amp;LD_01[[#This Row],[ARQUIVO]]</f>
        <v>MSV-163MS-730-732/33.TO/MSV-163MS-730-732-ACA-EXE-DE-C1-002-R00.pdf</v>
      </c>
    </row>
    <row r="1206" spans="1:13" ht="28.8" hidden="1" x14ac:dyDescent="0.3">
      <c r="A1206" s="6" t="s">
        <v>5407</v>
      </c>
      <c r="B1206" s="6" t="str">
        <f>VLOOKUP(LD_01[[#This Row],[DOCUMENTO]],_xlfn.SORTBY(ARQUIVOS_RECEBIDOS!$E$2:$F$5010,ARQUIVOS_RECEBIDOS!$F$2:$F$5010,-1),2,)</f>
        <v>R03</v>
      </c>
      <c r="C1206" s="15" t="s">
        <v>5987</v>
      </c>
      <c r="D1206" s="6" t="s">
        <v>4322</v>
      </c>
      <c r="E1206" s="8" t="s">
        <v>4087</v>
      </c>
      <c r="F1206" s="8" t="s">
        <v>4332</v>
      </c>
      <c r="G1206" s="6" t="str">
        <f>_xlfn.XLOOKUP(LD_01[[#This Row],[DISCIPLINA]],'CLASSES DE PROJETOS'!$F$3:$F$37,'CLASSES DE PROJETOS'!$C$3:$C$37)</f>
        <v>GG</v>
      </c>
      <c r="H1206" t="str">
        <f>_xlfn.TEXTJOIN("/",TRUE,"MSV-163MS-"&amp;LD_01[[#This Row],[TRECHO]],_xlfn.XLOOKUP(LD_01[[#This Row],[SIGLA]],'CLASSES DE PROJETOS'!$C$3:$C$37,'CLASSES DE PROJETOS'!$E$3:$E$37))</f>
        <v>MSV-163MS-730-732/19.GG</v>
      </c>
      <c r="I1206" s="6" t="str" cm="1">
        <f t="array" ref="I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J1206" s="6" t="str" cm="1">
        <f t="array" ref="J1206">_xlfn.TEXTJOIN(", ",TRUE,_xlfn.UNIQUE(_xlfn._xlws.FILTER(ARQUIVOS_RECEBIDOS!$F$2:$F$5010,ARQUIVOS_RECEBIDOS!$E$2:$E$5010=LD_01[[#This Row],[DOCUMENTO]])))</f>
        <v>R02, R03</v>
      </c>
      <c r="K1206" s="12" cm="1">
        <f t="array" ref="K1206">_xlfn.UNIQUE(_xlfn._xlws.FILTER(ARQUIVOS[DATA RECEBIMENTO],(ARQUIVOS[DOCUMENTO]=LD_01[[#This Row],[DOCUMENTO]])*(ARQUIVOS[REVISÃO]=LD_01[[#This Row],[REVISÃO]])))</f>
        <v>45895</v>
      </c>
      <c r="L12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M1206" s="6" t="str">
        <f>LD_01[[#This Row],[PASTA]]&amp;"/"&amp;LD_01[[#This Row],[ARQUIVO]]</f>
        <v>MSV-163MS-730-732/19.GG/MSV-163MS-730-731-ACA-EXE-DE-D3-001-R03.pdf</v>
      </c>
    </row>
    <row r="1207" spans="1:13" ht="28.8" hidden="1" x14ac:dyDescent="0.3">
      <c r="A1207" s="6" t="s">
        <v>5408</v>
      </c>
      <c r="B1207" s="6" t="str">
        <f>VLOOKUP(LD_01[[#This Row],[DOCUMENTO]],_xlfn.SORTBY(ARQUIVOS_RECEBIDOS!$E$2:$F$5010,ARQUIVOS_RECEBIDOS!$F$2:$F$5010,-1),2,)</f>
        <v>R03</v>
      </c>
      <c r="C1207" s="15" t="s">
        <v>5987</v>
      </c>
      <c r="D1207" s="6" t="s">
        <v>4322</v>
      </c>
      <c r="E1207" s="8" t="s">
        <v>4087</v>
      </c>
      <c r="F1207" s="8" t="s">
        <v>4332</v>
      </c>
      <c r="G1207" s="6" t="str">
        <f>_xlfn.XLOOKUP(LD_01[[#This Row],[DISCIPLINA]],'CLASSES DE PROJETOS'!$F$3:$F$37,'CLASSES DE PROJETOS'!$C$3:$C$37)</f>
        <v>GG</v>
      </c>
      <c r="H1207" t="str">
        <f>_xlfn.TEXTJOIN("/",TRUE,"MSV-163MS-"&amp;LD_01[[#This Row],[TRECHO]],_xlfn.XLOOKUP(LD_01[[#This Row],[SIGLA]],'CLASSES DE PROJETOS'!$C$3:$C$37,'CLASSES DE PROJETOS'!$E$3:$E$37))</f>
        <v>MSV-163MS-730-732/19.GG</v>
      </c>
      <c r="I1207" s="6" t="str" cm="1">
        <f t="array" ref="I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J1207" s="6" t="str" cm="1">
        <f t="array" ref="J1207">_xlfn.TEXTJOIN(", ",TRUE,_xlfn.UNIQUE(_xlfn._xlws.FILTER(ARQUIVOS_RECEBIDOS!$F$2:$F$5010,ARQUIVOS_RECEBIDOS!$E$2:$E$5010=LD_01[[#This Row],[DOCUMENTO]])))</f>
        <v>R02, R03</v>
      </c>
      <c r="K1207" s="12" cm="1">
        <f t="array" ref="K1207">_xlfn.UNIQUE(_xlfn._xlws.FILTER(ARQUIVOS[DATA RECEBIMENTO],(ARQUIVOS[DOCUMENTO]=LD_01[[#This Row],[DOCUMENTO]])*(ARQUIVOS[REVISÃO]=LD_01[[#This Row],[REVISÃO]])))</f>
        <v>45895</v>
      </c>
      <c r="L12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M1207" s="6" t="str">
        <f>LD_01[[#This Row],[PASTA]]&amp;"/"&amp;LD_01[[#This Row],[ARQUIVO]]</f>
        <v>MSV-163MS-730-732/19.GG/MSV-163MS-730-731-ACA-EXE-DE-D3-002-R03.pdf</v>
      </c>
    </row>
    <row r="1208" spans="1:13" ht="28.8" hidden="1" x14ac:dyDescent="0.3">
      <c r="A1208" s="6" t="s">
        <v>4035</v>
      </c>
      <c r="B1208" s="6" t="str">
        <f>VLOOKUP(LD_01[[#This Row],[DOCUMENTO]],_xlfn.SORTBY(ARQUIVOS_RECEBIDOS!$E$2:$F$5010,ARQUIVOS_RECEBIDOS!$F$2:$F$5010,-1),2,)</f>
        <v>R00</v>
      </c>
      <c r="C1208" s="15" t="s">
        <v>5987</v>
      </c>
      <c r="D1208" s="6" t="s">
        <v>4322</v>
      </c>
      <c r="E1208" s="8" t="s">
        <v>4095</v>
      </c>
      <c r="F1208" s="8" t="s">
        <v>4332</v>
      </c>
      <c r="G1208" s="6" t="str">
        <f>_xlfn.XLOOKUP(LD_01[[#This Row],[DISCIPLINA]],'CLASSES DE PROJETOS'!$F$3:$F$37,'CLASSES DE PROJETOS'!$C$3:$C$37)</f>
        <v>GG</v>
      </c>
      <c r="H1208" t="str">
        <f>_xlfn.TEXTJOIN("/",TRUE,"MSV-163MS-"&amp;LD_01[[#This Row],[TRECHO]],_xlfn.XLOOKUP(LD_01[[#This Row],[SIGLA]],'CLASSES DE PROJETOS'!$C$3:$C$37,'CLASSES DE PROJETOS'!$E$3:$E$37))</f>
        <v>MSV-163MS-730-732/19.GG</v>
      </c>
      <c r="I1208" s="6" t="str" cm="1">
        <f t="array" ref="I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J1208" s="6" t="str" cm="1">
        <f t="array" ref="J1208">_xlfn.TEXTJOIN(", ",TRUE,_xlfn.UNIQUE(_xlfn._xlws.FILTER(ARQUIVOS_RECEBIDOS!$F$2:$F$5010,ARQUIVOS_RECEBIDOS!$E$2:$E$5010=LD_01[[#This Row],[DOCUMENTO]])))</f>
        <v>R00</v>
      </c>
      <c r="K1208" s="12" cm="1">
        <f t="array" ref="K1208">_xlfn.UNIQUE(_xlfn._xlws.FILTER(ARQUIVOS[DATA RECEBIMENTO],(ARQUIVOS[DOCUMENTO]=LD_01[[#This Row],[DOCUMENTO]])*(ARQUIVOS[REVISÃO]=LD_01[[#This Row],[REVISÃO]])))</f>
        <v>45838</v>
      </c>
      <c r="L12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M1208" s="6" t="str">
        <f>LD_01[[#This Row],[PASTA]]&amp;"/"&amp;LD_01[[#This Row],[ARQUIVO]]</f>
        <v>MSV-163MS-730-732/19.GG/MSV-163MS-730-732-ACA-EXE-DE-D3-003-R00.pdf</v>
      </c>
    </row>
    <row r="1209" spans="1:13" ht="28.8" hidden="1" x14ac:dyDescent="0.3">
      <c r="A1209" s="6" t="s">
        <v>4036</v>
      </c>
      <c r="B1209" s="6" t="str">
        <f>VLOOKUP(LD_01[[#This Row],[DOCUMENTO]],_xlfn.SORTBY(ARQUIVOS_RECEBIDOS!$E$2:$F$5010,ARQUIVOS_RECEBIDOS!$F$2:$F$5010,-1),2,)</f>
        <v>R01</v>
      </c>
      <c r="C1209" s="15" t="s">
        <v>5987</v>
      </c>
      <c r="D1209" s="6" t="s">
        <v>4322</v>
      </c>
      <c r="E1209" s="8" t="s">
        <v>4095</v>
      </c>
      <c r="F1209" s="8" t="s">
        <v>4332</v>
      </c>
      <c r="G1209" s="6" t="str">
        <f>_xlfn.XLOOKUP(LD_01[[#This Row],[DISCIPLINA]],'CLASSES DE PROJETOS'!$F$3:$F$37,'CLASSES DE PROJETOS'!$C$3:$C$37)</f>
        <v>GG</v>
      </c>
      <c r="H1209" t="str">
        <f>_xlfn.TEXTJOIN("/",TRUE,"MSV-163MS-"&amp;LD_01[[#This Row],[TRECHO]],_xlfn.XLOOKUP(LD_01[[#This Row],[SIGLA]],'CLASSES DE PROJETOS'!$C$3:$C$37,'CLASSES DE PROJETOS'!$E$3:$E$37))</f>
        <v>MSV-163MS-730-732/19.GG</v>
      </c>
      <c r="I1209" s="6" t="str" cm="1">
        <f t="array" ref="I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J1209" s="6" t="str" cm="1">
        <f t="array" ref="J1209">_xlfn.TEXTJOIN(", ",TRUE,_xlfn.UNIQUE(_xlfn._xlws.FILTER(ARQUIVOS_RECEBIDOS!$F$2:$F$5010,ARQUIVOS_RECEBIDOS!$E$2:$E$5010=LD_01[[#This Row],[DOCUMENTO]])))</f>
        <v>R01</v>
      </c>
      <c r="K1209" s="12" cm="1">
        <f t="array" ref="K1209">_xlfn.UNIQUE(_xlfn._xlws.FILTER(ARQUIVOS[DATA RECEBIMENTO],(ARQUIVOS[DOCUMENTO]=LD_01[[#This Row],[DOCUMENTO]])*(ARQUIVOS[REVISÃO]=LD_01[[#This Row],[REVISÃO]])))</f>
        <v>45838</v>
      </c>
      <c r="L12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M1209" s="6" t="str">
        <f>LD_01[[#This Row],[PASTA]]&amp;"/"&amp;LD_01[[#This Row],[ARQUIVO]]</f>
        <v>MSV-163MS-730-732/19.GG/MSV-163MS-730-732-ACA-EXE-DE-D3-004-R01.pdf</v>
      </c>
    </row>
    <row r="1210" spans="1:13" ht="28.8" hidden="1" x14ac:dyDescent="0.3">
      <c r="A1210" s="6" t="s">
        <v>4037</v>
      </c>
      <c r="B1210" s="6" t="str">
        <f>VLOOKUP(LD_01[[#This Row],[DOCUMENTO]],_xlfn.SORTBY(ARQUIVOS_RECEBIDOS!$E$2:$F$5010,ARQUIVOS_RECEBIDOS!$F$2:$F$5010,-1),2,)</f>
        <v>R00</v>
      </c>
      <c r="C1210" s="15" t="s">
        <v>5987</v>
      </c>
      <c r="D1210" s="6" t="s">
        <v>4322</v>
      </c>
      <c r="E1210" s="8" t="s">
        <v>4095</v>
      </c>
      <c r="F1210" s="8" t="s">
        <v>4332</v>
      </c>
      <c r="G1210" s="6" t="str">
        <f>_xlfn.XLOOKUP(LD_01[[#This Row],[DISCIPLINA]],'CLASSES DE PROJETOS'!$F$3:$F$37,'CLASSES DE PROJETOS'!$C$3:$C$37)</f>
        <v>GG</v>
      </c>
      <c r="H1210" t="str">
        <f>_xlfn.TEXTJOIN("/",TRUE,"MSV-163MS-"&amp;LD_01[[#This Row],[TRECHO]],_xlfn.XLOOKUP(LD_01[[#This Row],[SIGLA]],'CLASSES DE PROJETOS'!$C$3:$C$37,'CLASSES DE PROJETOS'!$E$3:$E$37))</f>
        <v>MSV-163MS-730-732/19.GG</v>
      </c>
      <c r="I1210" s="6" t="str" cm="1">
        <f t="array" ref="I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J1210" s="6" t="str" cm="1">
        <f t="array" ref="J1210">_xlfn.TEXTJOIN(", ",TRUE,_xlfn.UNIQUE(_xlfn._xlws.FILTER(ARQUIVOS_RECEBIDOS!$F$2:$F$5010,ARQUIVOS_RECEBIDOS!$E$2:$E$5010=LD_01[[#This Row],[DOCUMENTO]])))</f>
        <v>R00</v>
      </c>
      <c r="K1210" s="12" cm="1">
        <f t="array" ref="K1210">_xlfn.UNIQUE(_xlfn._xlws.FILTER(ARQUIVOS[DATA RECEBIMENTO],(ARQUIVOS[DOCUMENTO]=LD_01[[#This Row],[DOCUMENTO]])*(ARQUIVOS[REVISÃO]=LD_01[[#This Row],[REVISÃO]])))</f>
        <v>45838</v>
      </c>
      <c r="L12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M1210" s="6" t="str">
        <f>LD_01[[#This Row],[PASTA]]&amp;"/"&amp;LD_01[[#This Row],[ARQUIVO]]</f>
        <v>MSV-163MS-730-732/19.GG/MSV-163MS-730-732-ACA-EXE-DE-D3-005-R00.pdf</v>
      </c>
    </row>
    <row r="1211" spans="1:13" ht="28.8" hidden="1" x14ac:dyDescent="0.3">
      <c r="A1211" s="6" t="s">
        <v>3976</v>
      </c>
      <c r="B1211" s="6" t="str">
        <f>VLOOKUP(LD_01[[#This Row],[DOCUMENTO]],_xlfn.SORTBY(ARQUIVOS_RECEBIDOS!$E$2:$F$5010,ARQUIVOS_RECEBIDOS!$F$2:$F$5010,-1),2,)</f>
        <v>R07</v>
      </c>
      <c r="C1211" s="15" t="s">
        <v>5987</v>
      </c>
      <c r="D1211" s="6" t="s">
        <v>4322</v>
      </c>
      <c r="E1211" s="8" t="s">
        <v>4307</v>
      </c>
      <c r="F1211" s="8" t="s">
        <v>4141</v>
      </c>
      <c r="G1211" s="6" t="str">
        <f>_xlfn.XLOOKUP(LD_01[[#This Row],[DISCIPLINA]],'CLASSES DE PROJETOS'!$F$3:$F$37,'CLASSES DE PROJETOS'!$C$3:$C$37)</f>
        <v>GE</v>
      </c>
      <c r="H1211" t="str">
        <f>_xlfn.TEXTJOIN("/",TRUE,"MSV-163MS-"&amp;LD_01[[#This Row],[TRECHO]],_xlfn.XLOOKUP(LD_01[[#This Row],[SIGLA]],'CLASSES DE PROJETOS'!$C$3:$C$37,'CLASSES DE PROJETOS'!$E$3:$E$37))</f>
        <v>MSV-163MS-730-732/18.GE</v>
      </c>
      <c r="I1211" s="6" t="str" cm="1">
        <f t="array" ref="I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J1211" s="6" t="str" cm="1">
        <f t="array" ref="J1211">_xlfn.TEXTJOIN(", ",TRUE,_xlfn.UNIQUE(_xlfn._xlws.FILTER(ARQUIVOS_RECEBIDOS!$F$2:$F$5010,ARQUIVOS_RECEBIDOS!$E$2:$E$5010=LD_01[[#This Row],[DOCUMENTO]])))</f>
        <v>R06, R07</v>
      </c>
      <c r="K1211" s="12" cm="1">
        <f t="array" ref="K1211">_xlfn.UNIQUE(_xlfn._xlws.FILTER(ARQUIVOS[DATA RECEBIMENTO],(ARQUIVOS[DOCUMENTO]=LD_01[[#This Row],[DOCUMENTO]])*(ARQUIVOS[REVISÃO]=LD_01[[#This Row],[REVISÃO]])))</f>
        <v>45895</v>
      </c>
      <c r="L12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M1211" s="6" t="str">
        <f>LD_01[[#This Row],[PASTA]]&amp;"/"&amp;LD_01[[#This Row],[ARQUIVO]]</f>
        <v>MSV-163MS-730-732/18.GE/MSV-163MS-730-732-ACA-EXE-DE-F1-001-R07.pdf</v>
      </c>
    </row>
    <row r="1212" spans="1:13" ht="28.8" hidden="1" x14ac:dyDescent="0.3">
      <c r="A1212" s="6" t="s">
        <v>3977</v>
      </c>
      <c r="B1212" s="6" t="str">
        <f>VLOOKUP(LD_01[[#This Row],[DOCUMENTO]],_xlfn.SORTBY(ARQUIVOS_RECEBIDOS!$E$2:$F$5010,ARQUIVOS_RECEBIDOS!$F$2:$F$5010,-1),2,)</f>
        <v>R06</v>
      </c>
      <c r="C1212" s="15" t="s">
        <v>5987</v>
      </c>
      <c r="D1212" s="6" t="s">
        <v>4322</v>
      </c>
      <c r="E1212" s="8" t="s">
        <v>4307</v>
      </c>
      <c r="F1212" s="8" t="s">
        <v>4141</v>
      </c>
      <c r="G1212" s="6" t="str">
        <f>_xlfn.XLOOKUP(LD_01[[#This Row],[DISCIPLINA]],'CLASSES DE PROJETOS'!$F$3:$F$37,'CLASSES DE PROJETOS'!$C$3:$C$37)</f>
        <v>GE</v>
      </c>
      <c r="H1212" t="str">
        <f>_xlfn.TEXTJOIN("/",TRUE,"MSV-163MS-"&amp;LD_01[[#This Row],[TRECHO]],_xlfn.XLOOKUP(LD_01[[#This Row],[SIGLA]],'CLASSES DE PROJETOS'!$C$3:$C$37,'CLASSES DE PROJETOS'!$E$3:$E$37))</f>
        <v>MSV-163MS-730-732/18.GE</v>
      </c>
      <c r="I1212" s="6" t="str" cm="1">
        <f t="array" ref="I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J1212" s="6" t="str" cm="1">
        <f t="array" ref="J1212">_xlfn.TEXTJOIN(", ",TRUE,_xlfn.UNIQUE(_xlfn._xlws.FILTER(ARQUIVOS_RECEBIDOS!$F$2:$F$5010,ARQUIVOS_RECEBIDOS!$E$2:$E$5010=LD_01[[#This Row],[DOCUMENTO]])))</f>
        <v>R05, R06</v>
      </c>
      <c r="K1212" s="12" cm="1">
        <f t="array" ref="K1212">_xlfn.UNIQUE(_xlfn._xlws.FILTER(ARQUIVOS[DATA RECEBIMENTO],(ARQUIVOS[DOCUMENTO]=LD_01[[#This Row],[DOCUMENTO]])*(ARQUIVOS[REVISÃO]=LD_01[[#This Row],[REVISÃO]])))</f>
        <v>45895</v>
      </c>
      <c r="L12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M1212" s="6" t="str">
        <f>LD_01[[#This Row],[PASTA]]&amp;"/"&amp;LD_01[[#This Row],[ARQUIVO]]</f>
        <v>MSV-163MS-730-732/18.GE/MSV-163MS-730-732-ACA-EXE-DE-F1-002-R06.pdf</v>
      </c>
    </row>
    <row r="1213" spans="1:13" hidden="1" x14ac:dyDescent="0.3">
      <c r="A1213" s="6" t="s">
        <v>3978</v>
      </c>
      <c r="B1213" s="6" t="str">
        <f>VLOOKUP(LD_01[[#This Row],[DOCUMENTO]],_xlfn.SORTBY(ARQUIVOS_RECEBIDOS!$E$2:$F$5010,ARQUIVOS_RECEBIDOS!$F$2:$F$5010,-1),2,)</f>
        <v>R03</v>
      </c>
      <c r="C1213" s="15" t="s">
        <v>5987</v>
      </c>
      <c r="D1213" s="6" t="s">
        <v>4322</v>
      </c>
      <c r="E1213" s="8" t="s">
        <v>4308</v>
      </c>
      <c r="F1213" s="8" t="s">
        <v>4141</v>
      </c>
      <c r="G1213" s="6" t="str">
        <f>_xlfn.XLOOKUP(LD_01[[#This Row],[DISCIPLINA]],'CLASSES DE PROJETOS'!$F$3:$F$37,'CLASSES DE PROJETOS'!$C$3:$C$37)</f>
        <v>GE</v>
      </c>
      <c r="H1213" t="str">
        <f>_xlfn.TEXTJOIN("/",TRUE,"MSV-163MS-"&amp;LD_01[[#This Row],[TRECHO]],_xlfn.XLOOKUP(LD_01[[#This Row],[SIGLA]],'CLASSES DE PROJETOS'!$C$3:$C$37,'CLASSES DE PROJETOS'!$E$3:$E$37))</f>
        <v>MSV-163MS-730-732/18.GE</v>
      </c>
      <c r="I1213" s="6" t="str" cm="1">
        <f t="array" ref="I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J1213" s="6" t="str" cm="1">
        <f t="array" ref="J1213">_xlfn.TEXTJOIN(", ",TRUE,_xlfn.UNIQUE(_xlfn._xlws.FILTER(ARQUIVOS_RECEBIDOS!$F$2:$F$5010,ARQUIVOS_RECEBIDOS!$E$2:$E$5010=LD_01[[#This Row],[DOCUMENTO]])))</f>
        <v>R02, R03</v>
      </c>
      <c r="K1213" s="12" cm="1">
        <f t="array" ref="K1213">_xlfn.UNIQUE(_xlfn._xlws.FILTER(ARQUIVOS[DATA RECEBIMENTO],(ARQUIVOS[DOCUMENTO]=LD_01[[#This Row],[DOCUMENTO]])*(ARQUIVOS[REVISÃO]=LD_01[[#This Row],[REVISÃO]])))</f>
        <v>45895</v>
      </c>
      <c r="L12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M1213" s="6" t="str">
        <f>LD_01[[#This Row],[PASTA]]&amp;"/"&amp;LD_01[[#This Row],[ARQUIVO]]</f>
        <v>MSV-163MS-730-732/18.GE/MSV-163MS-730-732-ACA-EXE-DE-F1-003-R03.pdf</v>
      </c>
    </row>
    <row r="1214" spans="1:13" hidden="1" x14ac:dyDescent="0.3">
      <c r="A1214" s="6" t="s">
        <v>3980</v>
      </c>
      <c r="B1214" s="6" t="str">
        <f>VLOOKUP(LD_01[[#This Row],[DOCUMENTO]],_xlfn.SORTBY(ARQUIVOS_RECEBIDOS!$E$2:$F$5010,ARQUIVOS_RECEBIDOS!$F$2:$F$5010,-1),2,)</f>
        <v>R04</v>
      </c>
      <c r="C1214" s="15" t="s">
        <v>5987</v>
      </c>
      <c r="D1214" s="6" t="s">
        <v>4322</v>
      </c>
      <c r="E1214" s="8" t="s">
        <v>4308</v>
      </c>
      <c r="F1214" s="8" t="s">
        <v>4141</v>
      </c>
      <c r="G1214" s="6" t="str">
        <f>_xlfn.XLOOKUP(LD_01[[#This Row],[DISCIPLINA]],'CLASSES DE PROJETOS'!$F$3:$F$37,'CLASSES DE PROJETOS'!$C$3:$C$37)</f>
        <v>GE</v>
      </c>
      <c r="H1214" t="str">
        <f>_xlfn.TEXTJOIN("/",TRUE,"MSV-163MS-"&amp;LD_01[[#This Row],[TRECHO]],_xlfn.XLOOKUP(LD_01[[#This Row],[SIGLA]],'CLASSES DE PROJETOS'!$C$3:$C$37,'CLASSES DE PROJETOS'!$E$3:$E$37))</f>
        <v>MSV-163MS-730-732/18.GE</v>
      </c>
      <c r="I1214" s="6" t="str" cm="1">
        <f t="array" ref="I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J1214" s="6" t="str" cm="1">
        <f t="array" ref="J1214">_xlfn.TEXTJOIN(", ",TRUE,_xlfn.UNIQUE(_xlfn._xlws.FILTER(ARQUIVOS_RECEBIDOS!$F$2:$F$5010,ARQUIVOS_RECEBIDOS!$E$2:$E$5010=LD_01[[#This Row],[DOCUMENTO]])))</f>
        <v>R03, R04</v>
      </c>
      <c r="K1214" s="12" cm="1">
        <f t="array" ref="K1214">_xlfn.UNIQUE(_xlfn._xlws.FILTER(ARQUIVOS[DATA RECEBIMENTO],(ARQUIVOS[DOCUMENTO]=LD_01[[#This Row],[DOCUMENTO]])*(ARQUIVOS[REVISÃO]=LD_01[[#This Row],[REVISÃO]])))</f>
        <v>45895</v>
      </c>
      <c r="L12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M1214" s="6" t="str">
        <f>LD_01[[#This Row],[PASTA]]&amp;"/"&amp;LD_01[[#This Row],[ARQUIVO]]</f>
        <v>MSV-163MS-730-732/18.GE/MSV-163MS-730-732-ACA-EXE-DE-F1-004-R04.pdf</v>
      </c>
    </row>
    <row r="1215" spans="1:13" hidden="1" x14ac:dyDescent="0.3">
      <c r="A1215" s="6" t="s">
        <v>3981</v>
      </c>
      <c r="B1215" s="6" t="str">
        <f>VLOOKUP(LD_01[[#This Row],[DOCUMENTO]],_xlfn.SORTBY(ARQUIVOS_RECEBIDOS!$E$2:$F$5010,ARQUIVOS_RECEBIDOS!$F$2:$F$5010,-1),2,)</f>
        <v>R01</v>
      </c>
      <c r="C1215" s="15" t="s">
        <v>5987</v>
      </c>
      <c r="D1215" s="6" t="s">
        <v>4322</v>
      </c>
      <c r="E1215" s="8" t="s">
        <v>4308</v>
      </c>
      <c r="F1215" s="8" t="s">
        <v>4141</v>
      </c>
      <c r="G1215" s="6" t="str">
        <f>_xlfn.XLOOKUP(LD_01[[#This Row],[DISCIPLINA]],'CLASSES DE PROJETOS'!$F$3:$F$37,'CLASSES DE PROJETOS'!$C$3:$C$37)</f>
        <v>GE</v>
      </c>
      <c r="H1215" t="str">
        <f>_xlfn.TEXTJOIN("/",TRUE,"MSV-163MS-"&amp;LD_01[[#This Row],[TRECHO]],_xlfn.XLOOKUP(LD_01[[#This Row],[SIGLA]],'CLASSES DE PROJETOS'!$C$3:$C$37,'CLASSES DE PROJETOS'!$E$3:$E$37))</f>
        <v>MSV-163MS-730-732/18.GE</v>
      </c>
      <c r="I1215" s="6" t="str" cm="1">
        <f t="array" ref="I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J1215" s="6" t="str" cm="1">
        <f t="array" ref="J1215">_xlfn.TEXTJOIN(", ",TRUE,_xlfn.UNIQUE(_xlfn._xlws.FILTER(ARQUIVOS_RECEBIDOS!$F$2:$F$5010,ARQUIVOS_RECEBIDOS!$E$2:$E$5010=LD_01[[#This Row],[DOCUMENTO]])))</f>
        <v>R01</v>
      </c>
      <c r="K1215" s="12" cm="1">
        <f t="array" ref="K1215">_xlfn.UNIQUE(_xlfn._xlws.FILTER(ARQUIVOS[DATA RECEBIMENTO],(ARQUIVOS[DOCUMENTO]=LD_01[[#This Row],[DOCUMENTO]])*(ARQUIVOS[REVISÃO]=LD_01[[#This Row],[REVISÃO]])))</f>
        <v>45838</v>
      </c>
      <c r="L12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M1215" s="6" t="str">
        <f>LD_01[[#This Row],[PASTA]]&amp;"/"&amp;LD_01[[#This Row],[ARQUIVO]]</f>
        <v>MSV-163MS-730-732/18.GE/MSV-163MS-730-732-ACA-EXE-DE-F1-005-R01.pdf</v>
      </c>
    </row>
    <row r="1216" spans="1:13" ht="28.8" hidden="1" x14ac:dyDescent="0.3">
      <c r="A1216" s="6" t="s">
        <v>3982</v>
      </c>
      <c r="B1216" s="6" t="str">
        <f>VLOOKUP(LD_01[[#This Row],[DOCUMENTO]],_xlfn.SORTBY(ARQUIVOS_RECEBIDOS!$E$2:$F$5010,ARQUIVOS_RECEBIDOS!$F$2:$F$5010,-1),2,)</f>
        <v>R03</v>
      </c>
      <c r="C1216" s="15" t="s">
        <v>5987</v>
      </c>
      <c r="D1216" s="6" t="s">
        <v>4322</v>
      </c>
      <c r="E1216" s="8" t="s">
        <v>4194</v>
      </c>
      <c r="F1216" s="8" t="s">
        <v>4141</v>
      </c>
      <c r="G1216" s="6" t="str">
        <f>_xlfn.XLOOKUP(LD_01[[#This Row],[DISCIPLINA]],'CLASSES DE PROJETOS'!$F$3:$F$37,'CLASSES DE PROJETOS'!$C$3:$C$37)</f>
        <v>GE</v>
      </c>
      <c r="H1216" t="str">
        <f>_xlfn.TEXTJOIN("/",TRUE,"MSV-163MS-"&amp;LD_01[[#This Row],[TRECHO]],_xlfn.XLOOKUP(LD_01[[#This Row],[SIGLA]],'CLASSES DE PROJETOS'!$C$3:$C$37,'CLASSES DE PROJETOS'!$E$3:$E$37))</f>
        <v>MSV-163MS-730-732/18.GE</v>
      </c>
      <c r="I1216" s="6" t="str" cm="1">
        <f t="array" ref="I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J1216" s="6" t="str" cm="1">
        <f t="array" ref="J1216">_xlfn.TEXTJOIN(", ",TRUE,_xlfn.UNIQUE(_xlfn._xlws.FILTER(ARQUIVOS_RECEBIDOS!$F$2:$F$5010,ARQUIVOS_RECEBIDOS!$E$2:$E$5010=LD_01[[#This Row],[DOCUMENTO]])))</f>
        <v>R02, R03</v>
      </c>
      <c r="K1216" s="12" cm="1">
        <f t="array" ref="K1216">_xlfn.UNIQUE(_xlfn._xlws.FILTER(ARQUIVOS[DATA RECEBIMENTO],(ARQUIVOS[DOCUMENTO]=LD_01[[#This Row],[DOCUMENTO]])*(ARQUIVOS[REVISÃO]=LD_01[[#This Row],[REVISÃO]])))</f>
        <v>45895</v>
      </c>
      <c r="L12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M1216" s="6" t="str">
        <f>LD_01[[#This Row],[PASTA]]&amp;"/"&amp;LD_01[[#This Row],[ARQUIVO]]</f>
        <v>MSV-163MS-730-732/18.GE/MSV-163MS-730-732-ACA-EXE-DE-F1-006-R03.pdf</v>
      </c>
    </row>
    <row r="1217" spans="1:13" ht="28.8" hidden="1" x14ac:dyDescent="0.3">
      <c r="A1217" s="6" t="s">
        <v>3984</v>
      </c>
      <c r="B1217" s="6" t="str">
        <f>VLOOKUP(LD_01[[#This Row],[DOCUMENTO]],_xlfn.SORTBY(ARQUIVOS_RECEBIDOS!$E$2:$F$5010,ARQUIVOS_RECEBIDOS!$F$2:$F$5010,-1),2,)</f>
        <v>R02</v>
      </c>
      <c r="C1217" s="15" t="s">
        <v>5987</v>
      </c>
      <c r="D1217" s="6" t="s">
        <v>4322</v>
      </c>
      <c r="E1217" s="8" t="s">
        <v>4077</v>
      </c>
      <c r="F1217" s="8" t="s">
        <v>4330</v>
      </c>
      <c r="G1217" s="6" t="str">
        <f>_xlfn.XLOOKUP(LD_01[[#This Row],[DISCIPLINA]],'CLASSES DE PROJETOS'!$F$3:$F$37,'CLASSES DE PROJETOS'!$C$3:$C$37)</f>
        <v>TE</v>
      </c>
      <c r="H1217" t="str">
        <f>_xlfn.TEXTJOIN("/",TRUE,"MSV-163MS-"&amp;LD_01[[#This Row],[TRECHO]],_xlfn.XLOOKUP(LD_01[[#This Row],[SIGLA]],'CLASSES DE PROJETOS'!$C$3:$C$37,'CLASSES DE PROJETOS'!$E$3:$E$37))</f>
        <v>MSV-163MS-730-732/32.TE</v>
      </c>
      <c r="I1217" s="6" t="str" cm="1">
        <f t="array" ref="I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J1217" s="6" t="str" cm="1">
        <f t="array" ref="J1217">_xlfn.TEXTJOIN(", ",TRUE,_xlfn.UNIQUE(_xlfn._xlws.FILTER(ARQUIVOS_RECEBIDOS!$F$2:$F$5010,ARQUIVOS_RECEBIDOS!$E$2:$E$5010=LD_01[[#This Row],[DOCUMENTO]])))</f>
        <v>R02</v>
      </c>
      <c r="K1217" s="12" cm="1">
        <f t="array" ref="K1217">_xlfn.UNIQUE(_xlfn._xlws.FILTER(ARQUIVOS[DATA RECEBIMENTO],(ARQUIVOS[DOCUMENTO]=LD_01[[#This Row],[DOCUMENTO]])*(ARQUIVOS[REVISÃO]=LD_01[[#This Row],[REVISÃO]])))</f>
        <v>45838</v>
      </c>
      <c r="L12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M1217" s="6" t="str">
        <f>LD_01[[#This Row],[PASTA]]&amp;"/"&amp;LD_01[[#This Row],[ARQUIVO]]</f>
        <v>MSV-163MS-730-732/32.TE/MSV-163MS-730-732-ACA-EXE-DE-G1-001-R02.pdf</v>
      </c>
    </row>
    <row r="1218" spans="1:13" ht="28.8" hidden="1" x14ac:dyDescent="0.3">
      <c r="A1218" s="6" t="s">
        <v>3985</v>
      </c>
      <c r="B1218" s="6" t="str">
        <f>VLOOKUP(LD_01[[#This Row],[DOCUMENTO]],_xlfn.SORTBY(ARQUIVOS_RECEBIDOS!$E$2:$F$5010,ARQUIVOS_RECEBIDOS!$F$2:$F$5010,-1),2,)</f>
        <v>R02</v>
      </c>
      <c r="C1218" s="15" t="s">
        <v>5987</v>
      </c>
      <c r="D1218" s="6" t="s">
        <v>4322</v>
      </c>
      <c r="E1218" s="8" t="s">
        <v>4077</v>
      </c>
      <c r="F1218" s="8" t="s">
        <v>4330</v>
      </c>
      <c r="G1218" s="6" t="str">
        <f>_xlfn.XLOOKUP(LD_01[[#This Row],[DISCIPLINA]],'CLASSES DE PROJETOS'!$F$3:$F$37,'CLASSES DE PROJETOS'!$C$3:$C$37)</f>
        <v>TE</v>
      </c>
      <c r="H1218" t="str">
        <f>_xlfn.TEXTJOIN("/",TRUE,"MSV-163MS-"&amp;LD_01[[#This Row],[TRECHO]],_xlfn.XLOOKUP(LD_01[[#This Row],[SIGLA]],'CLASSES DE PROJETOS'!$C$3:$C$37,'CLASSES DE PROJETOS'!$E$3:$E$37))</f>
        <v>MSV-163MS-730-732/32.TE</v>
      </c>
      <c r="I1218" s="6" t="str" cm="1">
        <f t="array" ref="I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J1218" s="6" t="str" cm="1">
        <f t="array" ref="J1218">_xlfn.TEXTJOIN(", ",TRUE,_xlfn.UNIQUE(_xlfn._xlws.FILTER(ARQUIVOS_RECEBIDOS!$F$2:$F$5010,ARQUIVOS_RECEBIDOS!$E$2:$E$5010=LD_01[[#This Row],[DOCUMENTO]])))</f>
        <v>R02</v>
      </c>
      <c r="K1218" s="12" cm="1">
        <f t="array" ref="K1218">_xlfn.UNIQUE(_xlfn._xlws.FILTER(ARQUIVOS[DATA RECEBIMENTO],(ARQUIVOS[DOCUMENTO]=LD_01[[#This Row],[DOCUMENTO]])*(ARQUIVOS[REVISÃO]=LD_01[[#This Row],[REVISÃO]])))</f>
        <v>45838</v>
      </c>
      <c r="L12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M1218" s="6" t="str">
        <f>LD_01[[#This Row],[PASTA]]&amp;"/"&amp;LD_01[[#This Row],[ARQUIVO]]</f>
        <v>MSV-163MS-730-732/32.TE/MSV-163MS-730-732-ACA-EXE-DE-G1-002-R02.pdf</v>
      </c>
    </row>
    <row r="1219" spans="1:13" ht="28.8" hidden="1" x14ac:dyDescent="0.3">
      <c r="A1219" s="6" t="s">
        <v>3986</v>
      </c>
      <c r="B1219" s="6" t="str">
        <f>VLOOKUP(LD_01[[#This Row],[DOCUMENTO]],_xlfn.SORTBY(ARQUIVOS_RECEBIDOS!$E$2:$F$5010,ARQUIVOS_RECEBIDOS!$F$2:$F$5010,-1),2,)</f>
        <v>R02</v>
      </c>
      <c r="C1219" s="15" t="s">
        <v>5987</v>
      </c>
      <c r="D1219" s="6" t="s">
        <v>4322</v>
      </c>
      <c r="E1219" s="8" t="s">
        <v>4077</v>
      </c>
      <c r="F1219" s="8" t="s">
        <v>4330</v>
      </c>
      <c r="G1219" s="6" t="str">
        <f>_xlfn.XLOOKUP(LD_01[[#This Row],[DISCIPLINA]],'CLASSES DE PROJETOS'!$F$3:$F$37,'CLASSES DE PROJETOS'!$C$3:$C$37)</f>
        <v>TE</v>
      </c>
      <c r="H1219" t="str">
        <f>_xlfn.TEXTJOIN("/",TRUE,"MSV-163MS-"&amp;LD_01[[#This Row],[TRECHO]],_xlfn.XLOOKUP(LD_01[[#This Row],[SIGLA]],'CLASSES DE PROJETOS'!$C$3:$C$37,'CLASSES DE PROJETOS'!$E$3:$E$37))</f>
        <v>MSV-163MS-730-732/32.TE</v>
      </c>
      <c r="I1219" s="6" t="str" cm="1">
        <f t="array" ref="I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J1219" s="6" t="str" cm="1">
        <f t="array" ref="J1219">_xlfn.TEXTJOIN(", ",TRUE,_xlfn.UNIQUE(_xlfn._xlws.FILTER(ARQUIVOS_RECEBIDOS!$F$2:$F$5010,ARQUIVOS_RECEBIDOS!$E$2:$E$5010=LD_01[[#This Row],[DOCUMENTO]])))</f>
        <v>R02</v>
      </c>
      <c r="K1219" s="12" cm="1">
        <f t="array" ref="K1219">_xlfn.UNIQUE(_xlfn._xlws.FILTER(ARQUIVOS[DATA RECEBIMENTO],(ARQUIVOS[DOCUMENTO]=LD_01[[#This Row],[DOCUMENTO]])*(ARQUIVOS[REVISÃO]=LD_01[[#This Row],[REVISÃO]])))</f>
        <v>45838</v>
      </c>
      <c r="L12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M1219" s="6" t="str">
        <f>LD_01[[#This Row],[PASTA]]&amp;"/"&amp;LD_01[[#This Row],[ARQUIVO]]</f>
        <v>MSV-163MS-730-732/32.TE/MSV-163MS-730-732-ACA-EXE-DE-G1-003-R02.pdf</v>
      </c>
    </row>
    <row r="1220" spans="1:13" ht="28.8" hidden="1" x14ac:dyDescent="0.3">
      <c r="A1220" s="6" t="s">
        <v>3987</v>
      </c>
      <c r="B1220" s="6" t="str">
        <f>VLOOKUP(LD_01[[#This Row],[DOCUMENTO]],_xlfn.SORTBY(ARQUIVOS_RECEBIDOS!$E$2:$F$5010,ARQUIVOS_RECEBIDOS!$F$2:$F$5010,-1),2,)</f>
        <v>R04</v>
      </c>
      <c r="C1220" s="15" t="s">
        <v>5987</v>
      </c>
      <c r="D1220" s="6" t="s">
        <v>4322</v>
      </c>
      <c r="E1220" s="8" t="s">
        <v>4077</v>
      </c>
      <c r="F1220" s="8" t="s">
        <v>4330</v>
      </c>
      <c r="G1220" s="6" t="str">
        <f>_xlfn.XLOOKUP(LD_01[[#This Row],[DISCIPLINA]],'CLASSES DE PROJETOS'!$F$3:$F$37,'CLASSES DE PROJETOS'!$C$3:$C$37)</f>
        <v>TE</v>
      </c>
      <c r="H1220" t="str">
        <f>_xlfn.TEXTJOIN("/",TRUE,"MSV-163MS-"&amp;LD_01[[#This Row],[TRECHO]],_xlfn.XLOOKUP(LD_01[[#This Row],[SIGLA]],'CLASSES DE PROJETOS'!$C$3:$C$37,'CLASSES DE PROJETOS'!$E$3:$E$37))</f>
        <v>MSV-163MS-730-732/32.TE</v>
      </c>
      <c r="I1220" s="6" t="str" cm="1">
        <f t="array" ref="I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J1220" s="6" t="str" cm="1">
        <f t="array" ref="J1220">_xlfn.TEXTJOIN(", ",TRUE,_xlfn.UNIQUE(_xlfn._xlws.FILTER(ARQUIVOS_RECEBIDOS!$F$2:$F$5010,ARQUIVOS_RECEBIDOS!$E$2:$E$5010=LD_01[[#This Row],[DOCUMENTO]])))</f>
        <v>R03, R04</v>
      </c>
      <c r="K1220" s="12" cm="1">
        <f t="array" ref="K1220">_xlfn.UNIQUE(_xlfn._xlws.FILTER(ARQUIVOS[DATA RECEBIMENTO],(ARQUIVOS[DOCUMENTO]=LD_01[[#This Row],[DOCUMENTO]])*(ARQUIVOS[REVISÃO]=LD_01[[#This Row],[REVISÃO]])))</f>
        <v>45895</v>
      </c>
      <c r="L12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M1220" s="6" t="str">
        <f>LD_01[[#This Row],[PASTA]]&amp;"/"&amp;LD_01[[#This Row],[ARQUIVO]]</f>
        <v>MSV-163MS-730-732/32.TE/MSV-163MS-730-732-ACA-EXE-DE-G1-004-R04.pdf</v>
      </c>
    </row>
    <row r="1221" spans="1:13" ht="28.8" hidden="1" x14ac:dyDescent="0.3">
      <c r="A1221" s="6" t="s">
        <v>3988</v>
      </c>
      <c r="B1221" s="6" t="str">
        <f>VLOOKUP(LD_01[[#This Row],[DOCUMENTO]],_xlfn.SORTBY(ARQUIVOS_RECEBIDOS!$E$2:$F$5010,ARQUIVOS_RECEBIDOS!$F$2:$F$5010,-1),2,)</f>
        <v>R04</v>
      </c>
      <c r="C1221" s="15" t="s">
        <v>5987</v>
      </c>
      <c r="D1221" s="6" t="s">
        <v>4322</v>
      </c>
      <c r="E1221" s="8" t="s">
        <v>4077</v>
      </c>
      <c r="F1221" s="8" t="s">
        <v>4330</v>
      </c>
      <c r="G1221" s="6" t="str">
        <f>_xlfn.XLOOKUP(LD_01[[#This Row],[DISCIPLINA]],'CLASSES DE PROJETOS'!$F$3:$F$37,'CLASSES DE PROJETOS'!$C$3:$C$37)</f>
        <v>TE</v>
      </c>
      <c r="H1221" t="str">
        <f>_xlfn.TEXTJOIN("/",TRUE,"MSV-163MS-"&amp;LD_01[[#This Row],[TRECHO]],_xlfn.XLOOKUP(LD_01[[#This Row],[SIGLA]],'CLASSES DE PROJETOS'!$C$3:$C$37,'CLASSES DE PROJETOS'!$E$3:$E$37))</f>
        <v>MSV-163MS-730-732/32.TE</v>
      </c>
      <c r="I1221" s="6" t="str" cm="1">
        <f t="array" ref="I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J1221" s="6" t="str" cm="1">
        <f t="array" ref="J1221">_xlfn.TEXTJOIN(", ",TRUE,_xlfn.UNIQUE(_xlfn._xlws.FILTER(ARQUIVOS_RECEBIDOS!$F$2:$F$5010,ARQUIVOS_RECEBIDOS!$E$2:$E$5010=LD_01[[#This Row],[DOCUMENTO]])))</f>
        <v>R03, R04</v>
      </c>
      <c r="K1221" s="12" cm="1">
        <f t="array" ref="K1221">_xlfn.UNIQUE(_xlfn._xlws.FILTER(ARQUIVOS[DATA RECEBIMENTO],(ARQUIVOS[DOCUMENTO]=LD_01[[#This Row],[DOCUMENTO]])*(ARQUIVOS[REVISÃO]=LD_01[[#This Row],[REVISÃO]])))</f>
        <v>45895</v>
      </c>
      <c r="L12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M1221" s="6" t="str">
        <f>LD_01[[#This Row],[PASTA]]&amp;"/"&amp;LD_01[[#This Row],[ARQUIVO]]</f>
        <v>MSV-163MS-730-732/32.TE/MSV-163MS-730-732-ACA-EXE-DE-G1-005-R04.pdf</v>
      </c>
    </row>
    <row r="1222" spans="1:13" ht="28.8" hidden="1" x14ac:dyDescent="0.3">
      <c r="A1222" s="6" t="s">
        <v>3989</v>
      </c>
      <c r="B1222" s="6" t="str">
        <f>VLOOKUP(LD_01[[#This Row],[DOCUMENTO]],_xlfn.SORTBY(ARQUIVOS_RECEBIDOS!$E$2:$F$5010,ARQUIVOS_RECEBIDOS!$F$2:$F$5010,-1),2,)</f>
        <v>R04</v>
      </c>
      <c r="C1222" s="15" t="s">
        <v>5987</v>
      </c>
      <c r="D1222" s="6" t="s">
        <v>4322</v>
      </c>
      <c r="E1222" s="8" t="s">
        <v>4077</v>
      </c>
      <c r="F1222" s="8" t="s">
        <v>4330</v>
      </c>
      <c r="G1222" s="6" t="str">
        <f>_xlfn.XLOOKUP(LD_01[[#This Row],[DISCIPLINA]],'CLASSES DE PROJETOS'!$F$3:$F$37,'CLASSES DE PROJETOS'!$C$3:$C$37)</f>
        <v>TE</v>
      </c>
      <c r="H1222" t="str">
        <f>_xlfn.TEXTJOIN("/",TRUE,"MSV-163MS-"&amp;LD_01[[#This Row],[TRECHO]],_xlfn.XLOOKUP(LD_01[[#This Row],[SIGLA]],'CLASSES DE PROJETOS'!$C$3:$C$37,'CLASSES DE PROJETOS'!$E$3:$E$37))</f>
        <v>MSV-163MS-730-732/32.TE</v>
      </c>
      <c r="I1222" s="6" t="str" cm="1">
        <f t="array" ref="I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J1222" s="6" t="str" cm="1">
        <f t="array" ref="J1222">_xlfn.TEXTJOIN(", ",TRUE,_xlfn.UNIQUE(_xlfn._xlws.FILTER(ARQUIVOS_RECEBIDOS!$F$2:$F$5010,ARQUIVOS_RECEBIDOS!$E$2:$E$5010=LD_01[[#This Row],[DOCUMENTO]])))</f>
        <v>R03, R04</v>
      </c>
      <c r="K1222" s="12" cm="1">
        <f t="array" ref="K1222">_xlfn.UNIQUE(_xlfn._xlws.FILTER(ARQUIVOS[DATA RECEBIMENTO],(ARQUIVOS[DOCUMENTO]=LD_01[[#This Row],[DOCUMENTO]])*(ARQUIVOS[REVISÃO]=LD_01[[#This Row],[REVISÃO]])))</f>
        <v>45895</v>
      </c>
      <c r="L12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M1222" s="6" t="str">
        <f>LD_01[[#This Row],[PASTA]]&amp;"/"&amp;LD_01[[#This Row],[ARQUIVO]]</f>
        <v>MSV-163MS-730-732/32.TE/MSV-163MS-730-732-ACA-EXE-DE-G1-006-R04.pdf</v>
      </c>
    </row>
    <row r="1223" spans="1:13" ht="28.8" hidden="1" x14ac:dyDescent="0.3">
      <c r="A1223" s="6" t="s">
        <v>3990</v>
      </c>
      <c r="B1223" s="6" t="str">
        <f>VLOOKUP(LD_01[[#This Row],[DOCUMENTO]],_xlfn.SORTBY(ARQUIVOS_RECEBIDOS!$E$2:$F$5010,ARQUIVOS_RECEBIDOS!$F$2:$F$5010,-1),2,)</f>
        <v>R04</v>
      </c>
      <c r="C1223" s="15" t="s">
        <v>5987</v>
      </c>
      <c r="D1223" s="6" t="s">
        <v>4322</v>
      </c>
      <c r="E1223" s="8" t="s">
        <v>4077</v>
      </c>
      <c r="F1223" s="8" t="s">
        <v>4330</v>
      </c>
      <c r="G1223" s="6" t="str">
        <f>_xlfn.XLOOKUP(LD_01[[#This Row],[DISCIPLINA]],'CLASSES DE PROJETOS'!$F$3:$F$37,'CLASSES DE PROJETOS'!$C$3:$C$37)</f>
        <v>TE</v>
      </c>
      <c r="H1223" t="str">
        <f>_xlfn.TEXTJOIN("/",TRUE,"MSV-163MS-"&amp;LD_01[[#This Row],[TRECHO]],_xlfn.XLOOKUP(LD_01[[#This Row],[SIGLA]],'CLASSES DE PROJETOS'!$C$3:$C$37,'CLASSES DE PROJETOS'!$E$3:$E$37))</f>
        <v>MSV-163MS-730-732/32.TE</v>
      </c>
      <c r="I1223" s="6" t="str" cm="1">
        <f t="array" ref="I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J1223" s="6" t="str" cm="1">
        <f t="array" ref="J1223">_xlfn.TEXTJOIN(", ",TRUE,_xlfn.UNIQUE(_xlfn._xlws.FILTER(ARQUIVOS_RECEBIDOS!$F$2:$F$5010,ARQUIVOS_RECEBIDOS!$E$2:$E$5010=LD_01[[#This Row],[DOCUMENTO]])))</f>
        <v>R03, R04</v>
      </c>
      <c r="K1223" s="12" cm="1">
        <f t="array" ref="K1223">_xlfn.UNIQUE(_xlfn._xlws.FILTER(ARQUIVOS[DATA RECEBIMENTO],(ARQUIVOS[DOCUMENTO]=LD_01[[#This Row],[DOCUMENTO]])*(ARQUIVOS[REVISÃO]=LD_01[[#This Row],[REVISÃO]])))</f>
        <v>45895</v>
      </c>
      <c r="L12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M1223" s="6" t="str">
        <f>LD_01[[#This Row],[PASTA]]&amp;"/"&amp;LD_01[[#This Row],[ARQUIVO]]</f>
        <v>MSV-163MS-730-732/32.TE/MSV-163MS-730-732-ACA-EXE-DE-G1-007-R04.pdf</v>
      </c>
    </row>
    <row r="1224" spans="1:13" ht="28.8" hidden="1" x14ac:dyDescent="0.3">
      <c r="A1224" s="6" t="s">
        <v>3991</v>
      </c>
      <c r="B1224" s="6" t="str">
        <f>VLOOKUP(LD_01[[#This Row],[DOCUMENTO]],_xlfn.SORTBY(ARQUIVOS_RECEBIDOS!$E$2:$F$5010,ARQUIVOS_RECEBIDOS!$F$2:$F$5010,-1),2,)</f>
        <v>R02</v>
      </c>
      <c r="C1224" s="15" t="s">
        <v>5987</v>
      </c>
      <c r="D1224" s="6" t="s">
        <v>4322</v>
      </c>
      <c r="E1224" s="8" t="s">
        <v>4174</v>
      </c>
      <c r="F1224" s="8" t="s">
        <v>4330</v>
      </c>
      <c r="G1224" s="6" t="str">
        <f>_xlfn.XLOOKUP(LD_01[[#This Row],[DISCIPLINA]],'CLASSES DE PROJETOS'!$F$3:$F$37,'CLASSES DE PROJETOS'!$C$3:$C$37)</f>
        <v>TE</v>
      </c>
      <c r="H1224" t="str">
        <f>_xlfn.TEXTJOIN("/",TRUE,"MSV-163MS-"&amp;LD_01[[#This Row],[TRECHO]],_xlfn.XLOOKUP(LD_01[[#This Row],[SIGLA]],'CLASSES DE PROJETOS'!$C$3:$C$37,'CLASSES DE PROJETOS'!$E$3:$E$37))</f>
        <v>MSV-163MS-730-732/32.TE</v>
      </c>
      <c r="I1224" s="6" t="str" cm="1">
        <f t="array" ref="I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J1224" s="6" t="str" cm="1">
        <f t="array" ref="J1224">_xlfn.TEXTJOIN(", ",TRUE,_xlfn.UNIQUE(_xlfn._xlws.FILTER(ARQUIVOS_RECEBIDOS!$F$2:$F$5010,ARQUIVOS_RECEBIDOS!$E$2:$E$5010=LD_01[[#This Row],[DOCUMENTO]])))</f>
        <v>R02</v>
      </c>
      <c r="K1224" s="12" cm="1">
        <f t="array" ref="K1224">_xlfn.UNIQUE(_xlfn._xlws.FILTER(ARQUIVOS[DATA RECEBIMENTO],(ARQUIVOS[DOCUMENTO]=LD_01[[#This Row],[DOCUMENTO]])*(ARQUIVOS[REVISÃO]=LD_01[[#This Row],[REVISÃO]])))</f>
        <v>45838</v>
      </c>
      <c r="L12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M1224" s="6" t="str">
        <f>LD_01[[#This Row],[PASTA]]&amp;"/"&amp;LD_01[[#This Row],[ARQUIVO]]</f>
        <v>MSV-163MS-730-732/32.TE/MSV-163MS-730-732-ACA-EXE-DE-G1-101-R02.pdf</v>
      </c>
    </row>
    <row r="1225" spans="1:13" ht="28.8" hidden="1" x14ac:dyDescent="0.3">
      <c r="A1225" s="6" t="s">
        <v>3992</v>
      </c>
      <c r="B1225" s="6" t="str">
        <f>VLOOKUP(LD_01[[#This Row],[DOCUMENTO]],_xlfn.SORTBY(ARQUIVOS_RECEBIDOS!$E$2:$F$5010,ARQUIVOS_RECEBIDOS!$F$2:$F$5010,-1),2,)</f>
        <v>R02</v>
      </c>
      <c r="C1225" s="15" t="s">
        <v>5987</v>
      </c>
      <c r="D1225" s="6" t="s">
        <v>4322</v>
      </c>
      <c r="E1225" s="8" t="s">
        <v>4174</v>
      </c>
      <c r="F1225" s="8" t="s">
        <v>4330</v>
      </c>
      <c r="G1225" s="6" t="str">
        <f>_xlfn.XLOOKUP(LD_01[[#This Row],[DISCIPLINA]],'CLASSES DE PROJETOS'!$F$3:$F$37,'CLASSES DE PROJETOS'!$C$3:$C$37)</f>
        <v>TE</v>
      </c>
      <c r="H1225" t="str">
        <f>_xlfn.TEXTJOIN("/",TRUE,"MSV-163MS-"&amp;LD_01[[#This Row],[TRECHO]],_xlfn.XLOOKUP(LD_01[[#This Row],[SIGLA]],'CLASSES DE PROJETOS'!$C$3:$C$37,'CLASSES DE PROJETOS'!$E$3:$E$37))</f>
        <v>MSV-163MS-730-732/32.TE</v>
      </c>
      <c r="I1225" s="6" t="str" cm="1">
        <f t="array" ref="I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J1225" s="6" t="str" cm="1">
        <f t="array" ref="J1225">_xlfn.TEXTJOIN(", ",TRUE,_xlfn.UNIQUE(_xlfn._xlws.FILTER(ARQUIVOS_RECEBIDOS!$F$2:$F$5010,ARQUIVOS_RECEBIDOS!$E$2:$E$5010=LD_01[[#This Row],[DOCUMENTO]])))</f>
        <v>R02</v>
      </c>
      <c r="K1225" s="12" cm="1">
        <f t="array" ref="K1225">_xlfn.UNIQUE(_xlfn._xlws.FILTER(ARQUIVOS[DATA RECEBIMENTO],(ARQUIVOS[DOCUMENTO]=LD_01[[#This Row],[DOCUMENTO]])*(ARQUIVOS[REVISÃO]=LD_01[[#This Row],[REVISÃO]])))</f>
        <v>45838</v>
      </c>
      <c r="L12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M1225" s="6" t="str">
        <f>LD_01[[#This Row],[PASTA]]&amp;"/"&amp;LD_01[[#This Row],[ARQUIVO]]</f>
        <v>MSV-163MS-730-732/32.TE/MSV-163MS-730-732-ACA-EXE-DE-G1-102-R02.pdf</v>
      </c>
    </row>
    <row r="1226" spans="1:13" hidden="1" x14ac:dyDescent="0.3">
      <c r="A1226" s="6" t="s">
        <v>3994</v>
      </c>
      <c r="B1226" s="6" t="str">
        <f>VLOOKUP(LD_01[[#This Row],[DOCUMENTO]],_xlfn.SORTBY(ARQUIVOS_RECEBIDOS!$E$2:$F$5010,ARQUIVOS_RECEBIDOS!$F$2:$F$5010,-1),2,)</f>
        <v>R06</v>
      </c>
      <c r="C1226" s="15" t="s">
        <v>5987</v>
      </c>
      <c r="D1226" s="6" t="s">
        <v>4322</v>
      </c>
      <c r="E1226" s="8" t="s">
        <v>4129</v>
      </c>
      <c r="F1226" s="8" t="s">
        <v>4142</v>
      </c>
      <c r="G1226" s="6" t="str">
        <f>_xlfn.XLOOKUP(LD_01[[#This Row],[DISCIPLINA]],'CLASSES DE PROJETOS'!$F$3:$F$37,'CLASSES DE PROJETOS'!$C$3:$C$37)</f>
        <v>DR</v>
      </c>
      <c r="H1226" t="str">
        <f>_xlfn.TEXTJOIN("/",TRUE,"MSV-163MS-"&amp;LD_01[[#This Row],[TRECHO]],_xlfn.XLOOKUP(LD_01[[#This Row],[SIGLA]],'CLASSES DE PROJETOS'!$C$3:$C$37,'CLASSES DE PROJETOS'!$E$3:$E$37))</f>
        <v>MSV-163MS-730-732/10.DR</v>
      </c>
      <c r="I1226" s="6" t="str" cm="1">
        <f t="array" ref="I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J1226" s="6" t="str" cm="1">
        <f t="array" ref="J1226">_xlfn.TEXTJOIN(", ",TRUE,_xlfn.UNIQUE(_xlfn._xlws.FILTER(ARQUIVOS_RECEBIDOS!$F$2:$F$5010,ARQUIVOS_RECEBIDOS!$E$2:$E$5010=LD_01[[#This Row],[DOCUMENTO]])))</f>
        <v>R05, R06</v>
      </c>
      <c r="K1226" s="12" cm="1">
        <f t="array" ref="K1226">_xlfn.UNIQUE(_xlfn._xlws.FILTER(ARQUIVOS[DATA RECEBIMENTO],(ARQUIVOS[DOCUMENTO]=LD_01[[#This Row],[DOCUMENTO]])*(ARQUIVOS[REVISÃO]=LD_01[[#This Row],[REVISÃO]])))</f>
        <v>45895</v>
      </c>
      <c r="L12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M1226" s="6" t="str">
        <f>LD_01[[#This Row],[PASTA]]&amp;"/"&amp;LD_01[[#This Row],[ARQUIVO]]</f>
        <v>MSV-163MS-730-732/10.DR/MSV-163MS-730-732-ACA-EXE-DE-H2-001-R06.pdf</v>
      </c>
    </row>
    <row r="1227" spans="1:13" hidden="1" x14ac:dyDescent="0.3">
      <c r="A1227" s="6" t="s">
        <v>3995</v>
      </c>
      <c r="B1227" s="6" t="str">
        <f>VLOOKUP(LD_01[[#This Row],[DOCUMENTO]],_xlfn.SORTBY(ARQUIVOS_RECEBIDOS!$E$2:$F$5010,ARQUIVOS_RECEBIDOS!$F$2:$F$5010,-1),2,)</f>
        <v>R08</v>
      </c>
      <c r="C1227" s="15" t="s">
        <v>5987</v>
      </c>
      <c r="D1227" s="6" t="s">
        <v>4322</v>
      </c>
      <c r="E1227" s="8" t="s">
        <v>4129</v>
      </c>
      <c r="F1227" s="8" t="s">
        <v>4142</v>
      </c>
      <c r="G1227" s="6" t="str">
        <f>_xlfn.XLOOKUP(LD_01[[#This Row],[DISCIPLINA]],'CLASSES DE PROJETOS'!$F$3:$F$37,'CLASSES DE PROJETOS'!$C$3:$C$37)</f>
        <v>DR</v>
      </c>
      <c r="H1227" t="str">
        <f>_xlfn.TEXTJOIN("/",TRUE,"MSV-163MS-"&amp;LD_01[[#This Row],[TRECHO]],_xlfn.XLOOKUP(LD_01[[#This Row],[SIGLA]],'CLASSES DE PROJETOS'!$C$3:$C$37,'CLASSES DE PROJETOS'!$E$3:$E$37))</f>
        <v>MSV-163MS-730-732/10.DR</v>
      </c>
      <c r="I1227" s="6" t="str" cm="1">
        <f t="array" ref="I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J1227" s="6" t="str" cm="1">
        <f t="array" ref="J1227">_xlfn.TEXTJOIN(", ",TRUE,_xlfn.UNIQUE(_xlfn._xlws.FILTER(ARQUIVOS_RECEBIDOS!$F$2:$F$5010,ARQUIVOS_RECEBIDOS!$E$2:$E$5010=LD_01[[#This Row],[DOCUMENTO]])))</f>
        <v>R06, R08</v>
      </c>
      <c r="K1227" s="12" cm="1">
        <f t="array" ref="K1227">_xlfn.UNIQUE(_xlfn._xlws.FILTER(ARQUIVOS[DATA RECEBIMENTO],(ARQUIVOS[DOCUMENTO]=LD_01[[#This Row],[DOCUMENTO]])*(ARQUIVOS[REVISÃO]=LD_01[[#This Row],[REVISÃO]])))</f>
        <v>45895</v>
      </c>
      <c r="L12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M1227" s="6" t="str">
        <f>LD_01[[#This Row],[PASTA]]&amp;"/"&amp;LD_01[[#This Row],[ARQUIVO]]</f>
        <v>MSV-163MS-730-732/10.DR/MSV-163MS-730-732-ACA-EXE-DE-H2-002-R08.pdf</v>
      </c>
    </row>
    <row r="1228" spans="1:13" hidden="1" x14ac:dyDescent="0.3">
      <c r="A1228" s="6" t="s">
        <v>3996</v>
      </c>
      <c r="B1228" s="6" t="str">
        <f>VLOOKUP(LD_01[[#This Row],[DOCUMENTO]],_xlfn.SORTBY(ARQUIVOS_RECEBIDOS!$E$2:$F$5010,ARQUIVOS_RECEBIDOS!$F$2:$F$5010,-1),2,)</f>
        <v>R02</v>
      </c>
      <c r="C1228" s="15" t="s">
        <v>5987</v>
      </c>
      <c r="D1228" s="6" t="s">
        <v>4322</v>
      </c>
      <c r="E1228" s="8" t="s">
        <v>4130</v>
      </c>
      <c r="F1228" s="8" t="s">
        <v>4142</v>
      </c>
      <c r="G1228" s="6" t="str">
        <f>_xlfn.XLOOKUP(LD_01[[#This Row],[DISCIPLINA]],'CLASSES DE PROJETOS'!$F$3:$F$37,'CLASSES DE PROJETOS'!$C$3:$C$37)</f>
        <v>DR</v>
      </c>
      <c r="H1228" t="str">
        <f>_xlfn.TEXTJOIN("/",TRUE,"MSV-163MS-"&amp;LD_01[[#This Row],[TRECHO]],_xlfn.XLOOKUP(LD_01[[#This Row],[SIGLA]],'CLASSES DE PROJETOS'!$C$3:$C$37,'CLASSES DE PROJETOS'!$E$3:$E$37))</f>
        <v>MSV-163MS-730-732/10.DR</v>
      </c>
      <c r="I1228" s="6" t="str" cm="1">
        <f t="array" ref="I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J1228" s="6" t="str" cm="1">
        <f t="array" ref="J1228">_xlfn.TEXTJOIN(", ",TRUE,_xlfn.UNIQUE(_xlfn._xlws.FILTER(ARQUIVOS_RECEBIDOS!$F$2:$F$5010,ARQUIVOS_RECEBIDOS!$E$2:$E$5010=LD_01[[#This Row],[DOCUMENTO]])))</f>
        <v>R02</v>
      </c>
      <c r="K1228" s="12" cm="1">
        <f t="array" ref="K1228">_xlfn.UNIQUE(_xlfn._xlws.FILTER(ARQUIVOS[DATA RECEBIMENTO],(ARQUIVOS[DOCUMENTO]=LD_01[[#This Row],[DOCUMENTO]])*(ARQUIVOS[REVISÃO]=LD_01[[#This Row],[REVISÃO]])))</f>
        <v>45838</v>
      </c>
      <c r="L12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M1228" s="6" t="str">
        <f>LD_01[[#This Row],[PASTA]]&amp;"/"&amp;LD_01[[#This Row],[ARQUIVO]]</f>
        <v>MSV-163MS-730-732/10.DR/MSV-163MS-730-732-ACA-EXE-DE-H2-003-R02.pdf</v>
      </c>
    </row>
    <row r="1229" spans="1:13" hidden="1" x14ac:dyDescent="0.3">
      <c r="A1229" s="6" t="s">
        <v>3997</v>
      </c>
      <c r="B1229" s="6" t="str">
        <f>VLOOKUP(LD_01[[#This Row],[DOCUMENTO]],_xlfn.SORTBY(ARQUIVOS_RECEBIDOS!$E$2:$F$5010,ARQUIVOS_RECEBIDOS!$F$2:$F$5010,-1),2,)</f>
        <v>R05</v>
      </c>
      <c r="C1229" s="15" t="s">
        <v>5987</v>
      </c>
      <c r="D1229" s="6" t="s">
        <v>4322</v>
      </c>
      <c r="E1229" s="8" t="s">
        <v>4130</v>
      </c>
      <c r="F1229" s="8" t="s">
        <v>4142</v>
      </c>
      <c r="G1229" s="6" t="str">
        <f>_xlfn.XLOOKUP(LD_01[[#This Row],[DISCIPLINA]],'CLASSES DE PROJETOS'!$F$3:$F$37,'CLASSES DE PROJETOS'!$C$3:$C$37)</f>
        <v>DR</v>
      </c>
      <c r="H1229" t="str">
        <f>_xlfn.TEXTJOIN("/",TRUE,"MSV-163MS-"&amp;LD_01[[#This Row],[TRECHO]],_xlfn.XLOOKUP(LD_01[[#This Row],[SIGLA]],'CLASSES DE PROJETOS'!$C$3:$C$37,'CLASSES DE PROJETOS'!$E$3:$E$37))</f>
        <v>MSV-163MS-730-732/10.DR</v>
      </c>
      <c r="I1229" s="6" t="str" cm="1">
        <f t="array" ref="I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J1229" s="6" t="str" cm="1">
        <f t="array" ref="J1229">_xlfn.TEXTJOIN(", ",TRUE,_xlfn.UNIQUE(_xlfn._xlws.FILTER(ARQUIVOS_RECEBIDOS!$F$2:$F$5010,ARQUIVOS_RECEBIDOS!$E$2:$E$5010=LD_01[[#This Row],[DOCUMENTO]])))</f>
        <v>R05</v>
      </c>
      <c r="K1229" s="12" cm="1">
        <f t="array" ref="K1229">_xlfn.UNIQUE(_xlfn._xlws.FILTER(ARQUIVOS[DATA RECEBIMENTO],(ARQUIVOS[DOCUMENTO]=LD_01[[#This Row],[DOCUMENTO]])*(ARQUIVOS[REVISÃO]=LD_01[[#This Row],[REVISÃO]])))</f>
        <v>45838</v>
      </c>
      <c r="L12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M1229" s="6" t="str">
        <f>LD_01[[#This Row],[PASTA]]&amp;"/"&amp;LD_01[[#This Row],[ARQUIVO]]</f>
        <v>MSV-163MS-730-732/10.DR/MSV-163MS-730-732-ACA-EXE-DE-H2-004-R05.pdf</v>
      </c>
    </row>
    <row r="1230" spans="1:13" hidden="1" x14ac:dyDescent="0.3">
      <c r="A1230" s="6" t="s">
        <v>3998</v>
      </c>
      <c r="B1230" s="6" t="str">
        <f>VLOOKUP(LD_01[[#This Row],[DOCUMENTO]],_xlfn.SORTBY(ARQUIVOS_RECEBIDOS!$E$2:$F$5010,ARQUIVOS_RECEBIDOS!$F$2:$F$5010,-1),2,)</f>
        <v>R04</v>
      </c>
      <c r="C1230" s="15" t="s">
        <v>5987</v>
      </c>
      <c r="D1230" s="6" t="s">
        <v>4322</v>
      </c>
      <c r="E1230" s="8" t="s">
        <v>4130</v>
      </c>
      <c r="F1230" s="8" t="s">
        <v>4142</v>
      </c>
      <c r="G1230" s="6" t="str">
        <f>_xlfn.XLOOKUP(LD_01[[#This Row],[DISCIPLINA]],'CLASSES DE PROJETOS'!$F$3:$F$37,'CLASSES DE PROJETOS'!$C$3:$C$37)</f>
        <v>DR</v>
      </c>
      <c r="H1230" t="str">
        <f>_xlfn.TEXTJOIN("/",TRUE,"MSV-163MS-"&amp;LD_01[[#This Row],[TRECHO]],_xlfn.XLOOKUP(LD_01[[#This Row],[SIGLA]],'CLASSES DE PROJETOS'!$C$3:$C$37,'CLASSES DE PROJETOS'!$E$3:$E$37))</f>
        <v>MSV-163MS-730-732/10.DR</v>
      </c>
      <c r="I1230" s="6" t="str" cm="1">
        <f t="array" ref="I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J1230" s="6" t="str" cm="1">
        <f t="array" ref="J1230">_xlfn.TEXTJOIN(", ",TRUE,_xlfn.UNIQUE(_xlfn._xlws.FILTER(ARQUIVOS_RECEBIDOS!$F$2:$F$5010,ARQUIVOS_RECEBIDOS!$E$2:$E$5010=LD_01[[#This Row],[DOCUMENTO]])))</f>
        <v>R04</v>
      </c>
      <c r="K1230" s="12" cm="1">
        <f t="array" ref="K1230">_xlfn.UNIQUE(_xlfn._xlws.FILTER(ARQUIVOS[DATA RECEBIMENTO],(ARQUIVOS[DOCUMENTO]=LD_01[[#This Row],[DOCUMENTO]])*(ARQUIVOS[REVISÃO]=LD_01[[#This Row],[REVISÃO]])))</f>
        <v>45838</v>
      </c>
      <c r="L12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M1230" s="6" t="str">
        <f>LD_01[[#This Row],[PASTA]]&amp;"/"&amp;LD_01[[#This Row],[ARQUIVO]]</f>
        <v>MSV-163MS-730-732/10.DR/MSV-163MS-730-732-ACA-EXE-DE-H2-005-R04.pdf</v>
      </c>
    </row>
    <row r="1231" spans="1:13" hidden="1" x14ac:dyDescent="0.3">
      <c r="A1231" s="6" t="s">
        <v>3999</v>
      </c>
      <c r="B1231" s="6" t="str">
        <f>VLOOKUP(LD_01[[#This Row],[DOCUMENTO]],_xlfn.SORTBY(ARQUIVOS_RECEBIDOS!$E$2:$F$5010,ARQUIVOS_RECEBIDOS!$F$2:$F$5010,-1),2,)</f>
        <v>R03</v>
      </c>
      <c r="C1231" s="15" t="s">
        <v>5987</v>
      </c>
      <c r="D1231" s="6" t="s">
        <v>4322</v>
      </c>
      <c r="E1231" s="8" t="s">
        <v>4130</v>
      </c>
      <c r="F1231" s="8" t="s">
        <v>4142</v>
      </c>
      <c r="G1231" s="6" t="str">
        <f>_xlfn.XLOOKUP(LD_01[[#This Row],[DISCIPLINA]],'CLASSES DE PROJETOS'!$F$3:$F$37,'CLASSES DE PROJETOS'!$C$3:$C$37)</f>
        <v>DR</v>
      </c>
      <c r="H1231" t="str">
        <f>_xlfn.TEXTJOIN("/",TRUE,"MSV-163MS-"&amp;LD_01[[#This Row],[TRECHO]],_xlfn.XLOOKUP(LD_01[[#This Row],[SIGLA]],'CLASSES DE PROJETOS'!$C$3:$C$37,'CLASSES DE PROJETOS'!$E$3:$E$37))</f>
        <v>MSV-163MS-730-732/10.DR</v>
      </c>
      <c r="I1231" s="6" t="str" cm="1">
        <f t="array" ref="I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J1231" s="6" t="str" cm="1">
        <f t="array" ref="J1231">_xlfn.TEXTJOIN(", ",TRUE,_xlfn.UNIQUE(_xlfn._xlws.FILTER(ARQUIVOS_RECEBIDOS!$F$2:$F$5010,ARQUIVOS_RECEBIDOS!$E$2:$E$5010=LD_01[[#This Row],[DOCUMENTO]])))</f>
        <v>R03</v>
      </c>
      <c r="K1231" s="12" cm="1">
        <f t="array" ref="K1231">_xlfn.UNIQUE(_xlfn._xlws.FILTER(ARQUIVOS[DATA RECEBIMENTO],(ARQUIVOS[DOCUMENTO]=LD_01[[#This Row],[DOCUMENTO]])*(ARQUIVOS[REVISÃO]=LD_01[[#This Row],[REVISÃO]])))</f>
        <v>45838</v>
      </c>
      <c r="L12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M1231" s="6" t="str">
        <f>LD_01[[#This Row],[PASTA]]&amp;"/"&amp;LD_01[[#This Row],[ARQUIVO]]</f>
        <v>MSV-163MS-730-732/10.DR/MSV-163MS-730-732-ACA-EXE-DE-H2-006-R03.pdf</v>
      </c>
    </row>
    <row r="1232" spans="1:13" ht="28.8" hidden="1" x14ac:dyDescent="0.3">
      <c r="A1232" s="6" t="s">
        <v>4000</v>
      </c>
      <c r="B1232" s="6" t="str">
        <f>VLOOKUP(LD_01[[#This Row],[DOCUMENTO]],_xlfn.SORTBY(ARQUIVOS_RECEBIDOS!$E$2:$F$5010,ARQUIVOS_RECEBIDOS!$F$2:$F$5010,-1),2,)</f>
        <v>R00</v>
      </c>
      <c r="C1232" s="15" t="s">
        <v>5987</v>
      </c>
      <c r="D1232" s="6" t="s">
        <v>4322</v>
      </c>
      <c r="E1232" s="8" t="s">
        <v>4131</v>
      </c>
      <c r="F1232" s="8" t="s">
        <v>4142</v>
      </c>
      <c r="G1232" s="6" t="str">
        <f>_xlfn.XLOOKUP(LD_01[[#This Row],[DISCIPLINA]],'CLASSES DE PROJETOS'!$F$3:$F$37,'CLASSES DE PROJETOS'!$C$3:$C$37)</f>
        <v>DR</v>
      </c>
      <c r="H1232" t="str">
        <f>_xlfn.TEXTJOIN("/",TRUE,"MSV-163MS-"&amp;LD_01[[#This Row],[TRECHO]],_xlfn.XLOOKUP(LD_01[[#This Row],[SIGLA]],'CLASSES DE PROJETOS'!$C$3:$C$37,'CLASSES DE PROJETOS'!$E$3:$E$37))</f>
        <v>MSV-163MS-730-732/10.DR</v>
      </c>
      <c r="I1232" s="6" t="str" cm="1">
        <f t="array" ref="I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J1232" s="6" t="str" cm="1">
        <f t="array" ref="J1232">_xlfn.TEXTJOIN(", ",TRUE,_xlfn.UNIQUE(_xlfn._xlws.FILTER(ARQUIVOS_RECEBIDOS!$F$2:$F$5010,ARQUIVOS_RECEBIDOS!$E$2:$E$5010=LD_01[[#This Row],[DOCUMENTO]])))</f>
        <v>R00</v>
      </c>
      <c r="K1232" s="12" cm="1">
        <f t="array" ref="K1232">_xlfn.UNIQUE(_xlfn._xlws.FILTER(ARQUIVOS[DATA RECEBIMENTO],(ARQUIVOS[DOCUMENTO]=LD_01[[#This Row],[DOCUMENTO]])*(ARQUIVOS[REVISÃO]=LD_01[[#This Row],[REVISÃO]])))</f>
        <v>45838</v>
      </c>
      <c r="L12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M1232" s="6" t="str">
        <f>LD_01[[#This Row],[PASTA]]&amp;"/"&amp;LD_01[[#This Row],[ARQUIVO]]</f>
        <v>MSV-163MS-730-732/10.DR/MSV-163MS-730-732-ACA-EXE-DE-H2-101-R00.pdf</v>
      </c>
    </row>
    <row r="1233" spans="1:13" ht="43.2" hidden="1" x14ac:dyDescent="0.3">
      <c r="A1233" s="6" t="s">
        <v>4001</v>
      </c>
      <c r="B1233" s="6" t="str">
        <f>VLOOKUP(LD_01[[#This Row],[DOCUMENTO]],_xlfn.SORTBY(ARQUIVOS_RECEBIDOS!$E$2:$F$5010,ARQUIVOS_RECEBIDOS!$F$2:$F$5010,-1),2,)</f>
        <v>R02</v>
      </c>
      <c r="C1233" s="15" t="s">
        <v>5987</v>
      </c>
      <c r="D1233" s="6" t="s">
        <v>4322</v>
      </c>
      <c r="E1233" s="8" t="s">
        <v>4132</v>
      </c>
      <c r="F1233" s="8" t="s">
        <v>4142</v>
      </c>
      <c r="G1233" s="6" t="str">
        <f>_xlfn.XLOOKUP(LD_01[[#This Row],[DISCIPLINA]],'CLASSES DE PROJETOS'!$F$3:$F$37,'CLASSES DE PROJETOS'!$C$3:$C$37)</f>
        <v>DR</v>
      </c>
      <c r="H1233" t="str">
        <f>_xlfn.TEXTJOIN("/",TRUE,"MSV-163MS-"&amp;LD_01[[#This Row],[TRECHO]],_xlfn.XLOOKUP(LD_01[[#This Row],[SIGLA]],'CLASSES DE PROJETOS'!$C$3:$C$37,'CLASSES DE PROJETOS'!$E$3:$E$37))</f>
        <v>MSV-163MS-730-732/10.DR</v>
      </c>
      <c r="I1233" s="6" t="str" cm="1">
        <f t="array" ref="I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J1233" s="6" t="str" cm="1">
        <f t="array" ref="J1233">_xlfn.TEXTJOIN(", ",TRUE,_xlfn.UNIQUE(_xlfn._xlws.FILTER(ARQUIVOS_RECEBIDOS!$F$2:$F$5010,ARQUIVOS_RECEBIDOS!$E$2:$E$5010=LD_01[[#This Row],[DOCUMENTO]])))</f>
        <v>R01, R02</v>
      </c>
      <c r="K1233" s="12" cm="1">
        <f t="array" ref="K1233">_xlfn.UNIQUE(_xlfn._xlws.FILTER(ARQUIVOS[DATA RECEBIMENTO],(ARQUIVOS[DOCUMENTO]=LD_01[[#This Row],[DOCUMENTO]])*(ARQUIVOS[REVISÃO]=LD_01[[#This Row],[REVISÃO]])))</f>
        <v>45895</v>
      </c>
      <c r="L12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M1233" s="6" t="str">
        <f>LD_01[[#This Row],[PASTA]]&amp;"/"&amp;LD_01[[#This Row],[ARQUIVO]]</f>
        <v>MSV-163MS-730-732/10.DR/MSV-163MS-730-732-ACA-EXE-DE-H2-102-R02.pdf</v>
      </c>
    </row>
    <row r="1234" spans="1:13" ht="28.8" hidden="1" x14ac:dyDescent="0.3">
      <c r="A1234" s="6" t="s">
        <v>4002</v>
      </c>
      <c r="B1234" s="6" t="str">
        <f>VLOOKUP(LD_01[[#This Row],[DOCUMENTO]],_xlfn.SORTBY(ARQUIVOS_RECEBIDOS!$E$2:$F$5010,ARQUIVOS_RECEBIDOS!$F$2:$F$5010,-1),2,)</f>
        <v>R00</v>
      </c>
      <c r="C1234" s="15" t="s">
        <v>5987</v>
      </c>
      <c r="D1234" s="6" t="s">
        <v>4322</v>
      </c>
      <c r="E1234" s="8" t="s">
        <v>4133</v>
      </c>
      <c r="F1234" s="8" t="s">
        <v>4142</v>
      </c>
      <c r="G1234" s="6" t="str">
        <f>_xlfn.XLOOKUP(LD_01[[#This Row],[DISCIPLINA]],'CLASSES DE PROJETOS'!$F$3:$F$37,'CLASSES DE PROJETOS'!$C$3:$C$37)</f>
        <v>DR</v>
      </c>
      <c r="H1234" t="str">
        <f>_xlfn.TEXTJOIN("/",TRUE,"MSV-163MS-"&amp;LD_01[[#This Row],[TRECHO]],_xlfn.XLOOKUP(LD_01[[#This Row],[SIGLA]],'CLASSES DE PROJETOS'!$C$3:$C$37,'CLASSES DE PROJETOS'!$E$3:$E$37))</f>
        <v>MSV-163MS-730-732/10.DR</v>
      </c>
      <c r="I1234" s="6" t="str" cm="1">
        <f t="array" ref="I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J1234" s="6" t="str" cm="1">
        <f t="array" ref="J1234">_xlfn.TEXTJOIN(", ",TRUE,_xlfn.UNIQUE(_xlfn._xlws.FILTER(ARQUIVOS_RECEBIDOS!$F$2:$F$5010,ARQUIVOS_RECEBIDOS!$E$2:$E$5010=LD_01[[#This Row],[DOCUMENTO]])))</f>
        <v>R00</v>
      </c>
      <c r="K1234" s="12" cm="1">
        <f t="array" ref="K1234">_xlfn.UNIQUE(_xlfn._xlws.FILTER(ARQUIVOS[DATA RECEBIMENTO],(ARQUIVOS[DOCUMENTO]=LD_01[[#This Row],[DOCUMENTO]])*(ARQUIVOS[REVISÃO]=LD_01[[#This Row],[REVISÃO]])))</f>
        <v>45838</v>
      </c>
      <c r="L12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M1234" s="6" t="str">
        <f>LD_01[[#This Row],[PASTA]]&amp;"/"&amp;LD_01[[#This Row],[ARQUIVO]]</f>
        <v>MSV-163MS-730-732/10.DR/MSV-163MS-730-732-ACA-EXE-DE-H2-103-R00.pdf</v>
      </c>
    </row>
    <row r="1235" spans="1:13" ht="28.8" hidden="1" x14ac:dyDescent="0.3">
      <c r="A1235" s="6" t="s">
        <v>4003</v>
      </c>
      <c r="B1235" s="6" t="str">
        <f>VLOOKUP(LD_01[[#This Row],[DOCUMENTO]],_xlfn.SORTBY(ARQUIVOS_RECEBIDOS!$E$2:$F$5010,ARQUIVOS_RECEBIDOS!$F$2:$F$5010,-1),2,)</f>
        <v>R01</v>
      </c>
      <c r="C1235" s="15" t="s">
        <v>5987</v>
      </c>
      <c r="D1235" s="6" t="s">
        <v>4322</v>
      </c>
      <c r="E1235" s="8" t="s">
        <v>4134</v>
      </c>
      <c r="F1235" s="8" t="s">
        <v>4142</v>
      </c>
      <c r="G1235" s="6" t="str">
        <f>_xlfn.XLOOKUP(LD_01[[#This Row],[DISCIPLINA]],'CLASSES DE PROJETOS'!$F$3:$F$37,'CLASSES DE PROJETOS'!$C$3:$C$37)</f>
        <v>DR</v>
      </c>
      <c r="H1235" t="str">
        <f>_xlfn.TEXTJOIN("/",TRUE,"MSV-163MS-"&amp;LD_01[[#This Row],[TRECHO]],_xlfn.XLOOKUP(LD_01[[#This Row],[SIGLA]],'CLASSES DE PROJETOS'!$C$3:$C$37,'CLASSES DE PROJETOS'!$E$3:$E$37))</f>
        <v>MSV-163MS-730-732/10.DR</v>
      </c>
      <c r="I1235" s="6" t="str" cm="1">
        <f t="array" ref="I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J1235" s="6" t="str" cm="1">
        <f t="array" ref="J1235">_xlfn.TEXTJOIN(", ",TRUE,_xlfn.UNIQUE(_xlfn._xlws.FILTER(ARQUIVOS_RECEBIDOS!$F$2:$F$5010,ARQUIVOS_RECEBIDOS!$E$2:$E$5010=LD_01[[#This Row],[DOCUMENTO]])))</f>
        <v>R01</v>
      </c>
      <c r="K1235" s="12" cm="1">
        <f t="array" ref="K1235">_xlfn.UNIQUE(_xlfn._xlws.FILTER(ARQUIVOS[DATA RECEBIMENTO],(ARQUIVOS[DOCUMENTO]=LD_01[[#This Row],[DOCUMENTO]])*(ARQUIVOS[REVISÃO]=LD_01[[#This Row],[REVISÃO]])))</f>
        <v>45838</v>
      </c>
      <c r="L12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M1235" s="6" t="str">
        <f>LD_01[[#This Row],[PASTA]]&amp;"/"&amp;LD_01[[#This Row],[ARQUIVO]]</f>
        <v>MSV-163MS-730-732/10.DR/MSV-163MS-730-732-ACA-EXE-DE-H2-104-R01.pdf</v>
      </c>
    </row>
    <row r="1236" spans="1:13" ht="28.8" hidden="1" x14ac:dyDescent="0.3">
      <c r="A1236" s="6" t="s">
        <v>4004</v>
      </c>
      <c r="B1236" s="6" t="str">
        <f>VLOOKUP(LD_01[[#This Row],[DOCUMENTO]],_xlfn.SORTBY(ARQUIVOS_RECEBIDOS!$E$2:$F$5010,ARQUIVOS_RECEBIDOS!$F$2:$F$5010,-1),2,)</f>
        <v>R00</v>
      </c>
      <c r="C1236" s="15" t="s">
        <v>5987</v>
      </c>
      <c r="D1236" s="6" t="s">
        <v>4322</v>
      </c>
      <c r="E1236" s="8" t="s">
        <v>4135</v>
      </c>
      <c r="F1236" s="8" t="s">
        <v>4142</v>
      </c>
      <c r="G1236" s="6" t="str">
        <f>_xlfn.XLOOKUP(LD_01[[#This Row],[DISCIPLINA]],'CLASSES DE PROJETOS'!$F$3:$F$37,'CLASSES DE PROJETOS'!$C$3:$C$37)</f>
        <v>DR</v>
      </c>
      <c r="H1236" t="str">
        <f>_xlfn.TEXTJOIN("/",TRUE,"MSV-163MS-"&amp;LD_01[[#This Row],[TRECHO]],_xlfn.XLOOKUP(LD_01[[#This Row],[SIGLA]],'CLASSES DE PROJETOS'!$C$3:$C$37,'CLASSES DE PROJETOS'!$E$3:$E$37))</f>
        <v>MSV-163MS-730-732/10.DR</v>
      </c>
      <c r="I1236" s="6" t="str" cm="1">
        <f t="array" ref="I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J1236" s="6" t="str" cm="1">
        <f t="array" ref="J1236">_xlfn.TEXTJOIN(", ",TRUE,_xlfn.UNIQUE(_xlfn._xlws.FILTER(ARQUIVOS_RECEBIDOS!$F$2:$F$5010,ARQUIVOS_RECEBIDOS!$E$2:$E$5010=LD_01[[#This Row],[DOCUMENTO]])))</f>
        <v>R00</v>
      </c>
      <c r="K1236" s="12" cm="1">
        <f t="array" ref="K1236">_xlfn.UNIQUE(_xlfn._xlws.FILTER(ARQUIVOS[DATA RECEBIMENTO],(ARQUIVOS[DOCUMENTO]=LD_01[[#This Row],[DOCUMENTO]])*(ARQUIVOS[REVISÃO]=LD_01[[#This Row],[REVISÃO]])))</f>
        <v>45838</v>
      </c>
      <c r="L12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M1236" s="6" t="str">
        <f>LD_01[[#This Row],[PASTA]]&amp;"/"&amp;LD_01[[#This Row],[ARQUIVO]]</f>
        <v>MSV-163MS-730-732/10.DR/MSV-163MS-730-732-ACA-EXE-DE-H2-105-R00.pdf</v>
      </c>
    </row>
    <row r="1237" spans="1:13" ht="43.2" hidden="1" x14ac:dyDescent="0.3">
      <c r="A1237" s="6" t="s">
        <v>4005</v>
      </c>
      <c r="B1237" s="6" t="str">
        <f>VLOOKUP(LD_01[[#This Row],[DOCUMENTO]],_xlfn.SORTBY(ARQUIVOS_RECEBIDOS!$E$2:$F$5010,ARQUIVOS_RECEBIDOS!$F$2:$F$5010,-1),2,)</f>
        <v>R00</v>
      </c>
      <c r="C1237" s="15" t="s">
        <v>5987</v>
      </c>
      <c r="D1237" s="6" t="s">
        <v>4322</v>
      </c>
      <c r="E1237" s="8" t="s">
        <v>4136</v>
      </c>
      <c r="F1237" s="8" t="s">
        <v>4142</v>
      </c>
      <c r="G1237" s="6" t="str">
        <f>_xlfn.XLOOKUP(LD_01[[#This Row],[DISCIPLINA]],'CLASSES DE PROJETOS'!$F$3:$F$37,'CLASSES DE PROJETOS'!$C$3:$C$37)</f>
        <v>DR</v>
      </c>
      <c r="H1237" t="str">
        <f>_xlfn.TEXTJOIN("/",TRUE,"MSV-163MS-"&amp;LD_01[[#This Row],[TRECHO]],_xlfn.XLOOKUP(LD_01[[#This Row],[SIGLA]],'CLASSES DE PROJETOS'!$C$3:$C$37,'CLASSES DE PROJETOS'!$E$3:$E$37))</f>
        <v>MSV-163MS-730-732/10.DR</v>
      </c>
      <c r="I1237" s="6" t="str" cm="1">
        <f t="array" ref="I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J1237" s="6" t="str" cm="1">
        <f t="array" ref="J1237">_xlfn.TEXTJOIN(", ",TRUE,_xlfn.UNIQUE(_xlfn._xlws.FILTER(ARQUIVOS_RECEBIDOS!$F$2:$F$5010,ARQUIVOS_RECEBIDOS!$E$2:$E$5010=LD_01[[#This Row],[DOCUMENTO]])))</f>
        <v>R00</v>
      </c>
      <c r="K1237" s="12" cm="1">
        <f t="array" ref="K1237">_xlfn.UNIQUE(_xlfn._xlws.FILTER(ARQUIVOS[DATA RECEBIMENTO],(ARQUIVOS[DOCUMENTO]=LD_01[[#This Row],[DOCUMENTO]])*(ARQUIVOS[REVISÃO]=LD_01[[#This Row],[REVISÃO]])))</f>
        <v>45838</v>
      </c>
      <c r="L12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M1237" s="6" t="str">
        <f>LD_01[[#This Row],[PASTA]]&amp;"/"&amp;LD_01[[#This Row],[ARQUIVO]]</f>
        <v>MSV-163MS-730-732/10.DR/MSV-163MS-730-732-ACA-EXE-DE-H2-106-R00.pdf</v>
      </c>
    </row>
    <row r="1238" spans="1:13" ht="57.6" hidden="1" x14ac:dyDescent="0.3">
      <c r="A1238" s="6" t="s">
        <v>4006</v>
      </c>
      <c r="B1238" s="6" t="str">
        <f>VLOOKUP(LD_01[[#This Row],[DOCUMENTO]],_xlfn.SORTBY(ARQUIVOS_RECEBIDOS!$E$2:$F$5010,ARQUIVOS_RECEBIDOS!$F$2:$F$5010,-1),2,)</f>
        <v>R01</v>
      </c>
      <c r="C1238" s="15" t="s">
        <v>5987</v>
      </c>
      <c r="D1238" s="6" t="s">
        <v>4322</v>
      </c>
      <c r="E1238" s="8" t="s">
        <v>4137</v>
      </c>
      <c r="F1238" s="8" t="s">
        <v>4142</v>
      </c>
      <c r="G1238" s="6" t="str">
        <f>_xlfn.XLOOKUP(LD_01[[#This Row],[DISCIPLINA]],'CLASSES DE PROJETOS'!$F$3:$F$37,'CLASSES DE PROJETOS'!$C$3:$C$37)</f>
        <v>DR</v>
      </c>
      <c r="H1238" t="str">
        <f>_xlfn.TEXTJOIN("/",TRUE,"MSV-163MS-"&amp;LD_01[[#This Row],[TRECHO]],_xlfn.XLOOKUP(LD_01[[#This Row],[SIGLA]],'CLASSES DE PROJETOS'!$C$3:$C$37,'CLASSES DE PROJETOS'!$E$3:$E$37))</f>
        <v>MSV-163MS-730-732/10.DR</v>
      </c>
      <c r="I1238" s="6" t="str" cm="1">
        <f t="array" ref="I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J1238" s="6" t="str" cm="1">
        <f t="array" ref="J1238">_xlfn.TEXTJOIN(", ",TRUE,_xlfn.UNIQUE(_xlfn._xlws.FILTER(ARQUIVOS_RECEBIDOS!$F$2:$F$5010,ARQUIVOS_RECEBIDOS!$E$2:$E$5010=LD_01[[#This Row],[DOCUMENTO]])))</f>
        <v>R01</v>
      </c>
      <c r="K1238" s="12" cm="1">
        <f t="array" ref="K1238">_xlfn.UNIQUE(_xlfn._xlws.FILTER(ARQUIVOS[DATA RECEBIMENTO],(ARQUIVOS[DOCUMENTO]=LD_01[[#This Row],[DOCUMENTO]])*(ARQUIVOS[REVISÃO]=LD_01[[#This Row],[REVISÃO]])))</f>
        <v>45838</v>
      </c>
      <c r="L12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M1238" s="6" t="str">
        <f>LD_01[[#This Row],[PASTA]]&amp;"/"&amp;LD_01[[#This Row],[ARQUIVO]]</f>
        <v>MSV-163MS-730-732/10.DR/MSV-163MS-730-732-ACA-EXE-DE-H2-107-R01.pdf</v>
      </c>
    </row>
    <row r="1239" spans="1:13" hidden="1" x14ac:dyDescent="0.3">
      <c r="A1239" s="6" t="s">
        <v>4014</v>
      </c>
      <c r="B1239" s="6" t="str">
        <f>VLOOKUP(LD_01[[#This Row],[DOCUMENTO]],_xlfn.SORTBY(ARQUIVOS_RECEBIDOS!$E$2:$F$5010,ARQUIVOS_RECEBIDOS!$F$2:$F$5010,-1),2,)</f>
        <v>R02</v>
      </c>
      <c r="C1239" s="15" t="s">
        <v>5987</v>
      </c>
      <c r="D1239" s="6" t="s">
        <v>4322</v>
      </c>
      <c r="E1239" s="8" t="s">
        <v>4087</v>
      </c>
      <c r="F1239" s="8" t="s">
        <v>4143</v>
      </c>
      <c r="G1239" s="6" t="str">
        <f>_xlfn.XLOOKUP(LD_01[[#This Row],[DISCIPLINA]],'CLASSES DE PROJETOS'!$F$3:$F$37,'CLASSES DE PROJETOS'!$C$3:$C$37)</f>
        <v>PV</v>
      </c>
      <c r="H1239" t="str">
        <f>_xlfn.TEXTJOIN("/",TRUE,"MSV-163MS-"&amp;LD_01[[#This Row],[TRECHO]],_xlfn.XLOOKUP(LD_01[[#This Row],[SIGLA]],'CLASSES DE PROJETOS'!$C$3:$C$37,'CLASSES DE PROJETOS'!$E$3:$E$37))</f>
        <v>MSV-163MS-730-732/28.PV</v>
      </c>
      <c r="I1239" s="6" t="str" cm="1">
        <f t="array" ref="I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J1239" s="6" t="str" cm="1">
        <f t="array" ref="J1239">_xlfn.TEXTJOIN(", ",TRUE,_xlfn.UNIQUE(_xlfn._xlws.FILTER(ARQUIVOS_RECEBIDOS!$F$2:$F$5010,ARQUIVOS_RECEBIDOS!$E$2:$E$5010=LD_01[[#This Row],[DOCUMENTO]])))</f>
        <v>R01, R02</v>
      </c>
      <c r="K1239" s="12" cm="1">
        <f t="array" ref="K1239">_xlfn.UNIQUE(_xlfn._xlws.FILTER(ARQUIVOS[DATA RECEBIMENTO],(ARQUIVOS[DOCUMENTO]=LD_01[[#This Row],[DOCUMENTO]])*(ARQUIVOS[REVISÃO]=LD_01[[#This Row],[REVISÃO]])))</f>
        <v>45895</v>
      </c>
      <c r="L12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M1239" s="6" t="str">
        <f>LD_01[[#This Row],[PASTA]]&amp;"/"&amp;LD_01[[#This Row],[ARQUIVO]]</f>
        <v>MSV-163MS-730-732/28.PV/MSV-163MS-730-732-ACA-EXE-DE-I2-001-R02.pdf</v>
      </c>
    </row>
    <row r="1240" spans="1:13" hidden="1" x14ac:dyDescent="0.3">
      <c r="A1240" s="6" t="s">
        <v>4015</v>
      </c>
      <c r="B1240" s="6" t="str">
        <f>VLOOKUP(LD_01[[#This Row],[DOCUMENTO]],_xlfn.SORTBY(ARQUIVOS_RECEBIDOS!$E$2:$F$5010,ARQUIVOS_RECEBIDOS!$F$2:$F$5010,-1),2,)</f>
        <v>R02</v>
      </c>
      <c r="C1240" s="15" t="s">
        <v>5987</v>
      </c>
      <c r="D1240" s="6" t="s">
        <v>4322</v>
      </c>
      <c r="E1240" s="8" t="s">
        <v>4087</v>
      </c>
      <c r="F1240" s="8" t="s">
        <v>4143</v>
      </c>
      <c r="G1240" s="6" t="str">
        <f>_xlfn.XLOOKUP(LD_01[[#This Row],[DISCIPLINA]],'CLASSES DE PROJETOS'!$F$3:$F$37,'CLASSES DE PROJETOS'!$C$3:$C$37)</f>
        <v>PV</v>
      </c>
      <c r="H1240" t="str">
        <f>_xlfn.TEXTJOIN("/",TRUE,"MSV-163MS-"&amp;LD_01[[#This Row],[TRECHO]],_xlfn.XLOOKUP(LD_01[[#This Row],[SIGLA]],'CLASSES DE PROJETOS'!$C$3:$C$37,'CLASSES DE PROJETOS'!$E$3:$E$37))</f>
        <v>MSV-163MS-730-732/28.PV</v>
      </c>
      <c r="I1240" s="6" t="str" cm="1">
        <f t="array" ref="I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J1240" s="6" t="str" cm="1">
        <f t="array" ref="J1240">_xlfn.TEXTJOIN(", ",TRUE,_xlfn.UNIQUE(_xlfn._xlws.FILTER(ARQUIVOS_RECEBIDOS!$F$2:$F$5010,ARQUIVOS_RECEBIDOS!$E$2:$E$5010=LD_01[[#This Row],[DOCUMENTO]])))</f>
        <v>R01, R02</v>
      </c>
      <c r="K1240" s="12" cm="1">
        <f t="array" ref="K1240">_xlfn.UNIQUE(_xlfn._xlws.FILTER(ARQUIVOS[DATA RECEBIMENTO],(ARQUIVOS[DOCUMENTO]=LD_01[[#This Row],[DOCUMENTO]])*(ARQUIVOS[REVISÃO]=LD_01[[#This Row],[REVISÃO]])))</f>
        <v>45895</v>
      </c>
      <c r="L12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M1240" s="6" t="str">
        <f>LD_01[[#This Row],[PASTA]]&amp;"/"&amp;LD_01[[#This Row],[ARQUIVO]]</f>
        <v>MSV-163MS-730-732/28.PV/MSV-163MS-730-732-ACA-EXE-DE-I2-002-R02.pdf</v>
      </c>
    </row>
    <row r="1241" spans="1:13" hidden="1" x14ac:dyDescent="0.3">
      <c r="A1241" s="6" t="s">
        <v>4016</v>
      </c>
      <c r="B1241" s="6" t="str">
        <f>VLOOKUP(LD_01[[#This Row],[DOCUMENTO]],_xlfn.SORTBY(ARQUIVOS_RECEBIDOS!$E$2:$F$5010,ARQUIVOS_RECEBIDOS!$F$2:$F$5010,-1),2,)</f>
        <v>R02</v>
      </c>
      <c r="C1241" s="15" t="s">
        <v>5987</v>
      </c>
      <c r="D1241" s="6" t="s">
        <v>4322</v>
      </c>
      <c r="E1241" s="8" t="s">
        <v>4087</v>
      </c>
      <c r="F1241" s="8" t="s">
        <v>4143</v>
      </c>
      <c r="G1241" s="6" t="str">
        <f>_xlfn.XLOOKUP(LD_01[[#This Row],[DISCIPLINA]],'CLASSES DE PROJETOS'!$F$3:$F$37,'CLASSES DE PROJETOS'!$C$3:$C$37)</f>
        <v>PV</v>
      </c>
      <c r="H1241" t="str">
        <f>_xlfn.TEXTJOIN("/",TRUE,"MSV-163MS-"&amp;LD_01[[#This Row],[TRECHO]],_xlfn.XLOOKUP(LD_01[[#This Row],[SIGLA]],'CLASSES DE PROJETOS'!$C$3:$C$37,'CLASSES DE PROJETOS'!$E$3:$E$37))</f>
        <v>MSV-163MS-730-732/28.PV</v>
      </c>
      <c r="I1241" s="6" t="str" cm="1">
        <f t="array" ref="I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J1241" s="6" t="str" cm="1">
        <f t="array" ref="J1241">_xlfn.TEXTJOIN(", ",TRUE,_xlfn.UNIQUE(_xlfn._xlws.FILTER(ARQUIVOS_RECEBIDOS!$F$2:$F$5010,ARQUIVOS_RECEBIDOS!$E$2:$E$5010=LD_01[[#This Row],[DOCUMENTO]])))</f>
        <v>R01, R02</v>
      </c>
      <c r="K1241" s="12" cm="1">
        <f t="array" ref="K1241">_xlfn.UNIQUE(_xlfn._xlws.FILTER(ARQUIVOS[DATA RECEBIMENTO],(ARQUIVOS[DOCUMENTO]=LD_01[[#This Row],[DOCUMENTO]])*(ARQUIVOS[REVISÃO]=LD_01[[#This Row],[REVISÃO]])))</f>
        <v>45895</v>
      </c>
      <c r="L12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M1241" s="6" t="str">
        <f>LD_01[[#This Row],[PASTA]]&amp;"/"&amp;LD_01[[#This Row],[ARQUIVO]]</f>
        <v>MSV-163MS-730-732/28.PV/MSV-163MS-730-732-ACA-EXE-DE-I2-003-R02.pdf</v>
      </c>
    </row>
    <row r="1242" spans="1:13" hidden="1" x14ac:dyDescent="0.3">
      <c r="A1242" s="6" t="s">
        <v>4017</v>
      </c>
      <c r="B1242" s="6" t="str">
        <f>VLOOKUP(LD_01[[#This Row],[DOCUMENTO]],_xlfn.SORTBY(ARQUIVOS_RECEBIDOS!$E$2:$F$5010,ARQUIVOS_RECEBIDOS!$F$2:$F$5010,-1),2,)</f>
        <v>R02</v>
      </c>
      <c r="C1242" s="15" t="s">
        <v>5987</v>
      </c>
      <c r="D1242" s="6" t="s">
        <v>4322</v>
      </c>
      <c r="E1242" s="8" t="s">
        <v>4087</v>
      </c>
      <c r="F1242" s="8" t="s">
        <v>4143</v>
      </c>
      <c r="G1242" s="6" t="str">
        <f>_xlfn.XLOOKUP(LD_01[[#This Row],[DISCIPLINA]],'CLASSES DE PROJETOS'!$F$3:$F$37,'CLASSES DE PROJETOS'!$C$3:$C$37)</f>
        <v>PV</v>
      </c>
      <c r="H1242" t="str">
        <f>_xlfn.TEXTJOIN("/",TRUE,"MSV-163MS-"&amp;LD_01[[#This Row],[TRECHO]],_xlfn.XLOOKUP(LD_01[[#This Row],[SIGLA]],'CLASSES DE PROJETOS'!$C$3:$C$37,'CLASSES DE PROJETOS'!$E$3:$E$37))</f>
        <v>MSV-163MS-730-732/28.PV</v>
      </c>
      <c r="I1242" s="6" t="str" cm="1">
        <f t="array" ref="I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J1242" s="6" t="str" cm="1">
        <f t="array" ref="J1242">_xlfn.TEXTJOIN(", ",TRUE,_xlfn.UNIQUE(_xlfn._xlws.FILTER(ARQUIVOS_RECEBIDOS!$F$2:$F$5010,ARQUIVOS_RECEBIDOS!$E$2:$E$5010=LD_01[[#This Row],[DOCUMENTO]])))</f>
        <v>R02</v>
      </c>
      <c r="K1242" s="12" cm="1">
        <f t="array" ref="K1242">_xlfn.UNIQUE(_xlfn._xlws.FILTER(ARQUIVOS[DATA RECEBIMENTO],(ARQUIVOS[DOCUMENTO]=LD_01[[#This Row],[DOCUMENTO]])*(ARQUIVOS[REVISÃO]=LD_01[[#This Row],[REVISÃO]])))</f>
        <v>45838</v>
      </c>
      <c r="L12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M1242" s="6" t="str">
        <f>LD_01[[#This Row],[PASTA]]&amp;"/"&amp;LD_01[[#This Row],[ARQUIVO]]</f>
        <v>MSV-163MS-730-732/28.PV/MSV-163MS-730-732-ACA-EXE-DE-I2-004-R02.pdf</v>
      </c>
    </row>
    <row r="1243" spans="1:13" hidden="1" x14ac:dyDescent="0.3">
      <c r="A1243" s="6" t="s">
        <v>4018</v>
      </c>
      <c r="B1243" s="6" t="str">
        <f>VLOOKUP(LD_01[[#This Row],[DOCUMENTO]],_xlfn.SORTBY(ARQUIVOS_RECEBIDOS!$E$2:$F$5010,ARQUIVOS_RECEBIDOS!$F$2:$F$5010,-1),2,)</f>
        <v>R05</v>
      </c>
      <c r="C1243" s="15" t="s">
        <v>5987</v>
      </c>
      <c r="D1243" s="6" t="s">
        <v>4322</v>
      </c>
      <c r="E1243" s="8" t="s">
        <v>4109</v>
      </c>
      <c r="F1243" s="8" t="s">
        <v>4143</v>
      </c>
      <c r="G1243" s="6" t="str">
        <f>_xlfn.XLOOKUP(LD_01[[#This Row],[DISCIPLINA]],'CLASSES DE PROJETOS'!$F$3:$F$37,'CLASSES DE PROJETOS'!$C$3:$C$37)</f>
        <v>PV</v>
      </c>
      <c r="H1243" t="str">
        <f>_xlfn.TEXTJOIN("/",TRUE,"MSV-163MS-"&amp;LD_01[[#This Row],[TRECHO]],_xlfn.XLOOKUP(LD_01[[#This Row],[SIGLA]],'CLASSES DE PROJETOS'!$C$3:$C$37,'CLASSES DE PROJETOS'!$E$3:$E$37))</f>
        <v>MSV-163MS-730-732/28.PV</v>
      </c>
      <c r="I1243" s="6" t="str" cm="1">
        <f t="array" ref="I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J1243" s="6" t="str" cm="1">
        <f t="array" ref="J1243">_xlfn.TEXTJOIN(", ",TRUE,_xlfn.UNIQUE(_xlfn._xlws.FILTER(ARQUIVOS_RECEBIDOS!$F$2:$F$5010,ARQUIVOS_RECEBIDOS!$E$2:$E$5010=LD_01[[#This Row],[DOCUMENTO]])))</f>
        <v>R04, R05</v>
      </c>
      <c r="K1243" s="12" cm="1">
        <f t="array" ref="K1243">_xlfn.UNIQUE(_xlfn._xlws.FILTER(ARQUIVOS[DATA RECEBIMENTO],(ARQUIVOS[DOCUMENTO]=LD_01[[#This Row],[DOCUMENTO]])*(ARQUIVOS[REVISÃO]=LD_01[[#This Row],[REVISÃO]])))</f>
        <v>45895</v>
      </c>
      <c r="L12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M1243" s="6" t="str">
        <f>LD_01[[#This Row],[PASTA]]&amp;"/"&amp;LD_01[[#This Row],[ARQUIVO]]</f>
        <v>MSV-163MS-730-732/28.PV/MSV-163MS-730-732-ACA-EXE-DE-I2-005-R05.pdf</v>
      </c>
    </row>
    <row r="1244" spans="1:13" hidden="1" x14ac:dyDescent="0.3">
      <c r="A1244" s="6" t="s">
        <v>4019</v>
      </c>
      <c r="B1244" s="6" t="str">
        <f>VLOOKUP(LD_01[[#This Row],[DOCUMENTO]],_xlfn.SORTBY(ARQUIVOS_RECEBIDOS!$E$2:$F$5010,ARQUIVOS_RECEBIDOS!$F$2:$F$5010,-1),2,)</f>
        <v>R04</v>
      </c>
      <c r="C1244" s="15" t="s">
        <v>5987</v>
      </c>
      <c r="D1244" s="6" t="s">
        <v>4322</v>
      </c>
      <c r="E1244" s="8" t="s">
        <v>4088</v>
      </c>
      <c r="F1244" s="8" t="s">
        <v>4143</v>
      </c>
      <c r="G1244" s="6" t="str">
        <f>_xlfn.XLOOKUP(LD_01[[#This Row],[DISCIPLINA]],'CLASSES DE PROJETOS'!$F$3:$F$37,'CLASSES DE PROJETOS'!$C$3:$C$37)</f>
        <v>PV</v>
      </c>
      <c r="H1244" t="str">
        <f>_xlfn.TEXTJOIN("/",TRUE,"MSV-163MS-"&amp;LD_01[[#This Row],[TRECHO]],_xlfn.XLOOKUP(LD_01[[#This Row],[SIGLA]],'CLASSES DE PROJETOS'!$C$3:$C$37,'CLASSES DE PROJETOS'!$E$3:$E$37))</f>
        <v>MSV-163MS-730-732/28.PV</v>
      </c>
      <c r="I1244" s="6" t="str" cm="1">
        <f t="array" ref="I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J1244" s="6" t="str" cm="1">
        <f t="array" ref="J1244">_xlfn.TEXTJOIN(", ",TRUE,_xlfn.UNIQUE(_xlfn._xlws.FILTER(ARQUIVOS_RECEBIDOS!$F$2:$F$5010,ARQUIVOS_RECEBIDOS!$E$2:$E$5010=LD_01[[#This Row],[DOCUMENTO]])))</f>
        <v>R04</v>
      </c>
      <c r="K1244" s="12" cm="1">
        <f t="array" ref="K1244">_xlfn.UNIQUE(_xlfn._xlws.FILTER(ARQUIVOS[DATA RECEBIMENTO],(ARQUIVOS[DOCUMENTO]=LD_01[[#This Row],[DOCUMENTO]])*(ARQUIVOS[REVISÃO]=LD_01[[#This Row],[REVISÃO]])))</f>
        <v>45838</v>
      </c>
      <c r="L12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M1244" s="6" t="str">
        <f>LD_01[[#This Row],[PASTA]]&amp;"/"&amp;LD_01[[#This Row],[ARQUIVO]]</f>
        <v>MSV-163MS-730-732/28.PV/MSV-163MS-730-732-ACA-EXE-DE-I2-006-R04.pdf</v>
      </c>
    </row>
    <row r="1245" spans="1:13" hidden="1" x14ac:dyDescent="0.3">
      <c r="A1245" s="6" t="s">
        <v>4020</v>
      </c>
      <c r="B1245" s="6" t="str">
        <f>VLOOKUP(LD_01[[#This Row],[DOCUMENTO]],_xlfn.SORTBY(ARQUIVOS_RECEBIDOS!$E$2:$F$5010,ARQUIVOS_RECEBIDOS!$F$2:$F$5010,-1),2,)</f>
        <v>R04</v>
      </c>
      <c r="C1245" s="15" t="s">
        <v>5987</v>
      </c>
      <c r="D1245" s="6" t="s">
        <v>4322</v>
      </c>
      <c r="E1245" s="8" t="s">
        <v>4088</v>
      </c>
      <c r="F1245" s="8" t="s">
        <v>4143</v>
      </c>
      <c r="G1245" s="6" t="str">
        <f>_xlfn.XLOOKUP(LD_01[[#This Row],[DISCIPLINA]],'CLASSES DE PROJETOS'!$F$3:$F$37,'CLASSES DE PROJETOS'!$C$3:$C$37)</f>
        <v>PV</v>
      </c>
      <c r="H1245" t="str">
        <f>_xlfn.TEXTJOIN("/",TRUE,"MSV-163MS-"&amp;LD_01[[#This Row],[TRECHO]],_xlfn.XLOOKUP(LD_01[[#This Row],[SIGLA]],'CLASSES DE PROJETOS'!$C$3:$C$37,'CLASSES DE PROJETOS'!$E$3:$E$37))</f>
        <v>MSV-163MS-730-732/28.PV</v>
      </c>
      <c r="I1245" s="6" t="str" cm="1">
        <f t="array" ref="I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J1245" s="6" t="str" cm="1">
        <f t="array" ref="J1245">_xlfn.TEXTJOIN(", ",TRUE,_xlfn.UNIQUE(_xlfn._xlws.FILTER(ARQUIVOS_RECEBIDOS!$F$2:$F$5010,ARQUIVOS_RECEBIDOS!$E$2:$E$5010=LD_01[[#This Row],[DOCUMENTO]])))</f>
        <v>R04</v>
      </c>
      <c r="K1245" s="12" cm="1">
        <f t="array" ref="K1245">_xlfn.UNIQUE(_xlfn._xlws.FILTER(ARQUIVOS[DATA RECEBIMENTO],(ARQUIVOS[DOCUMENTO]=LD_01[[#This Row],[DOCUMENTO]])*(ARQUIVOS[REVISÃO]=LD_01[[#This Row],[REVISÃO]])))</f>
        <v>45838</v>
      </c>
      <c r="L12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M1245" s="6" t="str">
        <f>LD_01[[#This Row],[PASTA]]&amp;"/"&amp;LD_01[[#This Row],[ARQUIVO]]</f>
        <v>MSV-163MS-730-732/28.PV/MSV-163MS-730-732-ACA-EXE-DE-I2-007-R04.pdf</v>
      </c>
    </row>
    <row r="1246" spans="1:13" hidden="1" x14ac:dyDescent="0.3">
      <c r="A1246" s="6" t="s">
        <v>4009</v>
      </c>
      <c r="B1246" s="6" t="str">
        <f>VLOOKUP(LD_01[[#This Row],[DOCUMENTO]],_xlfn.SORTBY(ARQUIVOS_RECEBIDOS!$E$2:$F$5010,ARQUIVOS_RECEBIDOS!$F$2:$F$5010,-1),2,)</f>
        <v>R05</v>
      </c>
      <c r="C1246" s="15" t="s">
        <v>5987</v>
      </c>
      <c r="D1246" s="6" t="s">
        <v>4322</v>
      </c>
      <c r="E1246" s="8" t="s">
        <v>4083</v>
      </c>
      <c r="F1246" s="8" t="s">
        <v>4331</v>
      </c>
      <c r="G1246" s="6" t="str">
        <f>_xlfn.XLOOKUP(LD_01[[#This Row],[DISCIPLINA]],'CLASSES DE PROJETOS'!$F$3:$F$37,'CLASSES DE PROJETOS'!$C$3:$C$37)</f>
        <v>SI</v>
      </c>
      <c r="H1246" t="str">
        <f>_xlfn.TEXTJOIN("/",TRUE,"MSV-163MS-"&amp;LD_01[[#This Row],[TRECHO]],_xlfn.XLOOKUP(LD_01[[#This Row],[SIGLA]],'CLASSES DE PROJETOS'!$C$3:$C$37,'CLASSES DE PROJETOS'!$E$3:$E$37))</f>
        <v>MSV-163MS-730-732/31.SI</v>
      </c>
      <c r="I1246" s="6" t="str" cm="1">
        <f t="array" ref="I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J1246" s="6" t="str" cm="1">
        <f t="array" ref="J1246">_xlfn.TEXTJOIN(", ",TRUE,_xlfn.UNIQUE(_xlfn._xlws.FILTER(ARQUIVOS_RECEBIDOS!$F$2:$F$5010,ARQUIVOS_RECEBIDOS!$E$2:$E$5010=LD_01[[#This Row],[DOCUMENTO]])))</f>
        <v>R04, R05</v>
      </c>
      <c r="K1246" s="12" cm="1">
        <f t="array" ref="K1246">_xlfn.UNIQUE(_xlfn._xlws.FILTER(ARQUIVOS[DATA RECEBIMENTO],(ARQUIVOS[DOCUMENTO]=LD_01[[#This Row],[DOCUMENTO]])*(ARQUIVOS[REVISÃO]=LD_01[[#This Row],[REVISÃO]])))</f>
        <v>45895</v>
      </c>
      <c r="L12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M1246" s="6" t="str">
        <f>LD_01[[#This Row],[PASTA]]&amp;"/"&amp;LD_01[[#This Row],[ARQUIVO]]</f>
        <v>MSV-163MS-730-732/31.SI/MSV-163MS-730-732-ACA-EXE-DE-J1-001-R05.pdf</v>
      </c>
    </row>
    <row r="1247" spans="1:13" hidden="1" x14ac:dyDescent="0.3">
      <c r="A1247" s="6" t="s">
        <v>4010</v>
      </c>
      <c r="B1247" s="6" t="str">
        <f>VLOOKUP(LD_01[[#This Row],[DOCUMENTO]],_xlfn.SORTBY(ARQUIVOS_RECEBIDOS!$E$2:$F$5010,ARQUIVOS_RECEBIDOS!$F$2:$F$5010,-1),2,)</f>
        <v>R08</v>
      </c>
      <c r="C1247" s="15" t="s">
        <v>5987</v>
      </c>
      <c r="D1247" s="6" t="s">
        <v>4322</v>
      </c>
      <c r="E1247" s="8" t="s">
        <v>4083</v>
      </c>
      <c r="F1247" s="8" t="s">
        <v>4331</v>
      </c>
      <c r="G1247" s="6" t="str">
        <f>_xlfn.XLOOKUP(LD_01[[#This Row],[DISCIPLINA]],'CLASSES DE PROJETOS'!$F$3:$F$37,'CLASSES DE PROJETOS'!$C$3:$C$37)</f>
        <v>SI</v>
      </c>
      <c r="H1247" t="str">
        <f>_xlfn.TEXTJOIN("/",TRUE,"MSV-163MS-"&amp;LD_01[[#This Row],[TRECHO]],_xlfn.XLOOKUP(LD_01[[#This Row],[SIGLA]],'CLASSES DE PROJETOS'!$C$3:$C$37,'CLASSES DE PROJETOS'!$E$3:$E$37))</f>
        <v>MSV-163MS-730-732/31.SI</v>
      </c>
      <c r="I1247" s="6" t="str" cm="1">
        <f t="array" ref="I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J1247" s="6" t="str" cm="1">
        <f t="array" ref="J1247">_xlfn.TEXTJOIN(", ",TRUE,_xlfn.UNIQUE(_xlfn._xlws.FILTER(ARQUIVOS_RECEBIDOS!$F$2:$F$5010,ARQUIVOS_RECEBIDOS!$E$2:$E$5010=LD_01[[#This Row],[DOCUMENTO]])))</f>
        <v>R06, R08</v>
      </c>
      <c r="K1247" s="12" cm="1">
        <f t="array" ref="K1247">_xlfn.UNIQUE(_xlfn._xlws.FILTER(ARQUIVOS[DATA RECEBIMENTO],(ARQUIVOS[DOCUMENTO]=LD_01[[#This Row],[DOCUMENTO]])*(ARQUIVOS[REVISÃO]=LD_01[[#This Row],[REVISÃO]])))</f>
        <v>45895</v>
      </c>
      <c r="L12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M1247" s="6" t="str">
        <f>LD_01[[#This Row],[PASTA]]&amp;"/"&amp;LD_01[[#This Row],[ARQUIVO]]</f>
        <v>MSV-163MS-730-732/31.SI/MSV-163MS-730-732-ACA-EXE-DE-J1-002-R08.pdf</v>
      </c>
    </row>
    <row r="1248" spans="1:13" hidden="1" x14ac:dyDescent="0.3">
      <c r="A1248" s="6" t="s">
        <v>4011</v>
      </c>
      <c r="B1248" s="6" t="str">
        <f>VLOOKUP(LD_01[[#This Row],[DOCUMENTO]],_xlfn.SORTBY(ARQUIVOS_RECEBIDOS!$E$2:$F$5010,ARQUIVOS_RECEBIDOS!$F$2:$F$5010,-1),2,)</f>
        <v>R01</v>
      </c>
      <c r="C1248" s="15" t="s">
        <v>5987</v>
      </c>
      <c r="D1248" s="6" t="s">
        <v>4322</v>
      </c>
      <c r="E1248" s="8" t="s">
        <v>4084</v>
      </c>
      <c r="F1248" s="8" t="s">
        <v>4331</v>
      </c>
      <c r="G1248" s="6" t="str">
        <f>_xlfn.XLOOKUP(LD_01[[#This Row],[DISCIPLINA]],'CLASSES DE PROJETOS'!$F$3:$F$37,'CLASSES DE PROJETOS'!$C$3:$C$37)</f>
        <v>SI</v>
      </c>
      <c r="H1248" t="str">
        <f>_xlfn.TEXTJOIN("/",TRUE,"MSV-163MS-"&amp;LD_01[[#This Row],[TRECHO]],_xlfn.XLOOKUP(LD_01[[#This Row],[SIGLA]],'CLASSES DE PROJETOS'!$C$3:$C$37,'CLASSES DE PROJETOS'!$E$3:$E$37))</f>
        <v>MSV-163MS-730-732/31.SI</v>
      </c>
      <c r="I1248" s="6" t="str" cm="1">
        <f t="array" ref="I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J1248" s="6" t="str" cm="1">
        <f t="array" ref="J1248">_xlfn.TEXTJOIN(", ",TRUE,_xlfn.UNIQUE(_xlfn._xlws.FILTER(ARQUIVOS_RECEBIDOS!$F$2:$F$5010,ARQUIVOS_RECEBIDOS!$E$2:$E$5010=LD_01[[#This Row],[DOCUMENTO]])))</f>
        <v>R01</v>
      </c>
      <c r="K1248" s="12" cm="1">
        <f t="array" ref="K1248">_xlfn.UNIQUE(_xlfn._xlws.FILTER(ARQUIVOS[DATA RECEBIMENTO],(ARQUIVOS[DOCUMENTO]=LD_01[[#This Row],[DOCUMENTO]])*(ARQUIVOS[REVISÃO]=LD_01[[#This Row],[REVISÃO]])))</f>
        <v>45838</v>
      </c>
      <c r="L12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M1248" s="6" t="str">
        <f>LD_01[[#This Row],[PASTA]]&amp;"/"&amp;LD_01[[#This Row],[ARQUIVO]]</f>
        <v>MSV-163MS-730-732/31.SI/MSV-163MS-730-732-ACA-EXE-DE-J1-003-R01.pdf</v>
      </c>
    </row>
    <row r="1249" spans="1:13" hidden="1" x14ac:dyDescent="0.3">
      <c r="A1249" s="6" t="s">
        <v>4012</v>
      </c>
      <c r="B1249" s="6" t="str">
        <f>VLOOKUP(LD_01[[#This Row],[DOCUMENTO]],_xlfn.SORTBY(ARQUIVOS_RECEBIDOS!$E$2:$F$5010,ARQUIVOS_RECEBIDOS!$F$2:$F$5010,-1),2,)</f>
        <v>R01</v>
      </c>
      <c r="C1249" s="15" t="s">
        <v>5987</v>
      </c>
      <c r="D1249" s="6" t="s">
        <v>4322</v>
      </c>
      <c r="E1249" s="8" t="s">
        <v>4085</v>
      </c>
      <c r="F1249" s="8" t="s">
        <v>4331</v>
      </c>
      <c r="G1249" s="6" t="str">
        <f>_xlfn.XLOOKUP(LD_01[[#This Row],[DISCIPLINA]],'CLASSES DE PROJETOS'!$F$3:$F$37,'CLASSES DE PROJETOS'!$C$3:$C$37)</f>
        <v>SI</v>
      </c>
      <c r="H1249" t="str">
        <f>_xlfn.TEXTJOIN("/",TRUE,"MSV-163MS-"&amp;LD_01[[#This Row],[TRECHO]],_xlfn.XLOOKUP(LD_01[[#This Row],[SIGLA]],'CLASSES DE PROJETOS'!$C$3:$C$37,'CLASSES DE PROJETOS'!$E$3:$E$37))</f>
        <v>MSV-163MS-730-732/31.SI</v>
      </c>
      <c r="I1249" s="6" t="str" cm="1">
        <f t="array" ref="I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J1249" s="6" t="str" cm="1">
        <f t="array" ref="J1249">_xlfn.TEXTJOIN(", ",TRUE,_xlfn.UNIQUE(_xlfn._xlws.FILTER(ARQUIVOS_RECEBIDOS!$F$2:$F$5010,ARQUIVOS_RECEBIDOS!$E$2:$E$5010=LD_01[[#This Row],[DOCUMENTO]])))</f>
        <v>R01</v>
      </c>
      <c r="K1249" s="12" cm="1">
        <f t="array" ref="K1249">_xlfn.UNIQUE(_xlfn._xlws.FILTER(ARQUIVOS[DATA RECEBIMENTO],(ARQUIVOS[DOCUMENTO]=LD_01[[#This Row],[DOCUMENTO]])*(ARQUIVOS[REVISÃO]=LD_01[[#This Row],[REVISÃO]])))</f>
        <v>45838</v>
      </c>
      <c r="L12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M1249" s="6" t="str">
        <f>LD_01[[#This Row],[PASTA]]&amp;"/"&amp;LD_01[[#This Row],[ARQUIVO]]</f>
        <v>MSV-163MS-730-732/31.SI/MSV-163MS-730-732-ACA-EXE-DE-J1-004-R01.pdf</v>
      </c>
    </row>
    <row r="1250" spans="1:13" hidden="1" x14ac:dyDescent="0.3">
      <c r="A1250" s="6" t="s">
        <v>4013</v>
      </c>
      <c r="B1250" s="6" t="str">
        <f>VLOOKUP(LD_01[[#This Row],[DOCUMENTO]],_xlfn.SORTBY(ARQUIVOS_RECEBIDOS!$E$2:$F$5010,ARQUIVOS_RECEBIDOS!$F$2:$F$5010,-1),2,)</f>
        <v>R01</v>
      </c>
      <c r="C1250" s="15" t="s">
        <v>5987</v>
      </c>
      <c r="D1250" s="6" t="s">
        <v>4322</v>
      </c>
      <c r="E1250" s="8" t="s">
        <v>4086</v>
      </c>
      <c r="F1250" s="8" t="s">
        <v>4331</v>
      </c>
      <c r="G1250" s="6" t="str">
        <f>_xlfn.XLOOKUP(LD_01[[#This Row],[DISCIPLINA]],'CLASSES DE PROJETOS'!$F$3:$F$37,'CLASSES DE PROJETOS'!$C$3:$C$37)</f>
        <v>SI</v>
      </c>
      <c r="H1250" t="str">
        <f>_xlfn.TEXTJOIN("/",TRUE,"MSV-163MS-"&amp;LD_01[[#This Row],[TRECHO]],_xlfn.XLOOKUP(LD_01[[#This Row],[SIGLA]],'CLASSES DE PROJETOS'!$C$3:$C$37,'CLASSES DE PROJETOS'!$E$3:$E$37))</f>
        <v>MSV-163MS-730-732/31.SI</v>
      </c>
      <c r="I1250" s="6" t="str" cm="1">
        <f t="array" ref="I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J1250" s="6" t="str" cm="1">
        <f t="array" ref="J1250">_xlfn.TEXTJOIN(", ",TRUE,_xlfn.UNIQUE(_xlfn._xlws.FILTER(ARQUIVOS_RECEBIDOS!$F$2:$F$5010,ARQUIVOS_RECEBIDOS!$E$2:$E$5010=LD_01[[#This Row],[DOCUMENTO]])))</f>
        <v>R01</v>
      </c>
      <c r="K1250" s="12" cm="1">
        <f t="array" ref="K1250">_xlfn.UNIQUE(_xlfn._xlws.FILTER(ARQUIVOS[DATA RECEBIMENTO],(ARQUIVOS[DOCUMENTO]=LD_01[[#This Row],[DOCUMENTO]])*(ARQUIVOS[REVISÃO]=LD_01[[#This Row],[REVISÃO]])))</f>
        <v>45838</v>
      </c>
      <c r="L12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M1250" s="6" t="str">
        <f>LD_01[[#This Row],[PASTA]]&amp;"/"&amp;LD_01[[#This Row],[ARQUIVO]]</f>
        <v>MSV-163MS-730-732/31.SI/MSV-163MS-730-732-ACA-EXE-DE-J1-005-R01.pdf</v>
      </c>
    </row>
    <row r="1251" spans="1:13" ht="43.2" hidden="1" x14ac:dyDescent="0.3">
      <c r="A1251" s="6" t="s">
        <v>4023</v>
      </c>
      <c r="B1251" s="6" t="str">
        <f>VLOOKUP(LD_01[[#This Row],[DOCUMENTO]],_xlfn.SORTBY(ARQUIVOS_RECEBIDOS!$E$2:$F$5010,ARQUIVOS_RECEBIDOS!$F$2:$F$5010,-1),2,)</f>
        <v>R02</v>
      </c>
      <c r="C1251" s="15" t="s">
        <v>5987</v>
      </c>
      <c r="D1251" s="6" t="s">
        <v>4322</v>
      </c>
      <c r="E1251" s="8" t="s">
        <v>4287</v>
      </c>
      <c r="F1251" s="8" t="s">
        <v>4337</v>
      </c>
      <c r="G1251" s="6" t="str">
        <f>_xlfn.XLOOKUP(LD_01[[#This Row],[DISCIPLINA]],'CLASSES DE PROJETOS'!$F$3:$F$37,'CLASSES DE PROJETOS'!$C$3:$C$37)</f>
        <v>EL</v>
      </c>
      <c r="H1251" t="str">
        <f>_xlfn.TEXTJOIN("/",TRUE,"MSV-163MS-"&amp;LD_01[[#This Row],[TRECHO]],_xlfn.XLOOKUP(LD_01[[#This Row],[SIGLA]],'CLASSES DE PROJETOS'!$C$3:$C$37,'CLASSES DE PROJETOS'!$E$3:$E$37))</f>
        <v>MSV-163MS-730-732/14.EL</v>
      </c>
      <c r="I1251" s="6" t="str" cm="1">
        <f t="array" ref="I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J1251" s="6" t="str" cm="1">
        <f t="array" ref="J1251">_xlfn.TEXTJOIN(", ",TRUE,_xlfn.UNIQUE(_xlfn._xlws.FILTER(ARQUIVOS_RECEBIDOS!$F$2:$F$5010,ARQUIVOS_RECEBIDOS!$E$2:$E$5010=LD_01[[#This Row],[DOCUMENTO]])))</f>
        <v>R02</v>
      </c>
      <c r="K1251" s="12" cm="1">
        <f t="array" ref="K1251">_xlfn.UNIQUE(_xlfn._xlws.FILTER(ARQUIVOS[DATA RECEBIMENTO],(ARQUIVOS[DOCUMENTO]=LD_01[[#This Row],[DOCUMENTO]])*(ARQUIVOS[REVISÃO]=LD_01[[#This Row],[REVISÃO]])))</f>
        <v>45838</v>
      </c>
      <c r="L12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M1251" s="6" t="str">
        <f>LD_01[[#This Row],[PASTA]]&amp;"/"&amp;LD_01[[#This Row],[ARQUIVO]]</f>
        <v>MSV-163MS-730-732/14.EL/MSV-163MS-730-732-ACA-EXE-DE-K2-001-R02.pdf</v>
      </c>
    </row>
    <row r="1252" spans="1:13" ht="43.2" hidden="1" x14ac:dyDescent="0.3">
      <c r="A1252" s="6" t="s">
        <v>4024</v>
      </c>
      <c r="B1252" s="6" t="str">
        <f>VLOOKUP(LD_01[[#This Row],[DOCUMENTO]],_xlfn.SORTBY(ARQUIVOS_RECEBIDOS!$E$2:$F$5010,ARQUIVOS_RECEBIDOS!$F$2:$F$5010,-1),2,)</f>
        <v>R03</v>
      </c>
      <c r="C1252" s="15" t="s">
        <v>5987</v>
      </c>
      <c r="D1252" s="6" t="s">
        <v>4322</v>
      </c>
      <c r="E1252" s="8" t="s">
        <v>4288</v>
      </c>
      <c r="F1252" s="8" t="s">
        <v>4337</v>
      </c>
      <c r="G1252" s="6" t="str">
        <f>_xlfn.XLOOKUP(LD_01[[#This Row],[DISCIPLINA]],'CLASSES DE PROJETOS'!$F$3:$F$37,'CLASSES DE PROJETOS'!$C$3:$C$37)</f>
        <v>EL</v>
      </c>
      <c r="H1252" t="str">
        <f>_xlfn.TEXTJOIN("/",TRUE,"MSV-163MS-"&amp;LD_01[[#This Row],[TRECHO]],_xlfn.XLOOKUP(LD_01[[#This Row],[SIGLA]],'CLASSES DE PROJETOS'!$C$3:$C$37,'CLASSES DE PROJETOS'!$E$3:$E$37))</f>
        <v>MSV-163MS-730-732/14.EL</v>
      </c>
      <c r="I1252" s="6" t="str" cm="1">
        <f t="array" ref="I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J1252" s="6" t="str" cm="1">
        <f t="array" ref="J1252">_xlfn.TEXTJOIN(", ",TRUE,_xlfn.UNIQUE(_xlfn._xlws.FILTER(ARQUIVOS_RECEBIDOS!$F$2:$F$5010,ARQUIVOS_RECEBIDOS!$E$2:$E$5010=LD_01[[#This Row],[DOCUMENTO]])))</f>
        <v>R02, R03</v>
      </c>
      <c r="K1252" s="12" cm="1">
        <f t="array" ref="K1252">_xlfn.UNIQUE(_xlfn._xlws.FILTER(ARQUIVOS[DATA RECEBIMENTO],(ARQUIVOS[DOCUMENTO]=LD_01[[#This Row],[DOCUMENTO]])*(ARQUIVOS[REVISÃO]=LD_01[[#This Row],[REVISÃO]])))</f>
        <v>45895</v>
      </c>
      <c r="L12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M1252" s="6" t="str">
        <f>LD_01[[#This Row],[PASTA]]&amp;"/"&amp;LD_01[[#This Row],[ARQUIVO]]</f>
        <v>MSV-163MS-730-732/14.EL/MSV-163MS-730-732-ACA-EXE-DE-K2-002-R03.pdf</v>
      </c>
    </row>
    <row r="1253" spans="1:13" ht="43.2" hidden="1" x14ac:dyDescent="0.3">
      <c r="A1253" s="6" t="s">
        <v>4025</v>
      </c>
      <c r="B1253" s="6" t="str">
        <f>VLOOKUP(LD_01[[#This Row],[DOCUMENTO]],_xlfn.SORTBY(ARQUIVOS_RECEBIDOS!$E$2:$F$5010,ARQUIVOS_RECEBIDOS!$F$2:$F$5010,-1),2,)</f>
        <v>R03</v>
      </c>
      <c r="C1253" s="15" t="s">
        <v>5987</v>
      </c>
      <c r="D1253" s="6" t="s">
        <v>4322</v>
      </c>
      <c r="E1253" s="8" t="s">
        <v>4289</v>
      </c>
      <c r="F1253" s="8" t="s">
        <v>4337</v>
      </c>
      <c r="G1253" s="6" t="str">
        <f>_xlfn.XLOOKUP(LD_01[[#This Row],[DISCIPLINA]],'CLASSES DE PROJETOS'!$F$3:$F$37,'CLASSES DE PROJETOS'!$C$3:$C$37)</f>
        <v>EL</v>
      </c>
      <c r="H1253" t="str">
        <f>_xlfn.TEXTJOIN("/",TRUE,"MSV-163MS-"&amp;LD_01[[#This Row],[TRECHO]],_xlfn.XLOOKUP(LD_01[[#This Row],[SIGLA]],'CLASSES DE PROJETOS'!$C$3:$C$37,'CLASSES DE PROJETOS'!$E$3:$E$37))</f>
        <v>MSV-163MS-730-732/14.EL</v>
      </c>
      <c r="I1253" s="6" t="str" cm="1">
        <f t="array" ref="I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J1253" s="6" t="str" cm="1">
        <f t="array" ref="J1253">_xlfn.TEXTJOIN(", ",TRUE,_xlfn.UNIQUE(_xlfn._xlws.FILTER(ARQUIVOS_RECEBIDOS!$F$2:$F$5010,ARQUIVOS_RECEBIDOS!$E$2:$E$5010=LD_01[[#This Row],[DOCUMENTO]])))</f>
        <v>R03</v>
      </c>
      <c r="K1253" s="12" cm="1">
        <f t="array" ref="K1253">_xlfn.UNIQUE(_xlfn._xlws.FILTER(ARQUIVOS[DATA RECEBIMENTO],(ARQUIVOS[DOCUMENTO]=LD_01[[#This Row],[DOCUMENTO]])*(ARQUIVOS[REVISÃO]=LD_01[[#This Row],[REVISÃO]])))</f>
        <v>45838</v>
      </c>
      <c r="L12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M1253" s="6" t="str">
        <f>LD_01[[#This Row],[PASTA]]&amp;"/"&amp;LD_01[[#This Row],[ARQUIVO]]</f>
        <v>MSV-163MS-730-732/14.EL/MSV-163MS-730-732-ACA-EXE-DE-K2-003-R03.pdf</v>
      </c>
    </row>
    <row r="1254" spans="1:13" ht="43.2" hidden="1" x14ac:dyDescent="0.3">
      <c r="A1254" s="6" t="s">
        <v>4026</v>
      </c>
      <c r="B1254" s="6" t="str">
        <f>VLOOKUP(LD_01[[#This Row],[DOCUMENTO]],_xlfn.SORTBY(ARQUIVOS_RECEBIDOS!$E$2:$F$5010,ARQUIVOS_RECEBIDOS!$F$2:$F$5010,-1),2,)</f>
        <v>R03</v>
      </c>
      <c r="C1254" s="15" t="s">
        <v>5987</v>
      </c>
      <c r="D1254" s="6" t="s">
        <v>4322</v>
      </c>
      <c r="E1254" s="8" t="s">
        <v>4289</v>
      </c>
      <c r="F1254" s="8" t="s">
        <v>4337</v>
      </c>
      <c r="G1254" s="6" t="str">
        <f>_xlfn.XLOOKUP(LD_01[[#This Row],[DISCIPLINA]],'CLASSES DE PROJETOS'!$F$3:$F$37,'CLASSES DE PROJETOS'!$C$3:$C$37)</f>
        <v>EL</v>
      </c>
      <c r="H1254" t="str">
        <f>_xlfn.TEXTJOIN("/",TRUE,"MSV-163MS-"&amp;LD_01[[#This Row],[TRECHO]],_xlfn.XLOOKUP(LD_01[[#This Row],[SIGLA]],'CLASSES DE PROJETOS'!$C$3:$C$37,'CLASSES DE PROJETOS'!$E$3:$E$37))</f>
        <v>MSV-163MS-730-732/14.EL</v>
      </c>
      <c r="I1254" s="6" t="str" cm="1">
        <f t="array" ref="I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J1254" s="6" t="str" cm="1">
        <f t="array" ref="J1254">_xlfn.TEXTJOIN(", ",TRUE,_xlfn.UNIQUE(_xlfn._xlws.FILTER(ARQUIVOS_RECEBIDOS!$F$2:$F$5010,ARQUIVOS_RECEBIDOS!$E$2:$E$5010=LD_01[[#This Row],[DOCUMENTO]])))</f>
        <v>R03</v>
      </c>
      <c r="K1254" s="12" cm="1">
        <f t="array" ref="K1254">_xlfn.UNIQUE(_xlfn._xlws.FILTER(ARQUIVOS[DATA RECEBIMENTO],(ARQUIVOS[DOCUMENTO]=LD_01[[#This Row],[DOCUMENTO]])*(ARQUIVOS[REVISÃO]=LD_01[[#This Row],[REVISÃO]])))</f>
        <v>45838</v>
      </c>
      <c r="L12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M1254" s="6" t="str">
        <f>LD_01[[#This Row],[PASTA]]&amp;"/"&amp;LD_01[[#This Row],[ARQUIVO]]</f>
        <v>MSV-163MS-730-732/14.EL/MSV-163MS-730-732-ACA-EXE-DE-K2-004-R03.pdf</v>
      </c>
    </row>
    <row r="1255" spans="1:13" ht="43.2" hidden="1" x14ac:dyDescent="0.3">
      <c r="A1255" s="6" t="s">
        <v>4027</v>
      </c>
      <c r="B1255" s="6" t="str">
        <f>VLOOKUP(LD_01[[#This Row],[DOCUMENTO]],_xlfn.SORTBY(ARQUIVOS_RECEBIDOS!$E$2:$F$5010,ARQUIVOS_RECEBIDOS!$F$2:$F$5010,-1),2,)</f>
        <v>R04</v>
      </c>
      <c r="C1255" s="15" t="s">
        <v>5987</v>
      </c>
      <c r="D1255" s="6" t="s">
        <v>4322</v>
      </c>
      <c r="E1255" s="8" t="s">
        <v>4289</v>
      </c>
      <c r="F1255" s="8" t="s">
        <v>4337</v>
      </c>
      <c r="G1255" s="6" t="str">
        <f>_xlfn.XLOOKUP(LD_01[[#This Row],[DISCIPLINA]],'CLASSES DE PROJETOS'!$F$3:$F$37,'CLASSES DE PROJETOS'!$C$3:$C$37)</f>
        <v>EL</v>
      </c>
      <c r="H1255" t="str">
        <f>_xlfn.TEXTJOIN("/",TRUE,"MSV-163MS-"&amp;LD_01[[#This Row],[TRECHO]],_xlfn.XLOOKUP(LD_01[[#This Row],[SIGLA]],'CLASSES DE PROJETOS'!$C$3:$C$37,'CLASSES DE PROJETOS'!$E$3:$E$37))</f>
        <v>MSV-163MS-730-732/14.EL</v>
      </c>
      <c r="I1255" s="6" t="str" cm="1">
        <f t="array" ref="I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J1255" s="6" t="str" cm="1">
        <f t="array" ref="J1255">_xlfn.TEXTJOIN(", ",TRUE,_xlfn.UNIQUE(_xlfn._xlws.FILTER(ARQUIVOS_RECEBIDOS!$F$2:$F$5010,ARQUIVOS_RECEBIDOS!$E$2:$E$5010=LD_01[[#This Row],[DOCUMENTO]])))</f>
        <v>R04</v>
      </c>
      <c r="K1255" s="12" cm="1">
        <f t="array" ref="K1255">_xlfn.UNIQUE(_xlfn._xlws.FILTER(ARQUIVOS[DATA RECEBIMENTO],(ARQUIVOS[DOCUMENTO]=LD_01[[#This Row],[DOCUMENTO]])*(ARQUIVOS[REVISÃO]=LD_01[[#This Row],[REVISÃO]])))</f>
        <v>45838</v>
      </c>
      <c r="L12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M1255" s="6" t="str">
        <f>LD_01[[#This Row],[PASTA]]&amp;"/"&amp;LD_01[[#This Row],[ARQUIVO]]</f>
        <v>MSV-163MS-730-732/14.EL/MSV-163MS-730-732-ACA-EXE-DE-K2-005-R04.pdf</v>
      </c>
    </row>
    <row r="1256" spans="1:13" ht="43.2" hidden="1" x14ac:dyDescent="0.3">
      <c r="A1256" s="6" t="s">
        <v>4028</v>
      </c>
      <c r="B1256" s="6" t="str">
        <f>VLOOKUP(LD_01[[#This Row],[DOCUMENTO]],_xlfn.SORTBY(ARQUIVOS_RECEBIDOS!$E$2:$F$5010,ARQUIVOS_RECEBIDOS!$F$2:$F$5010,-1),2,)</f>
        <v>R02</v>
      </c>
      <c r="C1256" s="15" t="s">
        <v>5987</v>
      </c>
      <c r="D1256" s="6" t="s">
        <v>4322</v>
      </c>
      <c r="E1256" s="8" t="s">
        <v>4290</v>
      </c>
      <c r="F1256" s="8" t="s">
        <v>4337</v>
      </c>
      <c r="G1256" s="6" t="str">
        <f>_xlfn.XLOOKUP(LD_01[[#This Row],[DISCIPLINA]],'CLASSES DE PROJETOS'!$F$3:$F$37,'CLASSES DE PROJETOS'!$C$3:$C$37)</f>
        <v>EL</v>
      </c>
      <c r="H1256" t="str">
        <f>_xlfn.TEXTJOIN("/",TRUE,"MSV-163MS-"&amp;LD_01[[#This Row],[TRECHO]],_xlfn.XLOOKUP(LD_01[[#This Row],[SIGLA]],'CLASSES DE PROJETOS'!$C$3:$C$37,'CLASSES DE PROJETOS'!$E$3:$E$37))</f>
        <v>MSV-163MS-730-732/14.EL</v>
      </c>
      <c r="I1256" s="6" t="str" cm="1">
        <f t="array" ref="I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J1256" s="6" t="str" cm="1">
        <f t="array" ref="J1256">_xlfn.TEXTJOIN(", ",TRUE,_xlfn.UNIQUE(_xlfn._xlws.FILTER(ARQUIVOS_RECEBIDOS!$F$2:$F$5010,ARQUIVOS_RECEBIDOS!$E$2:$E$5010=LD_01[[#This Row],[DOCUMENTO]])))</f>
        <v>R02</v>
      </c>
      <c r="K1256" s="12" cm="1">
        <f t="array" ref="K1256">_xlfn.UNIQUE(_xlfn._xlws.FILTER(ARQUIVOS[DATA RECEBIMENTO],(ARQUIVOS[DOCUMENTO]=LD_01[[#This Row],[DOCUMENTO]])*(ARQUIVOS[REVISÃO]=LD_01[[#This Row],[REVISÃO]])))</f>
        <v>45838</v>
      </c>
      <c r="L12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M1256" s="6" t="str">
        <f>LD_01[[#This Row],[PASTA]]&amp;"/"&amp;LD_01[[#This Row],[ARQUIVO]]</f>
        <v>MSV-163MS-730-732/14.EL/MSV-163MS-730-732-ACA-EXE-DE-K2-006-R02.pdf</v>
      </c>
    </row>
    <row r="1257" spans="1:13" ht="43.2" hidden="1" x14ac:dyDescent="0.3">
      <c r="A1257" s="6" t="s">
        <v>4029</v>
      </c>
      <c r="B1257" s="6" t="str">
        <f>VLOOKUP(LD_01[[#This Row],[DOCUMENTO]],_xlfn.SORTBY(ARQUIVOS_RECEBIDOS!$E$2:$F$5010,ARQUIVOS_RECEBIDOS!$F$2:$F$5010,-1),2,)</f>
        <v>R01</v>
      </c>
      <c r="C1257" s="15" t="s">
        <v>5987</v>
      </c>
      <c r="D1257" s="6" t="s">
        <v>4322</v>
      </c>
      <c r="E1257" s="8" t="s">
        <v>4291</v>
      </c>
      <c r="F1257" s="8" t="s">
        <v>4337</v>
      </c>
      <c r="G1257" s="6" t="str">
        <f>_xlfn.XLOOKUP(LD_01[[#This Row],[DISCIPLINA]],'CLASSES DE PROJETOS'!$F$3:$F$37,'CLASSES DE PROJETOS'!$C$3:$C$37)</f>
        <v>EL</v>
      </c>
      <c r="H1257" t="str">
        <f>_xlfn.TEXTJOIN("/",TRUE,"MSV-163MS-"&amp;LD_01[[#This Row],[TRECHO]],_xlfn.XLOOKUP(LD_01[[#This Row],[SIGLA]],'CLASSES DE PROJETOS'!$C$3:$C$37,'CLASSES DE PROJETOS'!$E$3:$E$37))</f>
        <v>MSV-163MS-730-732/14.EL</v>
      </c>
      <c r="I1257" s="6" t="str" cm="1">
        <f t="array" ref="I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J1257" s="6" t="str" cm="1">
        <f t="array" ref="J1257">_xlfn.TEXTJOIN(", ",TRUE,_xlfn.UNIQUE(_xlfn._xlws.FILTER(ARQUIVOS_RECEBIDOS!$F$2:$F$5010,ARQUIVOS_RECEBIDOS!$E$2:$E$5010=LD_01[[#This Row],[DOCUMENTO]])))</f>
        <v>R01</v>
      </c>
      <c r="K1257" s="12" cm="1">
        <f t="array" ref="K1257">_xlfn.UNIQUE(_xlfn._xlws.FILTER(ARQUIVOS[DATA RECEBIMENTO],(ARQUIVOS[DOCUMENTO]=LD_01[[#This Row],[DOCUMENTO]])*(ARQUIVOS[REVISÃO]=LD_01[[#This Row],[REVISÃO]])))</f>
        <v>45838</v>
      </c>
      <c r="L12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M1257" s="6" t="str">
        <f>LD_01[[#This Row],[PASTA]]&amp;"/"&amp;LD_01[[#This Row],[ARQUIVO]]</f>
        <v>MSV-163MS-730-732/14.EL/MSV-163MS-730-732-ACA-EXE-DE-K2-007-R01.pdf</v>
      </c>
    </row>
    <row r="1258" spans="1:13" ht="43.2" hidden="1" x14ac:dyDescent="0.3">
      <c r="A1258" s="6" t="s">
        <v>4030</v>
      </c>
      <c r="B1258" s="6" t="str">
        <f>VLOOKUP(LD_01[[#This Row],[DOCUMENTO]],_xlfn.SORTBY(ARQUIVOS_RECEBIDOS!$E$2:$F$5010,ARQUIVOS_RECEBIDOS!$F$2:$F$5010,-1),2,)</f>
        <v>R03</v>
      </c>
      <c r="C1258" s="15" t="s">
        <v>5987</v>
      </c>
      <c r="D1258" s="6" t="s">
        <v>4322</v>
      </c>
      <c r="E1258" s="8" t="s">
        <v>4292</v>
      </c>
      <c r="F1258" s="8" t="s">
        <v>4337</v>
      </c>
      <c r="G1258" s="6" t="str">
        <f>_xlfn.XLOOKUP(LD_01[[#This Row],[DISCIPLINA]],'CLASSES DE PROJETOS'!$F$3:$F$37,'CLASSES DE PROJETOS'!$C$3:$C$37)</f>
        <v>EL</v>
      </c>
      <c r="H1258" t="str">
        <f>_xlfn.TEXTJOIN("/",TRUE,"MSV-163MS-"&amp;LD_01[[#This Row],[TRECHO]],_xlfn.XLOOKUP(LD_01[[#This Row],[SIGLA]],'CLASSES DE PROJETOS'!$C$3:$C$37,'CLASSES DE PROJETOS'!$E$3:$E$37))</f>
        <v>MSV-163MS-730-732/14.EL</v>
      </c>
      <c r="I1258" s="6" t="str" cm="1">
        <f t="array" ref="I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J1258" s="6" t="str" cm="1">
        <f t="array" ref="J1258">_xlfn.TEXTJOIN(", ",TRUE,_xlfn.UNIQUE(_xlfn._xlws.FILTER(ARQUIVOS_RECEBIDOS!$F$2:$F$5010,ARQUIVOS_RECEBIDOS!$E$2:$E$5010=LD_01[[#This Row],[DOCUMENTO]])))</f>
        <v>R03</v>
      </c>
      <c r="K1258" s="12" cm="1">
        <f t="array" ref="K1258">_xlfn.UNIQUE(_xlfn._xlws.FILTER(ARQUIVOS[DATA RECEBIMENTO],(ARQUIVOS[DOCUMENTO]=LD_01[[#This Row],[DOCUMENTO]])*(ARQUIVOS[REVISÃO]=LD_01[[#This Row],[REVISÃO]])))</f>
        <v>45838</v>
      </c>
      <c r="L12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M1258" s="6" t="str">
        <f>LD_01[[#This Row],[PASTA]]&amp;"/"&amp;LD_01[[#This Row],[ARQUIVO]]</f>
        <v>MSV-163MS-730-732/14.EL/MSV-163MS-730-732-ACA-EXE-DE-K2-008-R03.pdf</v>
      </c>
    </row>
    <row r="1259" spans="1:13" ht="43.2" hidden="1" x14ac:dyDescent="0.3">
      <c r="A1259" s="6" t="s">
        <v>4031</v>
      </c>
      <c r="B1259" s="6" t="str">
        <f>VLOOKUP(LD_01[[#This Row],[DOCUMENTO]],_xlfn.SORTBY(ARQUIVOS_RECEBIDOS!$E$2:$F$5010,ARQUIVOS_RECEBIDOS!$F$2:$F$5010,-1),2,)</f>
        <v>R03</v>
      </c>
      <c r="C1259" s="15" t="s">
        <v>5987</v>
      </c>
      <c r="D1259" s="6" t="s">
        <v>4322</v>
      </c>
      <c r="E1259" s="8" t="s">
        <v>4187</v>
      </c>
      <c r="F1259" s="8" t="s">
        <v>4337</v>
      </c>
      <c r="G1259" s="6" t="str">
        <f>_xlfn.XLOOKUP(LD_01[[#This Row],[DISCIPLINA]],'CLASSES DE PROJETOS'!$F$3:$F$37,'CLASSES DE PROJETOS'!$C$3:$C$37)</f>
        <v>EL</v>
      </c>
      <c r="H1259" t="str">
        <f>_xlfn.TEXTJOIN("/",TRUE,"MSV-163MS-"&amp;LD_01[[#This Row],[TRECHO]],_xlfn.XLOOKUP(LD_01[[#This Row],[SIGLA]],'CLASSES DE PROJETOS'!$C$3:$C$37,'CLASSES DE PROJETOS'!$E$3:$E$37))</f>
        <v>MSV-163MS-730-732/14.EL</v>
      </c>
      <c r="I1259" s="6" t="str" cm="1">
        <f t="array" ref="I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J1259" s="6" t="str" cm="1">
        <f t="array" ref="J1259">_xlfn.TEXTJOIN(", ",TRUE,_xlfn.UNIQUE(_xlfn._xlws.FILTER(ARQUIVOS_RECEBIDOS!$F$2:$F$5010,ARQUIVOS_RECEBIDOS!$E$2:$E$5010=LD_01[[#This Row],[DOCUMENTO]])))</f>
        <v>R02, R03</v>
      </c>
      <c r="K1259" s="12" cm="1">
        <f t="array" ref="K1259">_xlfn.UNIQUE(_xlfn._xlws.FILTER(ARQUIVOS[DATA RECEBIMENTO],(ARQUIVOS[DOCUMENTO]=LD_01[[#This Row],[DOCUMENTO]])*(ARQUIVOS[REVISÃO]=LD_01[[#This Row],[REVISÃO]])))</f>
        <v>45895</v>
      </c>
      <c r="L12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M1259" s="6" t="str">
        <f>LD_01[[#This Row],[PASTA]]&amp;"/"&amp;LD_01[[#This Row],[ARQUIVO]]</f>
        <v>MSV-163MS-730-732/14.EL/MSV-163MS-730-732-ACA-EXE-DE-K2-009-R03.pdf</v>
      </c>
    </row>
    <row r="1260" spans="1:13" ht="43.2" hidden="1" x14ac:dyDescent="0.3">
      <c r="A1260" s="6" t="s">
        <v>4040</v>
      </c>
      <c r="B1260" s="6" t="str">
        <f>VLOOKUP(LD_01[[#This Row],[DOCUMENTO]],_xlfn.SORTBY(ARQUIVOS_RECEBIDOS!$E$2:$F$5010,ARQUIVOS_RECEBIDOS!$F$2:$F$5010,-1),2,)</f>
        <v>R05</v>
      </c>
      <c r="C1260" s="15" t="s">
        <v>5987</v>
      </c>
      <c r="D1260" s="6" t="s">
        <v>4322</v>
      </c>
      <c r="E1260" s="8" t="s">
        <v>4258</v>
      </c>
      <c r="F1260" s="8" t="s">
        <v>4333</v>
      </c>
      <c r="G1260" s="6" t="str">
        <f>_xlfn.XLOOKUP(LD_01[[#This Row],[DISCIPLINA]],'CLASSES DE PROJETOS'!$F$3:$F$37,'CLASSES DE PROJETOS'!$C$3:$C$37)</f>
        <v>IN</v>
      </c>
      <c r="H1260" t="str">
        <f>_xlfn.TEXTJOIN("/",TRUE,"MSV-163MS-"&amp;LD_01[[#This Row],[TRECHO]],_xlfn.XLOOKUP(LD_01[[#This Row],[SIGLA]],'CLASSES DE PROJETOS'!$C$3:$C$37,'CLASSES DE PROJETOS'!$E$3:$E$37))</f>
        <v>MSV-163MS-730-732/23.IN</v>
      </c>
      <c r="I1260" s="6" t="str" cm="1">
        <f t="array" ref="I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J1260" s="6" t="str" cm="1">
        <f t="array" ref="J1260">_xlfn.TEXTJOIN(", ",TRUE,_xlfn.UNIQUE(_xlfn._xlws.FILTER(ARQUIVOS_RECEBIDOS!$F$2:$F$5010,ARQUIVOS_RECEBIDOS!$E$2:$E$5010=LD_01[[#This Row],[DOCUMENTO]])))</f>
        <v>R04, R05</v>
      </c>
      <c r="K1260" s="12" cm="1">
        <f t="array" ref="K1260">_xlfn.UNIQUE(_xlfn._xlws.FILTER(ARQUIVOS[DATA RECEBIMENTO],(ARQUIVOS[DOCUMENTO]=LD_01[[#This Row],[DOCUMENTO]])*(ARQUIVOS[REVISÃO]=LD_01[[#This Row],[REVISÃO]])))</f>
        <v>45895</v>
      </c>
      <c r="L12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M1260" s="6" t="str">
        <f>LD_01[[#This Row],[PASTA]]&amp;"/"&amp;LD_01[[#This Row],[ARQUIVO]]</f>
        <v>MSV-163MS-730-732/23.IN/MSV-163MS-730-732-ACA-EXE-DE-M1-001-R05.pdf</v>
      </c>
    </row>
    <row r="1261" spans="1:13" ht="43.2" hidden="1" x14ac:dyDescent="0.3">
      <c r="A1261" s="6" t="s">
        <v>4041</v>
      </c>
      <c r="B1261" s="6" t="str">
        <f>VLOOKUP(LD_01[[#This Row],[DOCUMENTO]],_xlfn.SORTBY(ARQUIVOS_RECEBIDOS!$E$2:$F$5010,ARQUIVOS_RECEBIDOS!$F$2:$F$5010,-1),2,)</f>
        <v>R05</v>
      </c>
      <c r="C1261" s="15" t="s">
        <v>5987</v>
      </c>
      <c r="D1261" s="6" t="s">
        <v>4322</v>
      </c>
      <c r="E1261" s="8" t="s">
        <v>4258</v>
      </c>
      <c r="F1261" s="8" t="s">
        <v>4333</v>
      </c>
      <c r="G1261" s="6" t="str">
        <f>_xlfn.XLOOKUP(LD_01[[#This Row],[DISCIPLINA]],'CLASSES DE PROJETOS'!$F$3:$F$37,'CLASSES DE PROJETOS'!$C$3:$C$37)</f>
        <v>IN</v>
      </c>
      <c r="H1261" t="str">
        <f>_xlfn.TEXTJOIN("/",TRUE,"MSV-163MS-"&amp;LD_01[[#This Row],[TRECHO]],_xlfn.XLOOKUP(LD_01[[#This Row],[SIGLA]],'CLASSES DE PROJETOS'!$C$3:$C$37,'CLASSES DE PROJETOS'!$E$3:$E$37))</f>
        <v>MSV-163MS-730-732/23.IN</v>
      </c>
      <c r="I1261" s="6" t="str" cm="1">
        <f t="array" ref="I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J1261" s="6" t="str" cm="1">
        <f t="array" ref="J1261">_xlfn.TEXTJOIN(", ",TRUE,_xlfn.UNIQUE(_xlfn._xlws.FILTER(ARQUIVOS_RECEBIDOS!$F$2:$F$5010,ARQUIVOS_RECEBIDOS!$E$2:$E$5010=LD_01[[#This Row],[DOCUMENTO]])))</f>
        <v>R04, R05</v>
      </c>
      <c r="K1261" s="12" cm="1">
        <f t="array" ref="K1261">_xlfn.UNIQUE(_xlfn._xlws.FILTER(ARQUIVOS[DATA RECEBIMENTO],(ARQUIVOS[DOCUMENTO]=LD_01[[#This Row],[DOCUMENTO]])*(ARQUIVOS[REVISÃO]=LD_01[[#This Row],[REVISÃO]])))</f>
        <v>45895</v>
      </c>
      <c r="L12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M1261" s="6" t="str">
        <f>LD_01[[#This Row],[PASTA]]&amp;"/"&amp;LD_01[[#This Row],[ARQUIVO]]</f>
        <v>MSV-163MS-730-732/23.IN/MSV-163MS-730-732-ACA-EXE-DE-M1-002-R05.pdf</v>
      </c>
    </row>
    <row r="1262" spans="1:13" ht="28.8" hidden="1" x14ac:dyDescent="0.3">
      <c r="A1262" s="6" t="s">
        <v>4050</v>
      </c>
      <c r="B1262" s="6" t="str">
        <f>VLOOKUP(LD_01[[#This Row],[DOCUMENTO]],_xlfn.SORTBY(ARQUIVOS_RECEBIDOS!$E$2:$F$5010,ARQUIVOS_RECEBIDOS!$F$2:$F$5010,-1),2,)</f>
        <v>R04</v>
      </c>
      <c r="C1262" s="15" t="s">
        <v>5987</v>
      </c>
      <c r="D1262" s="6" t="s">
        <v>4322</v>
      </c>
      <c r="E1262" s="8" t="s">
        <v>4168</v>
      </c>
      <c r="F1262" s="8" t="s">
        <v>4334</v>
      </c>
      <c r="G1262" s="6" t="str">
        <f>_xlfn.XLOOKUP(LD_01[[#This Row],[DISCIPLINA]],'CLASSES DE PROJETOS'!$F$3:$F$37,'CLASSES DE PROJETOS'!$C$3:$C$37)</f>
        <v>PA</v>
      </c>
      <c r="H1262" t="str">
        <f>_xlfn.TEXTJOIN("/",TRUE,"MSV-163MS-"&amp;LD_01[[#This Row],[TRECHO]],_xlfn.XLOOKUP(LD_01[[#This Row],[SIGLA]],'CLASSES DE PROJETOS'!$C$3:$C$37,'CLASSES DE PROJETOS'!$E$3:$E$37))</f>
        <v>MSV-163MS-730-732/27.PA</v>
      </c>
      <c r="I1262" s="6" t="str" cm="1">
        <f t="array" ref="I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J1262" s="6" t="str" cm="1">
        <f t="array" ref="J1262">_xlfn.TEXTJOIN(", ",TRUE,_xlfn.UNIQUE(_xlfn._xlws.FILTER(ARQUIVOS_RECEBIDOS!$F$2:$F$5010,ARQUIVOS_RECEBIDOS!$E$2:$E$5010=LD_01[[#This Row],[DOCUMENTO]])))</f>
        <v>R03, R04</v>
      </c>
      <c r="K1262" s="12" cm="1">
        <f t="array" ref="K1262">_xlfn.UNIQUE(_xlfn._xlws.FILTER(ARQUIVOS[DATA RECEBIMENTO],(ARQUIVOS[DOCUMENTO]=LD_01[[#This Row],[DOCUMENTO]])*(ARQUIVOS[REVISÃO]=LD_01[[#This Row],[REVISÃO]])))</f>
        <v>45895</v>
      </c>
      <c r="L12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M1262" s="6" t="str">
        <f>LD_01[[#This Row],[PASTA]]&amp;"/"&amp;LD_01[[#This Row],[ARQUIVO]]</f>
        <v>MSV-163MS-730-732/27.PA/MSV-163MS-730-732-ACA-EXE-DE-N2-001-R04.pdf</v>
      </c>
    </row>
    <row r="1263" spans="1:13" ht="28.8" hidden="1" x14ac:dyDescent="0.3">
      <c r="A1263" s="6" t="s">
        <v>4051</v>
      </c>
      <c r="B1263" s="6" t="str">
        <f>VLOOKUP(LD_01[[#This Row],[DOCUMENTO]],_xlfn.SORTBY(ARQUIVOS_RECEBIDOS!$E$2:$F$5010,ARQUIVOS_RECEBIDOS!$F$2:$F$5010,-1),2,)</f>
        <v>R04</v>
      </c>
      <c r="C1263" s="15" t="s">
        <v>5987</v>
      </c>
      <c r="D1263" s="6" t="s">
        <v>4322</v>
      </c>
      <c r="E1263" s="8" t="s">
        <v>4168</v>
      </c>
      <c r="F1263" s="8" t="s">
        <v>4334</v>
      </c>
      <c r="G1263" s="6" t="str">
        <f>_xlfn.XLOOKUP(LD_01[[#This Row],[DISCIPLINA]],'CLASSES DE PROJETOS'!$F$3:$F$37,'CLASSES DE PROJETOS'!$C$3:$C$37)</f>
        <v>PA</v>
      </c>
      <c r="H1263" t="str">
        <f>_xlfn.TEXTJOIN("/",TRUE,"MSV-163MS-"&amp;LD_01[[#This Row],[TRECHO]],_xlfn.XLOOKUP(LD_01[[#This Row],[SIGLA]],'CLASSES DE PROJETOS'!$C$3:$C$37,'CLASSES DE PROJETOS'!$E$3:$E$37))</f>
        <v>MSV-163MS-730-732/27.PA</v>
      </c>
      <c r="I1263" s="6" t="str" cm="1">
        <f t="array" ref="I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J1263" s="6" t="str" cm="1">
        <f t="array" ref="J1263">_xlfn.TEXTJOIN(", ",TRUE,_xlfn.UNIQUE(_xlfn._xlws.FILTER(ARQUIVOS_RECEBIDOS!$F$2:$F$5010,ARQUIVOS_RECEBIDOS!$E$2:$E$5010=LD_01[[#This Row],[DOCUMENTO]])))</f>
        <v>R03, R04</v>
      </c>
      <c r="K1263" s="12" cm="1">
        <f t="array" ref="K1263">_xlfn.UNIQUE(_xlfn._xlws.FILTER(ARQUIVOS[DATA RECEBIMENTO],(ARQUIVOS[DOCUMENTO]=LD_01[[#This Row],[DOCUMENTO]])*(ARQUIVOS[REVISÃO]=LD_01[[#This Row],[REVISÃO]])))</f>
        <v>45895</v>
      </c>
      <c r="L12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M1263" s="6" t="str">
        <f>LD_01[[#This Row],[PASTA]]&amp;"/"&amp;LD_01[[#This Row],[ARQUIVO]]</f>
        <v>MSV-163MS-730-732/27.PA/MSV-163MS-730-732-ACA-EXE-DE-N2-002-R04.pdf</v>
      </c>
    </row>
    <row r="1264" spans="1:13" ht="28.8" hidden="1" x14ac:dyDescent="0.3">
      <c r="A1264" s="6" t="s">
        <v>4043</v>
      </c>
      <c r="B1264" s="6" t="str">
        <f>VLOOKUP(LD_01[[#This Row],[DOCUMENTO]],_xlfn.SORTBY(ARQUIVOS_RECEBIDOS!$E$2:$F$5010,ARQUIVOS_RECEBIDOS!$F$2:$F$5010,-1),2,)</f>
        <v>R02</v>
      </c>
      <c r="C1264" s="15" t="s">
        <v>5987</v>
      </c>
      <c r="D1264" s="6" t="s">
        <v>4322</v>
      </c>
      <c r="E1264" s="8" t="s">
        <v>4094</v>
      </c>
      <c r="F1264" s="8" t="s">
        <v>4144</v>
      </c>
      <c r="G1264" s="6" t="str">
        <f>_xlfn.XLOOKUP(LD_01[[#This Row],[DISCIPLINA]],'CLASSES DE PROJETOS'!$F$3:$F$37,'CLASSES DE PROJETOS'!$C$3:$C$37)</f>
        <v>DV</v>
      </c>
      <c r="H1264" t="str">
        <f>_xlfn.TEXTJOIN("/",TRUE,"MSV-163MS-"&amp;LD_01[[#This Row],[TRECHO]],_xlfn.XLOOKUP(LD_01[[#This Row],[SIGLA]],'CLASSES DE PROJETOS'!$C$3:$C$37,'CLASSES DE PROJETOS'!$E$3:$E$37))</f>
        <v>MSV-163MS-730-732/12.DV</v>
      </c>
      <c r="I1264" s="6" t="str" cm="1">
        <f t="array" ref="I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J1264" s="6" t="str" cm="1">
        <f t="array" ref="J1264">_xlfn.TEXTJOIN(", ",TRUE,_xlfn.UNIQUE(_xlfn._xlws.FILTER(ARQUIVOS_RECEBIDOS!$F$2:$F$5010,ARQUIVOS_RECEBIDOS!$E$2:$E$5010=LD_01[[#This Row],[DOCUMENTO]])))</f>
        <v>R02</v>
      </c>
      <c r="K1264" s="12" cm="1">
        <f t="array" ref="K1264">_xlfn.UNIQUE(_xlfn._xlws.FILTER(ARQUIVOS[DATA RECEBIMENTO],(ARQUIVOS[DOCUMENTO]=LD_01[[#This Row],[DOCUMENTO]])*(ARQUIVOS[REVISÃO]=LD_01[[#This Row],[REVISÃO]])))</f>
        <v>45838</v>
      </c>
      <c r="L12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M1264" s="6" t="str">
        <f>LD_01[[#This Row],[PASTA]]&amp;"/"&amp;LD_01[[#This Row],[ARQUIVO]]</f>
        <v>MSV-163MS-730-732/12.DV/MSV-163MS-730-732-ACA-EXE-DE-O2-001-R02.pdf</v>
      </c>
    </row>
    <row r="1265" spans="1:13" ht="28.8" hidden="1" x14ac:dyDescent="0.3">
      <c r="A1265" s="6" t="s">
        <v>4044</v>
      </c>
      <c r="B1265" s="6" t="str">
        <f>VLOOKUP(LD_01[[#This Row],[DOCUMENTO]],_xlfn.SORTBY(ARQUIVOS_RECEBIDOS!$E$2:$F$5010,ARQUIVOS_RECEBIDOS!$F$2:$F$5010,-1),2,)</f>
        <v>R02</v>
      </c>
      <c r="C1265" s="15" t="s">
        <v>5987</v>
      </c>
      <c r="D1265" s="6" t="s">
        <v>4322</v>
      </c>
      <c r="E1265" s="8" t="s">
        <v>4094</v>
      </c>
      <c r="F1265" s="8" t="s">
        <v>4144</v>
      </c>
      <c r="G1265" s="6" t="str">
        <f>_xlfn.XLOOKUP(LD_01[[#This Row],[DISCIPLINA]],'CLASSES DE PROJETOS'!$F$3:$F$37,'CLASSES DE PROJETOS'!$C$3:$C$37)</f>
        <v>DV</v>
      </c>
      <c r="H1265" t="str">
        <f>_xlfn.TEXTJOIN("/",TRUE,"MSV-163MS-"&amp;LD_01[[#This Row],[TRECHO]],_xlfn.XLOOKUP(LD_01[[#This Row],[SIGLA]],'CLASSES DE PROJETOS'!$C$3:$C$37,'CLASSES DE PROJETOS'!$E$3:$E$37))</f>
        <v>MSV-163MS-730-732/12.DV</v>
      </c>
      <c r="I1265" s="6" t="str" cm="1">
        <f t="array" ref="I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J1265" s="6" t="str" cm="1">
        <f t="array" ref="J1265">_xlfn.TEXTJOIN(", ",TRUE,_xlfn.UNIQUE(_xlfn._xlws.FILTER(ARQUIVOS_RECEBIDOS!$F$2:$F$5010,ARQUIVOS_RECEBIDOS!$E$2:$E$5010=LD_01[[#This Row],[DOCUMENTO]])))</f>
        <v>R02</v>
      </c>
      <c r="K1265" s="12" cm="1">
        <f t="array" ref="K1265">_xlfn.UNIQUE(_xlfn._xlws.FILTER(ARQUIVOS[DATA RECEBIMENTO],(ARQUIVOS[DOCUMENTO]=LD_01[[#This Row],[DOCUMENTO]])*(ARQUIVOS[REVISÃO]=LD_01[[#This Row],[REVISÃO]])))</f>
        <v>45838</v>
      </c>
      <c r="L12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M1265" s="6" t="str">
        <f>LD_01[[#This Row],[PASTA]]&amp;"/"&amp;LD_01[[#This Row],[ARQUIVO]]</f>
        <v>MSV-163MS-730-732/12.DV/MSV-163MS-730-732-ACA-EXE-DE-O2-002-R02.pdf</v>
      </c>
    </row>
    <row r="1266" spans="1:13" ht="28.8" hidden="1" x14ac:dyDescent="0.3">
      <c r="A1266" s="6" t="s">
        <v>4045</v>
      </c>
      <c r="B1266" s="6" t="str">
        <f>VLOOKUP(LD_01[[#This Row],[DOCUMENTO]],_xlfn.SORTBY(ARQUIVOS_RECEBIDOS!$E$2:$F$5010,ARQUIVOS_RECEBIDOS!$F$2:$F$5010,-1),2,)</f>
        <v>R01</v>
      </c>
      <c r="C1266" s="15" t="s">
        <v>5987</v>
      </c>
      <c r="D1266" s="6" t="s">
        <v>4322</v>
      </c>
      <c r="E1266" s="8" t="s">
        <v>4125</v>
      </c>
      <c r="F1266" s="8" t="s">
        <v>4144</v>
      </c>
      <c r="G1266" s="6" t="str">
        <f>_xlfn.XLOOKUP(LD_01[[#This Row],[DISCIPLINA]],'CLASSES DE PROJETOS'!$F$3:$F$37,'CLASSES DE PROJETOS'!$C$3:$C$37)</f>
        <v>DV</v>
      </c>
      <c r="H1266" t="str">
        <f>_xlfn.TEXTJOIN("/",TRUE,"MSV-163MS-"&amp;LD_01[[#This Row],[TRECHO]],_xlfn.XLOOKUP(LD_01[[#This Row],[SIGLA]],'CLASSES DE PROJETOS'!$C$3:$C$37,'CLASSES DE PROJETOS'!$E$3:$E$37))</f>
        <v>MSV-163MS-730-732/12.DV</v>
      </c>
      <c r="I1266" s="6" t="str" cm="1">
        <f t="array" ref="I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J1266" s="6" t="str" cm="1">
        <f t="array" ref="J1266">_xlfn.TEXTJOIN(", ",TRUE,_xlfn.UNIQUE(_xlfn._xlws.FILTER(ARQUIVOS_RECEBIDOS!$F$2:$F$5010,ARQUIVOS_RECEBIDOS!$E$2:$E$5010=LD_01[[#This Row],[DOCUMENTO]])))</f>
        <v>R01</v>
      </c>
      <c r="K1266" s="12" cm="1">
        <f t="array" ref="K1266">_xlfn.UNIQUE(_xlfn._xlws.FILTER(ARQUIVOS[DATA RECEBIMENTO],(ARQUIVOS[DOCUMENTO]=LD_01[[#This Row],[DOCUMENTO]])*(ARQUIVOS[REVISÃO]=LD_01[[#This Row],[REVISÃO]])))</f>
        <v>45838</v>
      </c>
      <c r="L12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M1266" s="6" t="str">
        <f>LD_01[[#This Row],[PASTA]]&amp;"/"&amp;LD_01[[#This Row],[ARQUIVO]]</f>
        <v>MSV-163MS-730-732/12.DV/MSV-163MS-730-732-ACA-EXE-DE-O2-003-R01.pdf</v>
      </c>
    </row>
    <row r="1267" spans="1:13" ht="28.8" hidden="1" x14ac:dyDescent="0.3">
      <c r="A1267" s="6" t="s">
        <v>4046</v>
      </c>
      <c r="B1267" s="6" t="str">
        <f>VLOOKUP(LD_01[[#This Row],[DOCUMENTO]],_xlfn.SORTBY(ARQUIVOS_RECEBIDOS!$E$2:$F$5010,ARQUIVOS_RECEBIDOS!$F$2:$F$5010,-1),2,)</f>
        <v>R01</v>
      </c>
      <c r="C1267" s="15" t="s">
        <v>5987</v>
      </c>
      <c r="D1267" s="6" t="s">
        <v>4322</v>
      </c>
      <c r="E1267" s="8" t="s">
        <v>4125</v>
      </c>
      <c r="F1267" s="8" t="s">
        <v>4144</v>
      </c>
      <c r="G1267" s="6" t="str">
        <f>_xlfn.XLOOKUP(LD_01[[#This Row],[DISCIPLINA]],'CLASSES DE PROJETOS'!$F$3:$F$37,'CLASSES DE PROJETOS'!$C$3:$C$37)</f>
        <v>DV</v>
      </c>
      <c r="H1267" t="str">
        <f>_xlfn.TEXTJOIN("/",TRUE,"MSV-163MS-"&amp;LD_01[[#This Row],[TRECHO]],_xlfn.XLOOKUP(LD_01[[#This Row],[SIGLA]],'CLASSES DE PROJETOS'!$C$3:$C$37,'CLASSES DE PROJETOS'!$E$3:$E$37))</f>
        <v>MSV-163MS-730-732/12.DV</v>
      </c>
      <c r="I1267" s="6" t="str" cm="1">
        <f t="array" ref="I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J1267" s="6" t="str" cm="1">
        <f t="array" ref="J1267">_xlfn.TEXTJOIN(", ",TRUE,_xlfn.UNIQUE(_xlfn._xlws.FILTER(ARQUIVOS_RECEBIDOS!$F$2:$F$5010,ARQUIVOS_RECEBIDOS!$E$2:$E$5010=LD_01[[#This Row],[DOCUMENTO]])))</f>
        <v>R01</v>
      </c>
      <c r="K1267" s="12" cm="1">
        <f t="array" ref="K1267">_xlfn.UNIQUE(_xlfn._xlws.FILTER(ARQUIVOS[DATA RECEBIMENTO],(ARQUIVOS[DOCUMENTO]=LD_01[[#This Row],[DOCUMENTO]])*(ARQUIVOS[REVISÃO]=LD_01[[#This Row],[REVISÃO]])))</f>
        <v>45838</v>
      </c>
      <c r="L12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M1267" s="6" t="str">
        <f>LD_01[[#This Row],[PASTA]]&amp;"/"&amp;LD_01[[#This Row],[ARQUIVO]]</f>
        <v>MSV-163MS-730-732/12.DV/MSV-163MS-730-732-ACA-EXE-DE-O2-004-R01.pdf</v>
      </c>
    </row>
    <row r="1268" spans="1:13" ht="28.8" hidden="1" x14ac:dyDescent="0.3">
      <c r="A1268" s="6" t="s">
        <v>4047</v>
      </c>
      <c r="B1268" s="6" t="str">
        <f>VLOOKUP(LD_01[[#This Row],[DOCUMENTO]],_xlfn.SORTBY(ARQUIVOS_RECEBIDOS!$E$2:$F$5010,ARQUIVOS_RECEBIDOS!$F$2:$F$5010,-1),2,)</f>
        <v>R01</v>
      </c>
      <c r="C1268" s="15" t="s">
        <v>5987</v>
      </c>
      <c r="D1268" s="6" t="s">
        <v>4322</v>
      </c>
      <c r="E1268" s="8" t="s">
        <v>4126</v>
      </c>
      <c r="F1268" s="8" t="s">
        <v>4144</v>
      </c>
      <c r="G1268" s="6" t="str">
        <f>_xlfn.XLOOKUP(LD_01[[#This Row],[DISCIPLINA]],'CLASSES DE PROJETOS'!$F$3:$F$37,'CLASSES DE PROJETOS'!$C$3:$C$37)</f>
        <v>DV</v>
      </c>
      <c r="H1268" t="str">
        <f>_xlfn.TEXTJOIN("/",TRUE,"MSV-163MS-"&amp;LD_01[[#This Row],[TRECHO]],_xlfn.XLOOKUP(LD_01[[#This Row],[SIGLA]],'CLASSES DE PROJETOS'!$C$3:$C$37,'CLASSES DE PROJETOS'!$E$3:$E$37))</f>
        <v>MSV-163MS-730-732/12.DV</v>
      </c>
      <c r="I1268" s="6" t="str" cm="1">
        <f t="array" ref="I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J1268" s="6" t="str" cm="1">
        <f t="array" ref="J1268">_xlfn.TEXTJOIN(", ",TRUE,_xlfn.UNIQUE(_xlfn._xlws.FILTER(ARQUIVOS_RECEBIDOS!$F$2:$F$5010,ARQUIVOS_RECEBIDOS!$E$2:$E$5010=LD_01[[#This Row],[DOCUMENTO]])))</f>
        <v>R01</v>
      </c>
      <c r="K1268" s="12" cm="1">
        <f t="array" ref="K1268">_xlfn.UNIQUE(_xlfn._xlws.FILTER(ARQUIVOS[DATA RECEBIMENTO],(ARQUIVOS[DOCUMENTO]=LD_01[[#This Row],[DOCUMENTO]])*(ARQUIVOS[REVISÃO]=LD_01[[#This Row],[REVISÃO]])))</f>
        <v>45838</v>
      </c>
      <c r="L12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M1268" s="6" t="str">
        <f>LD_01[[#This Row],[PASTA]]&amp;"/"&amp;LD_01[[#This Row],[ARQUIVO]]</f>
        <v>MSV-163MS-730-732/12.DV/MSV-163MS-730-732-ACA-EXE-DE-O2-005-R01.pdf</v>
      </c>
    </row>
    <row r="1269" spans="1:13" ht="28.8" hidden="1" x14ac:dyDescent="0.3">
      <c r="A1269" s="6" t="s">
        <v>4048</v>
      </c>
      <c r="B1269" s="6" t="str">
        <f>VLOOKUP(LD_01[[#This Row],[DOCUMENTO]],_xlfn.SORTBY(ARQUIVOS_RECEBIDOS!$E$2:$F$5010,ARQUIVOS_RECEBIDOS!$F$2:$F$5010,-1),2,)</f>
        <v>R02</v>
      </c>
      <c r="C1269" s="15" t="s">
        <v>5987</v>
      </c>
      <c r="D1269" s="6" t="s">
        <v>4322</v>
      </c>
      <c r="E1269" s="8" t="s">
        <v>4089</v>
      </c>
      <c r="F1269" s="8" t="s">
        <v>4144</v>
      </c>
      <c r="G1269" s="6" t="str">
        <f>_xlfn.XLOOKUP(LD_01[[#This Row],[DISCIPLINA]],'CLASSES DE PROJETOS'!$F$3:$F$37,'CLASSES DE PROJETOS'!$C$3:$C$37)</f>
        <v>DV</v>
      </c>
      <c r="H1269" t="str">
        <f>_xlfn.TEXTJOIN("/",TRUE,"MSV-163MS-"&amp;LD_01[[#This Row],[TRECHO]],_xlfn.XLOOKUP(LD_01[[#This Row],[SIGLA]],'CLASSES DE PROJETOS'!$C$3:$C$37,'CLASSES DE PROJETOS'!$E$3:$E$37))</f>
        <v>MSV-163MS-730-732/12.DV</v>
      </c>
      <c r="I1269" s="6" t="str" cm="1">
        <f t="array" ref="I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J1269" s="6" t="str" cm="1">
        <f t="array" ref="J1269">_xlfn.TEXTJOIN(", ",TRUE,_xlfn.UNIQUE(_xlfn._xlws.FILTER(ARQUIVOS_RECEBIDOS!$F$2:$F$5010,ARQUIVOS_RECEBIDOS!$E$2:$E$5010=LD_01[[#This Row],[DOCUMENTO]])))</f>
        <v>R02</v>
      </c>
      <c r="K1269" s="12" cm="1">
        <f t="array" ref="K1269">_xlfn.UNIQUE(_xlfn._xlws.FILTER(ARQUIVOS[DATA RECEBIMENTO],(ARQUIVOS[DOCUMENTO]=LD_01[[#This Row],[DOCUMENTO]])*(ARQUIVOS[REVISÃO]=LD_01[[#This Row],[REVISÃO]])))</f>
        <v>45838</v>
      </c>
      <c r="L12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M1269" s="6" t="str">
        <f>LD_01[[#This Row],[PASTA]]&amp;"/"&amp;LD_01[[#This Row],[ARQUIVO]]</f>
        <v>MSV-163MS-730-732/12.DV/MSV-163MS-730-732-ACA-EXE-DE-O2-006-R02.pdf</v>
      </c>
    </row>
    <row r="1270" spans="1:13" ht="28.8" hidden="1" x14ac:dyDescent="0.3">
      <c r="A1270" s="6" t="s">
        <v>3993</v>
      </c>
      <c r="B1270" s="6" t="str">
        <f>VLOOKUP(LD_01[[#This Row],[DOCUMENTO]],_xlfn.SORTBY(ARQUIVOS_RECEBIDOS!$E$2:$F$5010,ARQUIVOS_RECEBIDOS!$F$2:$F$5010,-1),2,)</f>
        <v>R09</v>
      </c>
      <c r="C1270" s="15" t="s">
        <v>5987</v>
      </c>
      <c r="D1270" s="6" t="s">
        <v>4322</v>
      </c>
      <c r="E1270" s="8" t="s">
        <v>4323</v>
      </c>
      <c r="F1270" s="8" t="s">
        <v>4330</v>
      </c>
      <c r="G1270" s="6" t="str">
        <f>_xlfn.XLOOKUP(LD_01[[#This Row],[DISCIPLINA]],'CLASSES DE PROJETOS'!$F$3:$F$37,'CLASSES DE PROJETOS'!$C$3:$C$37)</f>
        <v>TE</v>
      </c>
      <c r="H1270" t="str">
        <f>_xlfn.TEXTJOIN("/",TRUE,"MSV-163MS-"&amp;LD_01[[#This Row],[TRECHO]],_xlfn.XLOOKUP(LD_01[[#This Row],[SIGLA]],'CLASSES DE PROJETOS'!$C$3:$C$37,'CLASSES DE PROJETOS'!$E$3:$E$37))</f>
        <v>MSV-163MS-730-732/32.TE</v>
      </c>
      <c r="I1270" s="6" t="str" cm="1">
        <f t="array" ref="I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J1270" s="6" t="str" cm="1">
        <f t="array" ref="J1270">_xlfn.TEXTJOIN(", ",TRUE,_xlfn.UNIQUE(_xlfn._xlws.FILTER(ARQUIVOS_RECEBIDOS!$F$2:$F$5010,ARQUIVOS_RECEBIDOS!$E$2:$E$5010=LD_01[[#This Row],[DOCUMENTO]])))</f>
        <v>R08, R09</v>
      </c>
      <c r="K1270" s="12" cm="1">
        <f t="array" ref="K1270">_xlfn.UNIQUE(_xlfn._xlws.FILTER(ARQUIVOS[DATA RECEBIMENTO],(ARQUIVOS[DOCUMENTO]=LD_01[[#This Row],[DOCUMENTO]])*(ARQUIVOS[REVISÃO]=LD_01[[#This Row],[REVISÃO]])))</f>
        <v>45895</v>
      </c>
      <c r="L12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M1270" s="6" t="str">
        <f>LD_01[[#This Row],[PASTA]]&amp;"/"&amp;LD_01[[#This Row],[ARQUIVO]]</f>
        <v>MSV-163MS-730-732/32.TE/MSV-163MS-730-732-ACA-EXE-MC-G1-001-R09.pdf</v>
      </c>
    </row>
    <row r="1271" spans="1:13" ht="28.8" hidden="1" x14ac:dyDescent="0.3">
      <c r="A1271" s="6" t="s">
        <v>4007</v>
      </c>
      <c r="B1271" s="6" t="str">
        <f>VLOOKUP(LD_01[[#This Row],[DOCUMENTO]],_xlfn.SORTBY(ARQUIVOS_RECEBIDOS!$E$2:$F$5010,ARQUIVOS_RECEBIDOS!$F$2:$F$5010,-1),2,)</f>
        <v>R05</v>
      </c>
      <c r="C1271" s="15" t="s">
        <v>5987</v>
      </c>
      <c r="D1271" s="6" t="s">
        <v>4322</v>
      </c>
      <c r="E1271" s="8" t="s">
        <v>4081</v>
      </c>
      <c r="F1271" s="8" t="s">
        <v>4142</v>
      </c>
      <c r="G1271" s="6" t="str">
        <f>_xlfn.XLOOKUP(LD_01[[#This Row],[DISCIPLINA]],'CLASSES DE PROJETOS'!$F$3:$F$37,'CLASSES DE PROJETOS'!$C$3:$C$37)</f>
        <v>DR</v>
      </c>
      <c r="H1271" t="str">
        <f>_xlfn.TEXTJOIN("/",TRUE,"MSV-163MS-"&amp;LD_01[[#This Row],[TRECHO]],_xlfn.XLOOKUP(LD_01[[#This Row],[SIGLA]],'CLASSES DE PROJETOS'!$C$3:$C$37,'CLASSES DE PROJETOS'!$E$3:$E$37))</f>
        <v>MSV-163MS-730-732/10.DR</v>
      </c>
      <c r="I1271" s="6" t="str" cm="1">
        <f t="array" ref="I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J1271" s="6" t="str" cm="1">
        <f t="array" ref="J1271">_xlfn.TEXTJOIN(", ",TRUE,_xlfn.UNIQUE(_xlfn._xlws.FILTER(ARQUIVOS_RECEBIDOS!$F$2:$F$5010,ARQUIVOS_RECEBIDOS!$E$2:$E$5010=LD_01[[#This Row],[DOCUMENTO]])))</f>
        <v>R04, R05</v>
      </c>
      <c r="K1271" s="12" cm="1">
        <f t="array" ref="K1271">_xlfn.UNIQUE(_xlfn._xlws.FILTER(ARQUIVOS[DATA RECEBIMENTO],(ARQUIVOS[DOCUMENTO]=LD_01[[#This Row],[DOCUMENTO]])*(ARQUIVOS[REVISÃO]=LD_01[[#This Row],[REVISÃO]])))</f>
        <v>45895</v>
      </c>
      <c r="L12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M1271" s="6" t="str">
        <f>LD_01[[#This Row],[PASTA]]&amp;"/"&amp;LD_01[[#This Row],[ARQUIVO]]</f>
        <v>MSV-163MS-730-732/10.DR/MSV-163MS-730-732-ACA-EXE-MC-H2-001-R05.pdf</v>
      </c>
    </row>
    <row r="1272" spans="1:13" ht="43.2" hidden="1" x14ac:dyDescent="0.3">
      <c r="A1272" s="6" t="s">
        <v>4032</v>
      </c>
      <c r="B1272" s="6" t="str">
        <f>VLOOKUP(LD_01[[#This Row],[DOCUMENTO]],_xlfn.SORTBY(ARQUIVOS_RECEBIDOS!$E$2:$F$5010,ARQUIVOS_RECEBIDOS!$F$2:$F$5010,-1),2,)</f>
        <v>R04</v>
      </c>
      <c r="C1272" s="15" t="s">
        <v>5987</v>
      </c>
      <c r="D1272" s="6" t="s">
        <v>4322</v>
      </c>
      <c r="E1272" s="8" t="s">
        <v>4188</v>
      </c>
      <c r="F1272" s="8" t="s">
        <v>4337</v>
      </c>
      <c r="G1272" s="6" t="str">
        <f>_xlfn.XLOOKUP(LD_01[[#This Row],[DISCIPLINA]],'CLASSES DE PROJETOS'!$F$3:$F$37,'CLASSES DE PROJETOS'!$C$3:$C$37)</f>
        <v>EL</v>
      </c>
      <c r="H1272" t="str">
        <f>_xlfn.TEXTJOIN("/",TRUE,"MSV-163MS-"&amp;LD_01[[#This Row],[TRECHO]],_xlfn.XLOOKUP(LD_01[[#This Row],[SIGLA]],'CLASSES DE PROJETOS'!$C$3:$C$37,'CLASSES DE PROJETOS'!$E$3:$E$37))</f>
        <v>MSV-163MS-730-732/14.EL</v>
      </c>
      <c r="I1272" s="6" t="str" cm="1">
        <f t="array" ref="I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J1272" s="6" t="str" cm="1">
        <f t="array" ref="J1272">_xlfn.TEXTJOIN(", ",TRUE,_xlfn.UNIQUE(_xlfn._xlws.FILTER(ARQUIVOS_RECEBIDOS!$F$2:$F$5010,ARQUIVOS_RECEBIDOS!$E$2:$E$5010=LD_01[[#This Row],[DOCUMENTO]])))</f>
        <v>R03, R04</v>
      </c>
      <c r="K1272" s="12" cm="1">
        <f t="array" ref="K1272">_xlfn.UNIQUE(_xlfn._xlws.FILTER(ARQUIVOS[DATA RECEBIMENTO],(ARQUIVOS[DOCUMENTO]=LD_01[[#This Row],[DOCUMENTO]])*(ARQUIVOS[REVISÃO]=LD_01[[#This Row],[REVISÃO]])))</f>
        <v>45946</v>
      </c>
      <c r="L12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M1272" s="6" t="str">
        <f>LD_01[[#This Row],[PASTA]]&amp;"/"&amp;LD_01[[#This Row],[ARQUIVO]]</f>
        <v>MSV-163MS-730-732/14.EL/MSV-163MS-730-732-ACA-EXE-MC-K2-001-R04.pdf</v>
      </c>
    </row>
    <row r="1273" spans="1:13" ht="43.2" hidden="1" x14ac:dyDescent="0.3">
      <c r="A1273" s="6" t="s">
        <v>4033</v>
      </c>
      <c r="B1273" s="6" t="str">
        <f>VLOOKUP(LD_01[[#This Row],[DOCUMENTO]],_xlfn.SORTBY(ARQUIVOS_RECEBIDOS!$E$2:$F$5010,ARQUIVOS_RECEBIDOS!$F$2:$F$5010,-1),2,)</f>
        <v>R04</v>
      </c>
      <c r="C1273" s="15" t="s">
        <v>5987</v>
      </c>
      <c r="D1273" s="6" t="s">
        <v>4322</v>
      </c>
      <c r="E1273" s="8" t="s">
        <v>4189</v>
      </c>
      <c r="F1273" s="8" t="s">
        <v>4337</v>
      </c>
      <c r="G1273" s="6" t="str">
        <f>_xlfn.XLOOKUP(LD_01[[#This Row],[DISCIPLINA]],'CLASSES DE PROJETOS'!$F$3:$F$37,'CLASSES DE PROJETOS'!$C$3:$C$37)</f>
        <v>EL</v>
      </c>
      <c r="H1273" t="str">
        <f>_xlfn.TEXTJOIN("/",TRUE,"MSV-163MS-"&amp;LD_01[[#This Row],[TRECHO]],_xlfn.XLOOKUP(LD_01[[#This Row],[SIGLA]],'CLASSES DE PROJETOS'!$C$3:$C$37,'CLASSES DE PROJETOS'!$E$3:$E$37))</f>
        <v>MSV-163MS-730-732/14.EL</v>
      </c>
      <c r="I1273" s="6" t="str" cm="1">
        <f t="array" ref="I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J1273" s="6" t="str" cm="1">
        <f t="array" ref="J1273">_xlfn.TEXTJOIN(", ",TRUE,_xlfn.UNIQUE(_xlfn._xlws.FILTER(ARQUIVOS_RECEBIDOS!$F$2:$F$5010,ARQUIVOS_RECEBIDOS!$E$2:$E$5010=LD_01[[#This Row],[DOCUMENTO]])))</f>
        <v>R03, R04</v>
      </c>
      <c r="K1273" s="12" cm="1">
        <f t="array" ref="K1273">_xlfn.UNIQUE(_xlfn._xlws.FILTER(ARQUIVOS[DATA RECEBIMENTO],(ARQUIVOS[DOCUMENTO]=LD_01[[#This Row],[DOCUMENTO]])*(ARQUIVOS[REVISÃO]=LD_01[[#This Row],[REVISÃO]])))</f>
        <v>45946</v>
      </c>
      <c r="L12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M1273" s="6" t="str">
        <f>LD_01[[#This Row],[PASTA]]&amp;"/"&amp;LD_01[[#This Row],[ARQUIVO]]</f>
        <v>MSV-163MS-730-732/14.EL/MSV-163MS-730-732-ACA-EXE-MC-K2-002-R04.pdf</v>
      </c>
    </row>
    <row r="1274" spans="1:13" ht="28.8" hidden="1" x14ac:dyDescent="0.3">
      <c r="A1274" s="6" t="s">
        <v>4008</v>
      </c>
      <c r="B1274" s="6" t="str">
        <f>VLOOKUP(LD_01[[#This Row],[DOCUMENTO]],_xlfn.SORTBY(ARQUIVOS_RECEBIDOS!$E$2:$F$5010,ARQUIVOS_RECEBIDOS!$F$2:$F$5010,-1),2,)</f>
        <v>R01</v>
      </c>
      <c r="C1274" s="15" t="s">
        <v>5987</v>
      </c>
      <c r="D1274" s="6" t="s">
        <v>4322</v>
      </c>
      <c r="E1274" s="8" t="s">
        <v>4082</v>
      </c>
      <c r="F1274" s="8" t="s">
        <v>4142</v>
      </c>
      <c r="G1274" s="6" t="str">
        <f>_xlfn.XLOOKUP(LD_01[[#This Row],[DISCIPLINA]],'CLASSES DE PROJETOS'!$F$3:$F$37,'CLASSES DE PROJETOS'!$C$3:$C$37)</f>
        <v>DR</v>
      </c>
      <c r="H1274" t="str">
        <f>_xlfn.TEXTJOIN("/",TRUE,"MSV-163MS-"&amp;LD_01[[#This Row],[TRECHO]],_xlfn.XLOOKUP(LD_01[[#This Row],[SIGLA]],'CLASSES DE PROJETOS'!$C$3:$C$37,'CLASSES DE PROJETOS'!$E$3:$E$37))</f>
        <v>MSV-163MS-730-732/10.DR</v>
      </c>
      <c r="I1274" s="6" t="str" cm="1">
        <f t="array" ref="I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J1274" s="6" t="str" cm="1">
        <f t="array" ref="J1274">_xlfn.TEXTJOIN(", ",TRUE,_xlfn.UNIQUE(_xlfn._xlws.FILTER(ARQUIVOS_RECEBIDOS!$F$2:$F$5010,ARQUIVOS_RECEBIDOS!$E$2:$E$5010=LD_01[[#This Row],[DOCUMENTO]])))</f>
        <v>R01</v>
      </c>
      <c r="K1274" s="12" cm="1">
        <f t="array" ref="K1274">_xlfn.UNIQUE(_xlfn._xlws.FILTER(ARQUIVOS[DATA RECEBIMENTO],(ARQUIVOS[DOCUMENTO]=LD_01[[#This Row],[DOCUMENTO]])*(ARQUIVOS[REVISÃO]=LD_01[[#This Row],[REVISÃO]])))</f>
        <v>45838</v>
      </c>
      <c r="L12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M1274" s="6" t="str">
        <f>LD_01[[#This Row],[PASTA]]&amp;"/"&amp;LD_01[[#This Row],[ARQUIVO]]</f>
        <v>MSV-163MS-730-732/10.DR/MSV-163MS-730-732-ACA-EXE-MD-H1-001-R01.pdf</v>
      </c>
    </row>
    <row r="1275" spans="1:13" hidden="1" x14ac:dyDescent="0.3">
      <c r="A1275" s="6" t="s">
        <v>4021</v>
      </c>
      <c r="B1275" s="6" t="str">
        <f>VLOOKUP(LD_01[[#This Row],[DOCUMENTO]],_xlfn.SORTBY(ARQUIVOS_RECEBIDOS!$E$2:$F$5010,ARQUIVOS_RECEBIDOS!$F$2:$F$5010,-1),2,)</f>
        <v>R05</v>
      </c>
      <c r="C1275" s="15" t="s">
        <v>5987</v>
      </c>
      <c r="D1275" s="6" t="s">
        <v>4322</v>
      </c>
      <c r="E1275" s="8" t="s">
        <v>4090</v>
      </c>
      <c r="F1275" s="8" t="s">
        <v>4143</v>
      </c>
      <c r="G1275" s="6" t="str">
        <f>_xlfn.XLOOKUP(LD_01[[#This Row],[DISCIPLINA]],'CLASSES DE PROJETOS'!$F$3:$F$37,'CLASSES DE PROJETOS'!$C$3:$C$37)</f>
        <v>PV</v>
      </c>
      <c r="H1275" t="str">
        <f>_xlfn.TEXTJOIN("/",TRUE,"MSV-163MS-"&amp;LD_01[[#This Row],[TRECHO]],_xlfn.XLOOKUP(LD_01[[#This Row],[SIGLA]],'CLASSES DE PROJETOS'!$C$3:$C$37,'CLASSES DE PROJETOS'!$E$3:$E$37))</f>
        <v>MSV-163MS-730-732/28.PV</v>
      </c>
      <c r="I1275" s="6" t="str" cm="1">
        <f t="array" ref="I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J1275" s="6" t="str" cm="1">
        <f t="array" ref="J1275">_xlfn.TEXTJOIN(", ",TRUE,_xlfn.UNIQUE(_xlfn._xlws.FILTER(ARQUIVOS_RECEBIDOS!$F$2:$F$5010,ARQUIVOS_RECEBIDOS!$E$2:$E$5010=LD_01[[#This Row],[DOCUMENTO]])))</f>
        <v>R04, R05</v>
      </c>
      <c r="K1275" s="12" cm="1">
        <f t="array" ref="K1275">_xlfn.UNIQUE(_xlfn._xlws.FILTER(ARQUIVOS[DATA RECEBIMENTO],(ARQUIVOS[DOCUMENTO]=LD_01[[#This Row],[DOCUMENTO]])*(ARQUIVOS[REVISÃO]=LD_01[[#This Row],[REVISÃO]])))</f>
        <v>45895</v>
      </c>
      <c r="L12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M1275" s="6" t="str">
        <f>LD_01[[#This Row],[PASTA]]&amp;"/"&amp;LD_01[[#This Row],[ARQUIVO]]</f>
        <v>MSV-163MS-730-732/28.PV/MSV-163MS-730-732-ACA-EXE-MD-I2-001-R05.pdf</v>
      </c>
    </row>
    <row r="1276" spans="1:13" ht="28.8" hidden="1" x14ac:dyDescent="0.3">
      <c r="A1276" s="6" t="s">
        <v>4075</v>
      </c>
      <c r="B1276" s="6" t="str">
        <f>VLOOKUP(LD_01[[#This Row],[DOCUMENTO]],_xlfn.SORTBY(ARQUIVOS_RECEBIDOS!$E$2:$F$5010,ARQUIVOS_RECEBIDOS!$F$2:$F$5010,-1),2,)</f>
        <v>R00</v>
      </c>
      <c r="C1276" s="15" t="s">
        <v>5987</v>
      </c>
      <c r="D1276" s="6" t="s">
        <v>4322</v>
      </c>
      <c r="E1276" s="8" t="s">
        <v>4245</v>
      </c>
      <c r="F1276" s="8" t="s">
        <v>4331</v>
      </c>
      <c r="G1276" s="6" t="str">
        <f>_xlfn.XLOOKUP(LD_01[[#This Row],[DISCIPLINA]],'CLASSES DE PROJETOS'!$F$3:$F$37,'CLASSES DE PROJETOS'!$C$3:$C$37)</f>
        <v>SI</v>
      </c>
      <c r="H1276" t="str">
        <f>_xlfn.TEXTJOIN("/",TRUE,"MSV-163MS-"&amp;LD_01[[#This Row],[TRECHO]],_xlfn.XLOOKUP(LD_01[[#This Row],[SIGLA]],'CLASSES DE PROJETOS'!$C$3:$C$37,'CLASSES DE PROJETOS'!$E$3:$E$37))</f>
        <v>MSV-163MS-730-732/31.SI</v>
      </c>
      <c r="I1276" s="6" t="str" cm="1">
        <f t="array" ref="I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J1276" s="6" t="str" cm="1">
        <f t="array" ref="J1276">_xlfn.TEXTJOIN(", ",TRUE,_xlfn.UNIQUE(_xlfn._xlws.FILTER(ARQUIVOS_RECEBIDOS!$F$2:$F$5010,ARQUIVOS_RECEBIDOS!$E$2:$E$5010=LD_01[[#This Row],[DOCUMENTO]])))</f>
        <v>R00</v>
      </c>
      <c r="K1276" s="12" cm="1">
        <f t="array" ref="K1276">_xlfn.UNIQUE(_xlfn._xlws.FILTER(ARQUIVOS[DATA RECEBIMENTO],(ARQUIVOS[DOCUMENTO]=LD_01[[#This Row],[DOCUMENTO]])*(ARQUIVOS[REVISÃO]=LD_01[[#This Row],[REVISÃO]])))</f>
        <v>45895</v>
      </c>
      <c r="L12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M1276" s="6" t="str">
        <f>LD_01[[#This Row],[PASTA]]&amp;"/"&amp;LD_01[[#This Row],[ARQUIVO]]</f>
        <v>MSV-163MS-730-732/31.SI/MSV-163MS-730-732-ACA-EXE-MD-J1-001-R00.pdf</v>
      </c>
    </row>
    <row r="1277" spans="1:13" ht="43.2" hidden="1" x14ac:dyDescent="0.3">
      <c r="A1277" s="6" t="s">
        <v>4034</v>
      </c>
      <c r="B1277" s="6" t="str">
        <f>VLOOKUP(LD_01[[#This Row],[DOCUMENTO]],_xlfn.SORTBY(ARQUIVOS_RECEBIDOS!$E$2:$F$5010,ARQUIVOS_RECEBIDOS!$F$2:$F$5010,-1),2,)</f>
        <v>R04</v>
      </c>
      <c r="C1277" s="15" t="s">
        <v>5987</v>
      </c>
      <c r="D1277" s="6" t="s">
        <v>4322</v>
      </c>
      <c r="E1277" s="8" t="s">
        <v>4190</v>
      </c>
      <c r="F1277" s="8" t="s">
        <v>4337</v>
      </c>
      <c r="G1277" s="6" t="str">
        <f>_xlfn.XLOOKUP(LD_01[[#This Row],[DISCIPLINA]],'CLASSES DE PROJETOS'!$F$3:$F$37,'CLASSES DE PROJETOS'!$C$3:$C$37)</f>
        <v>EL</v>
      </c>
      <c r="H1277" t="str">
        <f>_xlfn.TEXTJOIN("/",TRUE,"MSV-163MS-"&amp;LD_01[[#This Row],[TRECHO]],_xlfn.XLOOKUP(LD_01[[#This Row],[SIGLA]],'CLASSES DE PROJETOS'!$C$3:$C$37,'CLASSES DE PROJETOS'!$E$3:$E$37))</f>
        <v>MSV-163MS-730-732/14.EL</v>
      </c>
      <c r="I1277" s="6" t="str" cm="1">
        <f t="array" ref="I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J1277" s="6" t="str" cm="1">
        <f t="array" ref="J1277">_xlfn.TEXTJOIN(", ",TRUE,_xlfn.UNIQUE(_xlfn._xlws.FILTER(ARQUIVOS_RECEBIDOS!$F$2:$F$5010,ARQUIVOS_RECEBIDOS!$E$2:$E$5010=LD_01[[#This Row],[DOCUMENTO]])))</f>
        <v>R02, R04</v>
      </c>
      <c r="K1277" s="12" cm="1">
        <f t="array" ref="K1277">_xlfn.UNIQUE(_xlfn._xlws.FILTER(ARQUIVOS[DATA RECEBIMENTO],(ARQUIVOS[DOCUMENTO]=LD_01[[#This Row],[DOCUMENTO]])*(ARQUIVOS[REVISÃO]=LD_01[[#This Row],[REVISÃO]])))</f>
        <v>45946</v>
      </c>
      <c r="L12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M1277" s="6" t="str">
        <f>LD_01[[#This Row],[PASTA]]&amp;"/"&amp;LD_01[[#This Row],[ARQUIVO]]</f>
        <v>MSV-163MS-730-732/14.EL/MSV-163MS-730-732-ACA-EXE-MD-K2-001-R04.pdf</v>
      </c>
    </row>
    <row r="1278" spans="1:13" ht="28.8" hidden="1" x14ac:dyDescent="0.3">
      <c r="A1278" s="6" t="s">
        <v>4052</v>
      </c>
      <c r="B1278" s="6" t="str">
        <f>VLOOKUP(LD_01[[#This Row],[DOCUMENTO]],_xlfn.SORTBY(ARQUIVOS_RECEBIDOS!$E$2:$F$5010,ARQUIVOS_RECEBIDOS!$F$2:$F$5010,-1),2,)</f>
        <v>R00</v>
      </c>
      <c r="C1278" s="15" t="s">
        <v>5987</v>
      </c>
      <c r="D1278" s="6" t="s">
        <v>4322</v>
      </c>
      <c r="E1278" s="8" t="s">
        <v>4169</v>
      </c>
      <c r="F1278" s="8" t="s">
        <v>4334</v>
      </c>
      <c r="G1278" s="6" t="str">
        <f>_xlfn.XLOOKUP(LD_01[[#This Row],[DISCIPLINA]],'CLASSES DE PROJETOS'!$F$3:$F$37,'CLASSES DE PROJETOS'!$C$3:$C$37)</f>
        <v>PA</v>
      </c>
      <c r="H1278" t="str">
        <f>_xlfn.TEXTJOIN("/",TRUE,"MSV-163MS-"&amp;LD_01[[#This Row],[TRECHO]],_xlfn.XLOOKUP(LD_01[[#This Row],[SIGLA]],'CLASSES DE PROJETOS'!$C$3:$C$37,'CLASSES DE PROJETOS'!$E$3:$E$37))</f>
        <v>MSV-163MS-730-732/27.PA</v>
      </c>
      <c r="I1278" s="6" t="str" cm="1">
        <f t="array" ref="I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J1278" s="6" t="str" cm="1">
        <f t="array" ref="J1278">_xlfn.TEXTJOIN(", ",TRUE,_xlfn.UNIQUE(_xlfn._xlws.FILTER(ARQUIVOS_RECEBIDOS!$F$2:$F$5010,ARQUIVOS_RECEBIDOS!$E$2:$E$5010=LD_01[[#This Row],[DOCUMENTO]])))</f>
        <v>R00</v>
      </c>
      <c r="K1278" s="12" cm="1">
        <f t="array" ref="K1278">_xlfn.UNIQUE(_xlfn._xlws.FILTER(ARQUIVOS[DATA RECEBIMENTO],(ARQUIVOS[DOCUMENTO]=LD_01[[#This Row],[DOCUMENTO]])*(ARQUIVOS[REVISÃO]=LD_01[[#This Row],[REVISÃO]])))</f>
        <v>45838</v>
      </c>
      <c r="L12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M1278" s="6" t="str">
        <f>LD_01[[#This Row],[PASTA]]&amp;"/"&amp;LD_01[[#This Row],[ARQUIVO]]</f>
        <v>MSV-163MS-730-732/27.PA/MSV-163MS-730-732-ACA-EXE-MD-N2-001-R00.pdf</v>
      </c>
    </row>
    <row r="1279" spans="1:13" ht="28.8" hidden="1" x14ac:dyDescent="0.3">
      <c r="A1279" s="6" t="s">
        <v>4049</v>
      </c>
      <c r="B1279" s="6" t="str">
        <f>VLOOKUP(LD_01[[#This Row],[DOCUMENTO]],_xlfn.SORTBY(ARQUIVOS_RECEBIDOS!$E$2:$F$5010,ARQUIVOS_RECEBIDOS!$F$2:$F$5010,-1),2,)</f>
        <v>R00</v>
      </c>
      <c r="C1279" s="15" t="s">
        <v>5987</v>
      </c>
      <c r="D1279" s="6" t="s">
        <v>4322</v>
      </c>
      <c r="E1279" s="8" t="s">
        <v>4167</v>
      </c>
      <c r="F1279" s="8" t="s">
        <v>4144</v>
      </c>
      <c r="G1279" s="6" t="str">
        <f>_xlfn.XLOOKUP(LD_01[[#This Row],[DISCIPLINA]],'CLASSES DE PROJETOS'!$F$3:$F$37,'CLASSES DE PROJETOS'!$C$3:$C$37)</f>
        <v>DV</v>
      </c>
      <c r="H1279" t="str">
        <f>_xlfn.TEXTJOIN("/",TRUE,"MSV-163MS-"&amp;LD_01[[#This Row],[TRECHO]],_xlfn.XLOOKUP(LD_01[[#This Row],[SIGLA]],'CLASSES DE PROJETOS'!$C$3:$C$37,'CLASSES DE PROJETOS'!$E$3:$E$37))</f>
        <v>MSV-163MS-730-732/12.DV</v>
      </c>
      <c r="I1279" s="6" t="str" cm="1">
        <f t="array" ref="I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J1279" s="6" t="str" cm="1">
        <f t="array" ref="J1279">_xlfn.TEXTJOIN(", ",TRUE,_xlfn.UNIQUE(_xlfn._xlws.FILTER(ARQUIVOS_RECEBIDOS!$F$2:$F$5010,ARQUIVOS_RECEBIDOS!$E$2:$E$5010=LD_01[[#This Row],[DOCUMENTO]])))</f>
        <v>R00</v>
      </c>
      <c r="K1279" s="12" cm="1">
        <f t="array" ref="K1279">_xlfn.UNIQUE(_xlfn._xlws.FILTER(ARQUIVOS[DATA RECEBIMENTO],(ARQUIVOS[DOCUMENTO]=LD_01[[#This Row],[DOCUMENTO]])*(ARQUIVOS[REVISÃO]=LD_01[[#This Row],[REVISÃO]])))</f>
        <v>45838</v>
      </c>
      <c r="L12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M1279" s="6" t="str">
        <f>LD_01[[#This Row],[PASTA]]&amp;"/"&amp;LD_01[[#This Row],[ARQUIVO]]</f>
        <v>MSV-163MS-730-732/12.DV/MSV-163MS-730-732-ACA-EXE-MD-O2-001-R00.pdf</v>
      </c>
    </row>
    <row r="1280" spans="1:13" hidden="1" x14ac:dyDescent="0.3">
      <c r="A1280" s="6" t="s">
        <v>4022</v>
      </c>
      <c r="B1280" s="6" t="str">
        <f>VLOOKUP(LD_01[[#This Row],[DOCUMENTO]],_xlfn.SORTBY(ARQUIVOS_RECEBIDOS!$E$2:$F$5010,ARQUIVOS_RECEBIDOS!$F$2:$F$5010,-1),2,)</f>
        <v>R03</v>
      </c>
      <c r="C1280" s="15" t="s">
        <v>5987</v>
      </c>
      <c r="D1280" s="6" t="s">
        <v>4322</v>
      </c>
      <c r="E1280" s="8" t="s">
        <v>4091</v>
      </c>
      <c r="F1280" s="8" t="s">
        <v>4143</v>
      </c>
      <c r="G1280" s="6" t="str">
        <f>_xlfn.XLOOKUP(LD_01[[#This Row],[DISCIPLINA]],'CLASSES DE PROJETOS'!$F$3:$F$37,'CLASSES DE PROJETOS'!$C$3:$C$37)</f>
        <v>PV</v>
      </c>
      <c r="H1280" t="str">
        <f>_xlfn.TEXTJOIN("/",TRUE,"MSV-163MS-"&amp;LD_01[[#This Row],[TRECHO]],_xlfn.XLOOKUP(LD_01[[#This Row],[SIGLA]],'CLASSES DE PROJETOS'!$C$3:$C$37,'CLASSES DE PROJETOS'!$E$3:$E$37))</f>
        <v>MSV-163MS-730-732/28.PV</v>
      </c>
      <c r="I1280" s="6" t="str" cm="1">
        <f t="array" ref="I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J1280" s="6" t="str" cm="1">
        <f t="array" ref="J1280">_xlfn.TEXTJOIN(", ",TRUE,_xlfn.UNIQUE(_xlfn._xlws.FILTER(ARQUIVOS_RECEBIDOS!$F$2:$F$5010,ARQUIVOS_RECEBIDOS!$E$2:$E$5010=LD_01[[#This Row],[DOCUMENTO]])))</f>
        <v>R02, R03</v>
      </c>
      <c r="K1280" s="12" cm="1">
        <f t="array" ref="K1280">_xlfn.UNIQUE(_xlfn._xlws.FILTER(ARQUIVOS[DATA RECEBIMENTO],(ARQUIVOS[DOCUMENTO]=LD_01[[#This Row],[DOCUMENTO]])*(ARQUIVOS[REVISÃO]=LD_01[[#This Row],[REVISÃO]])))</f>
        <v>45895</v>
      </c>
      <c r="L12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M1280" s="6" t="str">
        <f>LD_01[[#This Row],[PASTA]]&amp;"/"&amp;LD_01[[#This Row],[ARQUIVO]]</f>
        <v>MSV-163MS-730-732/28.PV/MSV-163MS-730-732-ACA-EXE-NS-C3-001-R03.pdf</v>
      </c>
    </row>
    <row r="1281" spans="1:13" hidden="1" x14ac:dyDescent="0.3">
      <c r="A1281" s="6" t="s">
        <v>3975</v>
      </c>
      <c r="B1281" s="6" t="str">
        <f>VLOOKUP(LD_01[[#This Row],[DOCUMENTO]],_xlfn.SORTBY(ARQUIVOS_RECEBIDOS!$E$2:$F$5010,ARQUIVOS_RECEBIDOS!$F$2:$F$5010,-1),2,)</f>
        <v>R01</v>
      </c>
      <c r="C1281" s="15" t="s">
        <v>5987</v>
      </c>
      <c r="D1281" s="6" t="s">
        <v>4322</v>
      </c>
      <c r="E1281" s="8" t="s">
        <v>4165</v>
      </c>
      <c r="F1281" s="8" t="s">
        <v>4163</v>
      </c>
      <c r="G1281" s="6" t="str">
        <f>_xlfn.XLOOKUP(LD_01[[#This Row],[DISCIPLINA]],'CLASSES DE PROJETOS'!$F$3:$F$37,'CLASSES DE PROJETOS'!$C$3:$C$37)</f>
        <v>TO</v>
      </c>
      <c r="H1281" t="str">
        <f>_xlfn.TEXTJOIN("/",TRUE,"MSV-163MS-"&amp;LD_01[[#This Row],[TRECHO]],_xlfn.XLOOKUP(LD_01[[#This Row],[SIGLA]],'CLASSES DE PROJETOS'!$C$3:$C$37,'CLASSES DE PROJETOS'!$E$3:$E$37))</f>
        <v>MSV-163MS-730-732/33.TO</v>
      </c>
      <c r="I1281" s="6" t="str" cm="1">
        <f t="array" ref="I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J1281" s="6" t="str" cm="1">
        <f t="array" ref="J1281">_xlfn.TEXTJOIN(", ",TRUE,_xlfn.UNIQUE(_xlfn._xlws.FILTER(ARQUIVOS_RECEBIDOS!$F$2:$F$5010,ARQUIVOS_RECEBIDOS!$E$2:$E$5010=LD_01[[#This Row],[DOCUMENTO]])))</f>
        <v>R01</v>
      </c>
      <c r="K1281" s="12" cm="1">
        <f t="array" ref="K1281">_xlfn.UNIQUE(_xlfn._xlws.FILTER(ARQUIVOS[DATA RECEBIMENTO],(ARQUIVOS[DOCUMENTO]=LD_01[[#This Row],[DOCUMENTO]])*(ARQUIVOS[REVISÃO]=LD_01[[#This Row],[REVISÃO]])))</f>
        <v>45838</v>
      </c>
      <c r="L12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M1281" s="6" t="str">
        <f>LD_01[[#This Row],[PASTA]]&amp;"/"&amp;LD_01[[#This Row],[ARQUIVO]]</f>
        <v>MSV-163MS-730-732/33.TO/MSV-163MS-730-732-ACA-EXE-RT-C1-001-R01.pdf</v>
      </c>
    </row>
    <row r="1282" spans="1:13" ht="28.8" hidden="1" x14ac:dyDescent="0.3">
      <c r="A1282" s="6" t="s">
        <v>4038</v>
      </c>
      <c r="B1282" s="6" t="str">
        <f>VLOOKUP(LD_01[[#This Row],[DOCUMENTO]],_xlfn.SORTBY(ARQUIVOS_RECEBIDOS!$E$2:$F$5010,ARQUIVOS_RECEBIDOS!$F$2:$F$5010,-1),2,)</f>
        <v>R02</v>
      </c>
      <c r="C1282" s="15" t="s">
        <v>5987</v>
      </c>
      <c r="D1282" s="6" t="s">
        <v>4322</v>
      </c>
      <c r="E1282" s="8" t="s">
        <v>4092</v>
      </c>
      <c r="F1282" s="8" t="s">
        <v>4332</v>
      </c>
      <c r="G1282" s="6" t="str">
        <f>_xlfn.XLOOKUP(LD_01[[#This Row],[DISCIPLINA]],'CLASSES DE PROJETOS'!$F$3:$F$37,'CLASSES DE PROJETOS'!$C$3:$C$37)</f>
        <v>GG</v>
      </c>
      <c r="H1282" t="str">
        <f>_xlfn.TEXTJOIN("/",TRUE,"MSV-163MS-"&amp;LD_01[[#This Row],[TRECHO]],_xlfn.XLOOKUP(LD_01[[#This Row],[SIGLA]],'CLASSES DE PROJETOS'!$C$3:$C$37,'CLASSES DE PROJETOS'!$E$3:$E$37))</f>
        <v>MSV-163MS-730-732/19.GG</v>
      </c>
      <c r="I1282" s="6" t="str" cm="1">
        <f t="array" ref="I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J1282" s="6" t="str" cm="1">
        <f t="array" ref="J1282">_xlfn.TEXTJOIN(", ",TRUE,_xlfn.UNIQUE(_xlfn._xlws.FILTER(ARQUIVOS_RECEBIDOS!$F$2:$F$5010,ARQUIVOS_RECEBIDOS!$E$2:$E$5010=LD_01[[#This Row],[DOCUMENTO]])))</f>
        <v>R02</v>
      </c>
      <c r="K1282" s="12" cm="1">
        <f t="array" ref="K1282">_xlfn.UNIQUE(_xlfn._xlws.FILTER(ARQUIVOS[DATA RECEBIMENTO],(ARQUIVOS[DOCUMENTO]=LD_01[[#This Row],[DOCUMENTO]])*(ARQUIVOS[REVISÃO]=LD_01[[#This Row],[REVISÃO]])))</f>
        <v>45838</v>
      </c>
      <c r="L12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M1282" s="6" t="str">
        <f>LD_01[[#This Row],[PASTA]]&amp;"/"&amp;LD_01[[#This Row],[ARQUIVO]]</f>
        <v>MSV-163MS-730-732/19.GG/MSV-163MS-730-732-ACA-EXE-RT-D3-001-R02.pdf</v>
      </c>
    </row>
    <row r="1283" spans="1:13" ht="28.8" hidden="1" x14ac:dyDescent="0.3">
      <c r="A1283" s="6" t="s">
        <v>4039</v>
      </c>
      <c r="B1283" s="6" t="str">
        <f>VLOOKUP(LD_01[[#This Row],[DOCUMENTO]],_xlfn.SORTBY(ARQUIVOS_RECEBIDOS!$E$2:$F$5010,ARQUIVOS_RECEBIDOS!$F$2:$F$5010,-1),2,)</f>
        <v>R00</v>
      </c>
      <c r="C1283" s="15" t="s">
        <v>5987</v>
      </c>
      <c r="D1283" s="6" t="s">
        <v>4322</v>
      </c>
      <c r="E1283" s="8" t="s">
        <v>4103</v>
      </c>
      <c r="F1283" s="8" t="s">
        <v>4332</v>
      </c>
      <c r="G1283" s="6" t="str">
        <f>_xlfn.XLOOKUP(LD_01[[#This Row],[DISCIPLINA]],'CLASSES DE PROJETOS'!$F$3:$F$37,'CLASSES DE PROJETOS'!$C$3:$C$37)</f>
        <v>GG</v>
      </c>
      <c r="H1283" t="str">
        <f>_xlfn.TEXTJOIN("/",TRUE,"MSV-163MS-"&amp;LD_01[[#This Row],[TRECHO]],_xlfn.XLOOKUP(LD_01[[#This Row],[SIGLA]],'CLASSES DE PROJETOS'!$C$3:$C$37,'CLASSES DE PROJETOS'!$E$3:$E$37))</f>
        <v>MSV-163MS-730-732/19.GG</v>
      </c>
      <c r="I1283" s="6" t="str" cm="1">
        <f t="array" ref="I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J1283" s="6" t="str" cm="1">
        <f t="array" ref="J1283">_xlfn.TEXTJOIN(", ",TRUE,_xlfn.UNIQUE(_xlfn._xlws.FILTER(ARQUIVOS_RECEBIDOS!$F$2:$F$5010,ARQUIVOS_RECEBIDOS!$E$2:$E$5010=LD_01[[#This Row],[DOCUMENTO]])))</f>
        <v>R00</v>
      </c>
      <c r="K1283" s="12" cm="1">
        <f t="array" ref="K1283">_xlfn.UNIQUE(_xlfn._xlws.FILTER(ARQUIVOS[DATA RECEBIMENTO],(ARQUIVOS[DOCUMENTO]=LD_01[[#This Row],[DOCUMENTO]])*(ARQUIVOS[REVISÃO]=LD_01[[#This Row],[REVISÃO]])))</f>
        <v>45838</v>
      </c>
      <c r="L12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M1283" s="6" t="str">
        <f>LD_01[[#This Row],[PASTA]]&amp;"/"&amp;LD_01[[#This Row],[ARQUIVO]]</f>
        <v>MSV-163MS-730-732/19.GG/MSV-163MS-730-732-ACA-EXE-RT-D3-101-R00.pdf</v>
      </c>
    </row>
    <row r="1284" spans="1:13" ht="28.8" hidden="1" x14ac:dyDescent="0.3">
      <c r="A1284" s="6" t="s">
        <v>4053</v>
      </c>
      <c r="B1284" s="6" t="str">
        <f>VLOOKUP(LD_01[[#This Row],[DOCUMENTO]],_xlfn.SORTBY(ARQUIVOS_RECEBIDOS!$E$2:$F$5010,ARQUIVOS_RECEBIDOS!$F$2:$F$5010,-1),2,)</f>
        <v>R00</v>
      </c>
      <c r="C1284" s="15" t="s">
        <v>5987</v>
      </c>
      <c r="D1284" s="6" t="s">
        <v>4322</v>
      </c>
      <c r="E1284" s="8" t="s">
        <v>4173</v>
      </c>
      <c r="F1284" s="8" t="s">
        <v>4335</v>
      </c>
      <c r="G1284" s="6" t="str">
        <f>_xlfn.XLOOKUP(LD_01[[#This Row],[DISCIPLINA]],'CLASSES DE PROJETOS'!$F$3:$F$37,'CLASSES DE PROJETOS'!$C$3:$C$37)</f>
        <v>TR</v>
      </c>
      <c r="H1284" t="str">
        <f>_xlfn.TEXTJOIN("/",TRUE,"MSV-163MS-"&amp;LD_01[[#This Row],[TRECHO]],_xlfn.XLOOKUP(LD_01[[#This Row],[SIGLA]],'CLASSES DE PROJETOS'!$C$3:$C$37,'CLASSES DE PROJETOS'!$E$3:$E$37))</f>
        <v>MSV-163MS-730-732/34.TR</v>
      </c>
      <c r="I1284" s="6" t="str" cm="1">
        <f t="array" ref="I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J1284" s="6" t="str" cm="1">
        <f t="array" ref="J1284">_xlfn.TEXTJOIN(", ",TRUE,_xlfn.UNIQUE(_xlfn._xlws.FILTER(ARQUIVOS_RECEBIDOS!$F$2:$F$5010,ARQUIVOS_RECEBIDOS!$E$2:$E$5010=LD_01[[#This Row],[DOCUMENTO]])))</f>
        <v>R00</v>
      </c>
      <c r="K1284" s="12" cm="1">
        <f t="array" ref="K1284">_xlfn.UNIQUE(_xlfn._xlws.FILTER(ARQUIVOS[DATA RECEBIMENTO],(ARQUIVOS[DOCUMENTO]=LD_01[[#This Row],[DOCUMENTO]])*(ARQUIVOS[REVISÃO]=LD_01[[#This Row],[REVISÃO]])))</f>
        <v>45838</v>
      </c>
      <c r="L12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M1284" s="6" t="str">
        <f>LD_01[[#This Row],[PASTA]]&amp;"/"&amp;LD_01[[#This Row],[ARQUIVO]]</f>
        <v>MSV-163MS-730-732/34.TR/MSV-163MS-730-732-ACA-EXE-RT-E1-001-R00.pdf</v>
      </c>
    </row>
    <row r="1285" spans="1:13" ht="28.8" hidden="1" x14ac:dyDescent="0.3">
      <c r="A1285" s="6" t="s">
        <v>3983</v>
      </c>
      <c r="B1285" s="6" t="str">
        <f>VLOOKUP(LD_01[[#This Row],[DOCUMENTO]],_xlfn.SORTBY(ARQUIVOS_RECEBIDOS!$E$2:$F$5010,ARQUIVOS_RECEBIDOS!$F$2:$F$5010,-1),2,)</f>
        <v>R03</v>
      </c>
      <c r="C1285" s="15" t="s">
        <v>5987</v>
      </c>
      <c r="D1285" s="6" t="s">
        <v>4322</v>
      </c>
      <c r="E1285" s="8" t="s">
        <v>4259</v>
      </c>
      <c r="F1285" s="8" t="s">
        <v>4141</v>
      </c>
      <c r="G1285" s="6" t="str">
        <f>_xlfn.XLOOKUP(LD_01[[#This Row],[DISCIPLINA]],'CLASSES DE PROJETOS'!$F$3:$F$37,'CLASSES DE PROJETOS'!$C$3:$C$37)</f>
        <v>GE</v>
      </c>
      <c r="H1285" t="str">
        <f>_xlfn.TEXTJOIN("/",TRUE,"MSV-163MS-"&amp;LD_01[[#This Row],[TRECHO]],_xlfn.XLOOKUP(LD_01[[#This Row],[SIGLA]],'CLASSES DE PROJETOS'!$C$3:$C$37,'CLASSES DE PROJETOS'!$E$3:$E$37))</f>
        <v>MSV-163MS-730-732/18.GE</v>
      </c>
      <c r="I1285" s="6" t="str" cm="1">
        <f t="array" ref="I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J1285" s="6" t="str" cm="1">
        <f t="array" ref="J1285">_xlfn.TEXTJOIN(", ",TRUE,_xlfn.UNIQUE(_xlfn._xlws.FILTER(ARQUIVOS_RECEBIDOS!$F$2:$F$5010,ARQUIVOS_RECEBIDOS!$E$2:$E$5010=LD_01[[#This Row],[DOCUMENTO]])))</f>
        <v>R02, R03</v>
      </c>
      <c r="K1285" s="12" cm="1">
        <f t="array" ref="K1285">_xlfn.UNIQUE(_xlfn._xlws.FILTER(ARQUIVOS[DATA RECEBIMENTO],(ARQUIVOS[DOCUMENTO]=LD_01[[#This Row],[DOCUMENTO]])*(ARQUIVOS[REVISÃO]=LD_01[[#This Row],[REVISÃO]])))</f>
        <v>45895</v>
      </c>
      <c r="L12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M1285" s="6" t="str">
        <f>LD_01[[#This Row],[PASTA]]&amp;"/"&amp;LD_01[[#This Row],[ARQUIVO]]</f>
        <v>MSV-163MS-730-732/18.GE/MSV-163MS-730-732-ACA-EXE-RT-F1-001-R03.pdf</v>
      </c>
    </row>
    <row r="1286" spans="1:13" ht="43.2" hidden="1" x14ac:dyDescent="0.3">
      <c r="A1286" s="6" t="s">
        <v>4042</v>
      </c>
      <c r="B1286" s="6" t="str">
        <f>VLOOKUP(LD_01[[#This Row],[DOCUMENTO]],_xlfn.SORTBY(ARQUIVOS_RECEBIDOS!$E$2:$F$5010,ARQUIVOS_RECEBIDOS!$F$2:$F$5010,-1),2,)</f>
        <v>R01</v>
      </c>
      <c r="C1286" s="15" t="s">
        <v>5987</v>
      </c>
      <c r="D1286" s="6" t="s">
        <v>4322</v>
      </c>
      <c r="E1286" s="8" t="s">
        <v>4166</v>
      </c>
      <c r="F1286" s="8" t="s">
        <v>4333</v>
      </c>
      <c r="G1286" s="6" t="str">
        <f>_xlfn.XLOOKUP(LD_01[[#This Row],[DISCIPLINA]],'CLASSES DE PROJETOS'!$F$3:$F$37,'CLASSES DE PROJETOS'!$C$3:$C$37)</f>
        <v>IN</v>
      </c>
      <c r="H1286" s="6" t="str">
        <f>_xlfn.TEXTJOIN("/",TRUE,"MSV-163MS-"&amp;LD_01[[#This Row],[TRECHO]],_xlfn.XLOOKUP(LD_01[[#This Row],[SIGLA]],'CLASSES DE PROJETOS'!$C$3:$C$37,'CLASSES DE PROJETOS'!$E$3:$E$37))</f>
        <v>MSV-163MS-730-732/23.IN</v>
      </c>
      <c r="I1286" s="6" t="str" cm="1">
        <f t="array" ref="I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J1286" s="6" t="str" cm="1">
        <f t="array" ref="J1286">_xlfn.TEXTJOIN(", ",TRUE,_xlfn.UNIQUE(_xlfn._xlws.FILTER(ARQUIVOS_RECEBIDOS!$F$2:$F$5010,ARQUIVOS_RECEBIDOS!$E$2:$E$5010=LD_01[[#This Row],[DOCUMENTO]])))</f>
        <v>R01</v>
      </c>
      <c r="K1286" s="12" cm="1">
        <f t="array" ref="K1286">_xlfn.UNIQUE(_xlfn._xlws.FILTER(ARQUIVOS[DATA RECEBIMENTO],(ARQUIVOS[DOCUMENTO]=LD_01[[#This Row],[DOCUMENTO]])*(ARQUIVOS[REVISÃO]=LD_01[[#This Row],[REVISÃO]])))</f>
        <v>45838</v>
      </c>
      <c r="L12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M1286" s="6" t="str">
        <f>LD_01[[#This Row],[PASTA]]&amp;"/"&amp;LD_01[[#This Row],[ARQUIVO]]</f>
        <v>MSV-163MS-730-732/23.IN/MSV-163MS-730-732-ACA-EXE-RT-M1-001-R01.pdf</v>
      </c>
    </row>
    <row r="1287" spans="1:13" ht="28.8" hidden="1" x14ac:dyDescent="0.3">
      <c r="A1287" s="6" t="s">
        <v>5898</v>
      </c>
      <c r="B1287" s="6" t="str">
        <f>VLOOKUP(LD_01[[#This Row],[DOCUMENTO]],_xlfn.SORTBY(ARQUIVOS_RECEBIDOS!$E$2:$F$5010,ARQUIVOS_RECEBIDOS!$F$2:$F$5010,-1),2,)</f>
        <v>R00.2</v>
      </c>
      <c r="C1287" s="15" t="s">
        <v>5988</v>
      </c>
      <c r="D1287" s="6" t="s">
        <v>5914</v>
      </c>
      <c r="E1287" s="8" t="s">
        <v>5916</v>
      </c>
      <c r="F1287" s="8" t="s">
        <v>4163</v>
      </c>
      <c r="G1287" s="6" t="str">
        <f>_xlfn.XLOOKUP(LD_01[[#This Row],[DISCIPLINA]],'CLASSES DE PROJETOS'!$F$3:$F$37,'CLASSES DE PROJETOS'!$C$3:$C$37)</f>
        <v>TO</v>
      </c>
      <c r="H1287" s="6" t="str">
        <f>_xlfn.TEXTJOIN("/",TRUE,"MSV-163MS-"&amp;LD_01[[#This Row],[TRECHO]],_xlfn.XLOOKUP(LD_01[[#This Row],[SIGLA]],'CLASSES DE PROJETOS'!$C$3:$C$37,'CLASSES DE PROJETOS'!$E$3:$E$37))</f>
        <v>MSV-163MS-647-650/33.TO</v>
      </c>
      <c r="I1287" s="6" t="str" cm="1">
        <f t="array" ref="I1287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J1287" s="6" t="str" cm="1">
        <f t="array" ref="J1287">_xlfn.TEXTJOIN(", ",TRUE,_xlfn.UNIQUE(_xlfn._xlws.FILTER(ARQUIVOS_RECEBIDOS!$F$2:$F$5010,ARQUIVOS_RECEBIDOS!$E$2:$E$5010=LD_01[[#This Row],[DOCUMENTO]])))</f>
        <v>R00.2</v>
      </c>
      <c r="K1287" s="12" cm="1">
        <f t="array" ref="K1287">_xlfn.UNIQUE(_xlfn._xlws.FILTER(ARQUIVOS[DATA RECEBIMENTO],(ARQUIVOS[DOCUMENTO]=LD_01[[#This Row],[DOCUMENTO]])*(ARQUIVOS[REVISÃO]=LD_01[[#This Row],[REVISÃO]])))</f>
        <v>46043</v>
      </c>
      <c r="L12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M1287" s="6" t="str">
        <f>LD_01[[#This Row],[PASTA]]&amp;"/"&amp;LD_01[[#This Row],[ARQUIVO]]</f>
        <v>MSV-163MS-647-650/33.TO/MSV-163MS-647-650-ACA-EXE-DE-C1-001-R00.2.pdf</v>
      </c>
    </row>
    <row r="1288" spans="1:13" ht="28.8" hidden="1" x14ac:dyDescent="0.3">
      <c r="A1288" s="6" t="s">
        <v>5899</v>
      </c>
      <c r="B1288" s="6" t="str">
        <f>VLOOKUP(LD_01[[#This Row],[DOCUMENTO]],_xlfn.SORTBY(ARQUIVOS_RECEBIDOS!$E$2:$F$5010,ARQUIVOS_RECEBIDOS!$F$2:$F$5010,-1),2,)</f>
        <v>R00.2</v>
      </c>
      <c r="C1288" s="15" t="s">
        <v>5988</v>
      </c>
      <c r="D1288" s="6" t="s">
        <v>5914</v>
      </c>
      <c r="E1288" s="8" t="s">
        <v>5916</v>
      </c>
      <c r="F1288" s="8" t="s">
        <v>4163</v>
      </c>
      <c r="G1288" s="6" t="str">
        <f>_xlfn.XLOOKUP(LD_01[[#This Row],[DISCIPLINA]],'CLASSES DE PROJETOS'!$F$3:$F$37,'CLASSES DE PROJETOS'!$C$3:$C$37)</f>
        <v>TO</v>
      </c>
      <c r="H1288" s="6" t="str">
        <f>_xlfn.TEXTJOIN("/",TRUE,"MSV-163MS-"&amp;LD_01[[#This Row],[TRECHO]],_xlfn.XLOOKUP(LD_01[[#This Row],[SIGLA]],'CLASSES DE PROJETOS'!$C$3:$C$37,'CLASSES DE PROJETOS'!$E$3:$E$37))</f>
        <v>MSV-163MS-647-650/33.TO</v>
      </c>
      <c r="I1288" s="6" t="str" cm="1">
        <f t="array" ref="I1288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J1288" s="6" t="str" cm="1">
        <f t="array" ref="J1288">_xlfn.TEXTJOIN(", ",TRUE,_xlfn.UNIQUE(_xlfn._xlws.FILTER(ARQUIVOS_RECEBIDOS!$F$2:$F$5010,ARQUIVOS_RECEBIDOS!$E$2:$E$5010=LD_01[[#This Row],[DOCUMENTO]])))</f>
        <v>R00.2</v>
      </c>
      <c r="K1288" s="12" cm="1">
        <f t="array" ref="K1288">_xlfn.UNIQUE(_xlfn._xlws.FILTER(ARQUIVOS[DATA RECEBIMENTO],(ARQUIVOS[DOCUMENTO]=LD_01[[#This Row],[DOCUMENTO]])*(ARQUIVOS[REVISÃO]=LD_01[[#This Row],[REVISÃO]])))</f>
        <v>46043</v>
      </c>
      <c r="L12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M1288" s="6" t="str">
        <f>LD_01[[#This Row],[PASTA]]&amp;"/"&amp;LD_01[[#This Row],[ARQUIVO]]</f>
        <v>MSV-163MS-647-650/33.TO/MSV-163MS-647-650-ACA-EXE-DE-C1-002-R00.2.pdf</v>
      </c>
    </row>
    <row r="1289" spans="1:13" ht="28.8" hidden="1" x14ac:dyDescent="0.3">
      <c r="A1289" s="6" t="s">
        <v>5900</v>
      </c>
      <c r="B1289" s="6" t="str">
        <f>VLOOKUP(LD_01[[#This Row],[DOCUMENTO]],_xlfn.SORTBY(ARQUIVOS_RECEBIDOS!$E$2:$F$5010,ARQUIVOS_RECEBIDOS!$F$2:$F$5010,-1),2,)</f>
        <v>R00.2</v>
      </c>
      <c r="C1289" s="15" t="s">
        <v>5988</v>
      </c>
      <c r="D1289" s="6" t="s">
        <v>5914</v>
      </c>
      <c r="E1289" s="8" t="s">
        <v>5916</v>
      </c>
      <c r="F1289" s="8" t="s">
        <v>4163</v>
      </c>
      <c r="G1289" s="6" t="str">
        <f>_xlfn.XLOOKUP(LD_01[[#This Row],[DISCIPLINA]],'CLASSES DE PROJETOS'!$F$3:$F$37,'CLASSES DE PROJETOS'!$C$3:$C$37)</f>
        <v>TO</v>
      </c>
      <c r="H1289" s="6" t="str">
        <f>_xlfn.TEXTJOIN("/",TRUE,"MSV-163MS-"&amp;LD_01[[#This Row],[TRECHO]],_xlfn.XLOOKUP(LD_01[[#This Row],[SIGLA]],'CLASSES DE PROJETOS'!$C$3:$C$37,'CLASSES DE PROJETOS'!$E$3:$E$37))</f>
        <v>MSV-163MS-647-650/33.TO</v>
      </c>
      <c r="I1289" s="6" t="str" cm="1">
        <f t="array" ref="I1289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J1289" s="6" t="str" cm="1">
        <f t="array" ref="J1289">_xlfn.TEXTJOIN(", ",TRUE,_xlfn.UNIQUE(_xlfn._xlws.FILTER(ARQUIVOS_RECEBIDOS!$F$2:$F$5010,ARQUIVOS_RECEBIDOS!$E$2:$E$5010=LD_01[[#This Row],[DOCUMENTO]])))</f>
        <v>R00.2</v>
      </c>
      <c r="K1289" s="12" cm="1">
        <f t="array" ref="K1289">_xlfn.UNIQUE(_xlfn._xlws.FILTER(ARQUIVOS[DATA RECEBIMENTO],(ARQUIVOS[DOCUMENTO]=LD_01[[#This Row],[DOCUMENTO]])*(ARQUIVOS[REVISÃO]=LD_01[[#This Row],[REVISÃO]])))</f>
        <v>46043</v>
      </c>
      <c r="L12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M1289" s="6" t="str">
        <f>LD_01[[#This Row],[PASTA]]&amp;"/"&amp;LD_01[[#This Row],[ARQUIVO]]</f>
        <v>MSV-163MS-647-650/33.TO/MSV-163MS-647-650-ACA-EXE-DE-C1-003-R00.2.pdf</v>
      </c>
    </row>
    <row r="1290" spans="1:13" ht="28.8" hidden="1" x14ac:dyDescent="0.3">
      <c r="A1290" s="6" t="s">
        <v>5901</v>
      </c>
      <c r="B1290" s="6" t="str">
        <f>VLOOKUP(LD_01[[#This Row],[DOCUMENTO]],_xlfn.SORTBY(ARQUIVOS_RECEBIDOS!$E$2:$F$5010,ARQUIVOS_RECEBIDOS!$F$2:$F$5010,-1),2,)</f>
        <v>R00.2</v>
      </c>
      <c r="C1290" s="15" t="s">
        <v>5988</v>
      </c>
      <c r="D1290" s="6" t="s">
        <v>5914</v>
      </c>
      <c r="E1290" s="8" t="s">
        <v>5916</v>
      </c>
      <c r="F1290" s="8" t="s">
        <v>4163</v>
      </c>
      <c r="G1290" s="6" t="str">
        <f>_xlfn.XLOOKUP(LD_01[[#This Row],[DISCIPLINA]],'CLASSES DE PROJETOS'!$F$3:$F$37,'CLASSES DE PROJETOS'!$C$3:$C$37)</f>
        <v>TO</v>
      </c>
      <c r="H1290" s="6" t="str">
        <f>_xlfn.TEXTJOIN("/",TRUE,"MSV-163MS-"&amp;LD_01[[#This Row],[TRECHO]],_xlfn.XLOOKUP(LD_01[[#This Row],[SIGLA]],'CLASSES DE PROJETOS'!$C$3:$C$37,'CLASSES DE PROJETOS'!$E$3:$E$37))</f>
        <v>MSV-163MS-647-650/33.TO</v>
      </c>
      <c r="I1290" s="6" t="str" cm="1">
        <f t="array" ref="I1290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J1290" s="6" t="str" cm="1">
        <f t="array" ref="J1290">_xlfn.TEXTJOIN(", ",TRUE,_xlfn.UNIQUE(_xlfn._xlws.FILTER(ARQUIVOS_RECEBIDOS!$F$2:$F$5010,ARQUIVOS_RECEBIDOS!$E$2:$E$5010=LD_01[[#This Row],[DOCUMENTO]])))</f>
        <v>R00.2</v>
      </c>
      <c r="K1290" s="12" cm="1">
        <f t="array" ref="K1290">_xlfn.UNIQUE(_xlfn._xlws.FILTER(ARQUIVOS[DATA RECEBIMENTO],(ARQUIVOS[DOCUMENTO]=LD_01[[#This Row],[DOCUMENTO]])*(ARQUIVOS[REVISÃO]=LD_01[[#This Row],[REVISÃO]])))</f>
        <v>46043</v>
      </c>
      <c r="L12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M1290" s="6" t="str">
        <f>LD_01[[#This Row],[PASTA]]&amp;"/"&amp;LD_01[[#This Row],[ARQUIVO]]</f>
        <v>MSV-163MS-647-650/33.TO/MSV-163MS-647-650-ACA-EXE-DE-C1-004-R00.2.pdf</v>
      </c>
    </row>
    <row r="1291" spans="1:13" ht="28.8" hidden="1" x14ac:dyDescent="0.3">
      <c r="A1291" s="6" t="s">
        <v>5816</v>
      </c>
      <c r="B1291" s="6" t="str">
        <f>VLOOKUP(LD_01[[#This Row],[DOCUMENTO]],_xlfn.SORTBY(ARQUIVOS_RECEBIDOS!$E$2:$F$5010,ARQUIVOS_RECEBIDOS!$F$2:$F$5010,-1),2,)</f>
        <v>R00.3</v>
      </c>
      <c r="C1291" s="15" t="s">
        <v>5988</v>
      </c>
      <c r="D1291" s="6" t="s">
        <v>5914</v>
      </c>
      <c r="E1291" s="8" t="s">
        <v>5917</v>
      </c>
      <c r="F1291" s="8" t="s">
        <v>4332</v>
      </c>
      <c r="G1291" s="6" t="str">
        <f>_xlfn.XLOOKUP(LD_01[[#This Row],[DISCIPLINA]],'CLASSES DE PROJETOS'!$F$3:$F$37,'CLASSES DE PROJETOS'!$C$3:$C$37)</f>
        <v>GG</v>
      </c>
      <c r="H1291" s="6" t="str">
        <f>_xlfn.TEXTJOIN("/",TRUE,"MSV-163MS-"&amp;LD_01[[#This Row],[TRECHO]],_xlfn.XLOOKUP(LD_01[[#This Row],[SIGLA]],'CLASSES DE PROJETOS'!$C$3:$C$37,'CLASSES DE PROJETOS'!$E$3:$E$37))</f>
        <v>MSV-163MS-647-650/19.GG</v>
      </c>
      <c r="I1291" s="6" t="str" cm="1">
        <f t="array" ref="I1291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J1291" s="6" t="str" cm="1">
        <f t="array" ref="J1291">_xlfn.TEXTJOIN(", ",TRUE,_xlfn.UNIQUE(_xlfn._xlws.FILTER(ARQUIVOS_RECEBIDOS!$F$2:$F$5010,ARQUIVOS_RECEBIDOS!$E$2:$E$5010=LD_01[[#This Row],[DOCUMENTO]])))</f>
        <v>R00.3</v>
      </c>
      <c r="K1291" s="12" cm="1">
        <f t="array" ref="K1291">_xlfn.UNIQUE(_xlfn._xlws.FILTER(ARQUIVOS[DATA RECEBIMENTO],(ARQUIVOS[DOCUMENTO]=LD_01[[#This Row],[DOCUMENTO]])*(ARQUIVOS[REVISÃO]=LD_01[[#This Row],[REVISÃO]])))</f>
        <v>46043</v>
      </c>
      <c r="L12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M1291" s="6" t="str">
        <f>LD_01[[#This Row],[PASTA]]&amp;"/"&amp;LD_01[[#This Row],[ARQUIVO]]</f>
        <v>MSV-163MS-647-650/19.GG/MSV-163MS-647-650-ACA-EXE-DE-D3-001-R00.3.pdf</v>
      </c>
    </row>
    <row r="1292" spans="1:13" ht="28.8" hidden="1" x14ac:dyDescent="0.3">
      <c r="A1292" s="6" t="s">
        <v>5817</v>
      </c>
      <c r="B1292" s="6" t="str">
        <f>VLOOKUP(LD_01[[#This Row],[DOCUMENTO]],_xlfn.SORTBY(ARQUIVOS_RECEBIDOS!$E$2:$F$5010,ARQUIVOS_RECEBIDOS!$F$2:$F$5010,-1),2,)</f>
        <v>R00.3</v>
      </c>
      <c r="C1292" s="15" t="s">
        <v>5988</v>
      </c>
      <c r="D1292" s="6" t="s">
        <v>5914</v>
      </c>
      <c r="E1292" s="8" t="s">
        <v>5917</v>
      </c>
      <c r="F1292" s="8" t="s">
        <v>4332</v>
      </c>
      <c r="G1292" s="6" t="str">
        <f>_xlfn.XLOOKUP(LD_01[[#This Row],[DISCIPLINA]],'CLASSES DE PROJETOS'!$F$3:$F$37,'CLASSES DE PROJETOS'!$C$3:$C$37)</f>
        <v>GG</v>
      </c>
      <c r="H1292" s="6" t="str">
        <f>_xlfn.TEXTJOIN("/",TRUE,"MSV-163MS-"&amp;LD_01[[#This Row],[TRECHO]],_xlfn.XLOOKUP(LD_01[[#This Row],[SIGLA]],'CLASSES DE PROJETOS'!$C$3:$C$37,'CLASSES DE PROJETOS'!$E$3:$E$37))</f>
        <v>MSV-163MS-647-650/19.GG</v>
      </c>
      <c r="I1292" s="6" t="str" cm="1">
        <f t="array" ref="I1292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J1292" s="6" t="str" cm="1">
        <f t="array" ref="J1292">_xlfn.TEXTJOIN(", ",TRUE,_xlfn.UNIQUE(_xlfn._xlws.FILTER(ARQUIVOS_RECEBIDOS!$F$2:$F$5010,ARQUIVOS_RECEBIDOS!$E$2:$E$5010=LD_01[[#This Row],[DOCUMENTO]])))</f>
        <v>R00.3</v>
      </c>
      <c r="K1292" s="12" cm="1">
        <f t="array" ref="K1292">_xlfn.UNIQUE(_xlfn._xlws.FILTER(ARQUIVOS[DATA RECEBIMENTO],(ARQUIVOS[DOCUMENTO]=LD_01[[#This Row],[DOCUMENTO]])*(ARQUIVOS[REVISÃO]=LD_01[[#This Row],[REVISÃO]])))</f>
        <v>46043</v>
      </c>
      <c r="L12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M1292" s="6" t="str">
        <f>LD_01[[#This Row],[PASTA]]&amp;"/"&amp;LD_01[[#This Row],[ARQUIVO]]</f>
        <v>MSV-163MS-647-650/19.GG/MSV-163MS-647-650-ACA-EXE-DE-D3-002-R00.3.pdf</v>
      </c>
    </row>
    <row r="1293" spans="1:13" ht="28.8" hidden="1" x14ac:dyDescent="0.3">
      <c r="A1293" s="6" t="s">
        <v>5818</v>
      </c>
      <c r="B1293" s="6" t="str">
        <f>VLOOKUP(LD_01[[#This Row],[DOCUMENTO]],_xlfn.SORTBY(ARQUIVOS_RECEBIDOS!$E$2:$F$5010,ARQUIVOS_RECEBIDOS!$F$2:$F$5010,-1),2,)</f>
        <v>R00.3</v>
      </c>
      <c r="C1293" s="15" t="s">
        <v>5988</v>
      </c>
      <c r="D1293" s="6" t="s">
        <v>5914</v>
      </c>
      <c r="E1293" s="8" t="s">
        <v>5917</v>
      </c>
      <c r="F1293" s="8" t="s">
        <v>4332</v>
      </c>
      <c r="G1293" s="6" t="str">
        <f>_xlfn.XLOOKUP(LD_01[[#This Row],[DISCIPLINA]],'CLASSES DE PROJETOS'!$F$3:$F$37,'CLASSES DE PROJETOS'!$C$3:$C$37)</f>
        <v>GG</v>
      </c>
      <c r="H1293" s="6" t="str">
        <f>_xlfn.TEXTJOIN("/",TRUE,"MSV-163MS-"&amp;LD_01[[#This Row],[TRECHO]],_xlfn.XLOOKUP(LD_01[[#This Row],[SIGLA]],'CLASSES DE PROJETOS'!$C$3:$C$37,'CLASSES DE PROJETOS'!$E$3:$E$37))</f>
        <v>MSV-163MS-647-650/19.GG</v>
      </c>
      <c r="I1293" s="6" t="str" cm="1">
        <f t="array" ref="I1293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J1293" s="6" t="str" cm="1">
        <f t="array" ref="J1293">_xlfn.TEXTJOIN(", ",TRUE,_xlfn.UNIQUE(_xlfn._xlws.FILTER(ARQUIVOS_RECEBIDOS!$F$2:$F$5010,ARQUIVOS_RECEBIDOS!$E$2:$E$5010=LD_01[[#This Row],[DOCUMENTO]])))</f>
        <v>R00.3</v>
      </c>
      <c r="K1293" s="12" cm="1">
        <f t="array" ref="K1293">_xlfn.UNIQUE(_xlfn._xlws.FILTER(ARQUIVOS[DATA RECEBIMENTO],(ARQUIVOS[DOCUMENTO]=LD_01[[#This Row],[DOCUMENTO]])*(ARQUIVOS[REVISÃO]=LD_01[[#This Row],[REVISÃO]])))</f>
        <v>46043</v>
      </c>
      <c r="L12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M1293" s="6" t="str">
        <f>LD_01[[#This Row],[PASTA]]&amp;"/"&amp;LD_01[[#This Row],[ARQUIVO]]</f>
        <v>MSV-163MS-647-650/19.GG/MSV-163MS-647-650-ACA-EXE-DE-D3-003-R00.3.pdf</v>
      </c>
    </row>
    <row r="1294" spans="1:13" ht="28.8" hidden="1" x14ac:dyDescent="0.3">
      <c r="A1294" s="6" t="s">
        <v>5819</v>
      </c>
      <c r="B1294" s="6" t="str">
        <f>VLOOKUP(LD_01[[#This Row],[DOCUMENTO]],_xlfn.SORTBY(ARQUIVOS_RECEBIDOS!$E$2:$F$5010,ARQUIVOS_RECEBIDOS!$F$2:$F$5010,-1),2,)</f>
        <v>R00.3</v>
      </c>
      <c r="C1294" s="15" t="s">
        <v>5988</v>
      </c>
      <c r="D1294" s="6" t="s">
        <v>5914</v>
      </c>
      <c r="E1294" s="8" t="s">
        <v>5917</v>
      </c>
      <c r="F1294" s="8" t="s">
        <v>4332</v>
      </c>
      <c r="G1294" s="6" t="str">
        <f>_xlfn.XLOOKUP(LD_01[[#This Row],[DISCIPLINA]],'CLASSES DE PROJETOS'!$F$3:$F$37,'CLASSES DE PROJETOS'!$C$3:$C$37)</f>
        <v>GG</v>
      </c>
      <c r="H1294" s="6" t="str">
        <f>_xlfn.TEXTJOIN("/",TRUE,"MSV-163MS-"&amp;LD_01[[#This Row],[TRECHO]],_xlfn.XLOOKUP(LD_01[[#This Row],[SIGLA]],'CLASSES DE PROJETOS'!$C$3:$C$37,'CLASSES DE PROJETOS'!$E$3:$E$37))</f>
        <v>MSV-163MS-647-650/19.GG</v>
      </c>
      <c r="I1294" s="6" t="str" cm="1">
        <f t="array" ref="I1294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J1294" s="6" t="str" cm="1">
        <f t="array" ref="J1294">_xlfn.TEXTJOIN(", ",TRUE,_xlfn.UNIQUE(_xlfn._xlws.FILTER(ARQUIVOS_RECEBIDOS!$F$2:$F$5010,ARQUIVOS_RECEBIDOS!$E$2:$E$5010=LD_01[[#This Row],[DOCUMENTO]])))</f>
        <v>R00.3</v>
      </c>
      <c r="K1294" s="12" cm="1">
        <f t="array" ref="K1294">_xlfn.UNIQUE(_xlfn._xlws.FILTER(ARQUIVOS[DATA RECEBIMENTO],(ARQUIVOS[DOCUMENTO]=LD_01[[#This Row],[DOCUMENTO]])*(ARQUIVOS[REVISÃO]=LD_01[[#This Row],[REVISÃO]])))</f>
        <v>46043</v>
      </c>
      <c r="L12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M1294" s="6" t="str">
        <f>LD_01[[#This Row],[PASTA]]&amp;"/"&amp;LD_01[[#This Row],[ARQUIVO]]</f>
        <v>MSV-163MS-647-650/19.GG/MSV-163MS-647-650-ACA-EXE-DE-D3-004-R00.3.pdf</v>
      </c>
    </row>
    <row r="1295" spans="1:13" ht="28.8" hidden="1" x14ac:dyDescent="0.3">
      <c r="A1295" s="6" t="s">
        <v>5820</v>
      </c>
      <c r="B1295" s="6" t="str">
        <f>VLOOKUP(LD_01[[#This Row],[DOCUMENTO]],_xlfn.SORTBY(ARQUIVOS_RECEBIDOS!$E$2:$F$5010,ARQUIVOS_RECEBIDOS!$F$2:$F$5010,-1),2,)</f>
        <v>R00.3</v>
      </c>
      <c r="C1295" s="15" t="s">
        <v>5988</v>
      </c>
      <c r="D1295" s="6" t="s">
        <v>5914</v>
      </c>
      <c r="E1295" s="8" t="s">
        <v>5917</v>
      </c>
      <c r="F1295" s="8" t="s">
        <v>4332</v>
      </c>
      <c r="G1295" s="6" t="str">
        <f>_xlfn.XLOOKUP(LD_01[[#This Row],[DISCIPLINA]],'CLASSES DE PROJETOS'!$F$3:$F$37,'CLASSES DE PROJETOS'!$C$3:$C$37)</f>
        <v>GG</v>
      </c>
      <c r="H1295" s="6" t="str">
        <f>_xlfn.TEXTJOIN("/",TRUE,"MSV-163MS-"&amp;LD_01[[#This Row],[TRECHO]],_xlfn.XLOOKUP(LD_01[[#This Row],[SIGLA]],'CLASSES DE PROJETOS'!$C$3:$C$37,'CLASSES DE PROJETOS'!$E$3:$E$37))</f>
        <v>MSV-163MS-647-650/19.GG</v>
      </c>
      <c r="I1295" s="6" t="str" cm="1">
        <f t="array" ref="I1295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J1295" s="6" t="str" cm="1">
        <f t="array" ref="J1295">_xlfn.TEXTJOIN(", ",TRUE,_xlfn.UNIQUE(_xlfn._xlws.FILTER(ARQUIVOS_RECEBIDOS!$F$2:$F$5010,ARQUIVOS_RECEBIDOS!$E$2:$E$5010=LD_01[[#This Row],[DOCUMENTO]])))</f>
        <v>R00.3</v>
      </c>
      <c r="K1295" s="12" cm="1">
        <f t="array" ref="K1295">_xlfn.UNIQUE(_xlfn._xlws.FILTER(ARQUIVOS[DATA RECEBIMENTO],(ARQUIVOS[DOCUMENTO]=LD_01[[#This Row],[DOCUMENTO]])*(ARQUIVOS[REVISÃO]=LD_01[[#This Row],[REVISÃO]])))</f>
        <v>46043</v>
      </c>
      <c r="L12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M1295" s="6" t="str">
        <f>LD_01[[#This Row],[PASTA]]&amp;"/"&amp;LD_01[[#This Row],[ARQUIVO]]</f>
        <v>MSV-163MS-647-650/19.GG/MSV-163MS-647-650-ACA-EXE-DE-D3-005-R00.3.pdf</v>
      </c>
    </row>
    <row r="1296" spans="1:13" ht="28.8" hidden="1" x14ac:dyDescent="0.3">
      <c r="A1296" s="6" t="s">
        <v>5821</v>
      </c>
      <c r="B1296" s="6" t="str">
        <f>VLOOKUP(LD_01[[#This Row],[DOCUMENTO]],_xlfn.SORTBY(ARQUIVOS_RECEBIDOS!$E$2:$F$5010,ARQUIVOS_RECEBIDOS!$F$2:$F$5010,-1),2,)</f>
        <v>R00.3</v>
      </c>
      <c r="C1296" s="15" t="s">
        <v>5988</v>
      </c>
      <c r="D1296" s="6" t="s">
        <v>5914</v>
      </c>
      <c r="E1296" s="8" t="s">
        <v>5917</v>
      </c>
      <c r="F1296" s="8" t="s">
        <v>4332</v>
      </c>
      <c r="G1296" s="6" t="str">
        <f>_xlfn.XLOOKUP(LD_01[[#This Row],[DISCIPLINA]],'CLASSES DE PROJETOS'!$F$3:$F$37,'CLASSES DE PROJETOS'!$C$3:$C$37)</f>
        <v>GG</v>
      </c>
      <c r="H1296" s="6" t="str">
        <f>_xlfn.TEXTJOIN("/",TRUE,"MSV-163MS-"&amp;LD_01[[#This Row],[TRECHO]],_xlfn.XLOOKUP(LD_01[[#This Row],[SIGLA]],'CLASSES DE PROJETOS'!$C$3:$C$37,'CLASSES DE PROJETOS'!$E$3:$E$37))</f>
        <v>MSV-163MS-647-650/19.GG</v>
      </c>
      <c r="I1296" s="6" t="str" cm="1">
        <f t="array" ref="I1296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J1296" s="6" t="str" cm="1">
        <f t="array" ref="J1296">_xlfn.TEXTJOIN(", ",TRUE,_xlfn.UNIQUE(_xlfn._xlws.FILTER(ARQUIVOS_RECEBIDOS!$F$2:$F$5010,ARQUIVOS_RECEBIDOS!$E$2:$E$5010=LD_01[[#This Row],[DOCUMENTO]])))</f>
        <v>R00.3</v>
      </c>
      <c r="K1296" s="12" cm="1">
        <f t="array" ref="K1296">_xlfn.UNIQUE(_xlfn._xlws.FILTER(ARQUIVOS[DATA RECEBIMENTO],(ARQUIVOS[DOCUMENTO]=LD_01[[#This Row],[DOCUMENTO]])*(ARQUIVOS[REVISÃO]=LD_01[[#This Row],[REVISÃO]])))</f>
        <v>46043</v>
      </c>
      <c r="L12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M1296" s="6" t="str">
        <f>LD_01[[#This Row],[PASTA]]&amp;"/"&amp;LD_01[[#This Row],[ARQUIVO]]</f>
        <v>MSV-163MS-647-650/19.GG/MSV-163MS-647-650-ACA-EXE-DE-D3-006-R00.3.pdf</v>
      </c>
    </row>
    <row r="1297" spans="1:13" ht="28.8" hidden="1" x14ac:dyDescent="0.3">
      <c r="A1297" s="6" t="s">
        <v>5822</v>
      </c>
      <c r="B1297" s="6" t="str">
        <f>VLOOKUP(LD_01[[#This Row],[DOCUMENTO]],_xlfn.SORTBY(ARQUIVOS_RECEBIDOS!$E$2:$F$5010,ARQUIVOS_RECEBIDOS!$F$2:$F$5010,-1),2,)</f>
        <v>R00.3</v>
      </c>
      <c r="C1297" s="15" t="s">
        <v>5988</v>
      </c>
      <c r="D1297" s="6" t="s">
        <v>5914</v>
      </c>
      <c r="E1297" s="8" t="s">
        <v>5917</v>
      </c>
      <c r="F1297" s="8" t="s">
        <v>4332</v>
      </c>
      <c r="G1297" s="6" t="str">
        <f>_xlfn.XLOOKUP(LD_01[[#This Row],[DISCIPLINA]],'CLASSES DE PROJETOS'!$F$3:$F$37,'CLASSES DE PROJETOS'!$C$3:$C$37)</f>
        <v>GG</v>
      </c>
      <c r="H1297" s="6" t="str">
        <f>_xlfn.TEXTJOIN("/",TRUE,"MSV-163MS-"&amp;LD_01[[#This Row],[TRECHO]],_xlfn.XLOOKUP(LD_01[[#This Row],[SIGLA]],'CLASSES DE PROJETOS'!$C$3:$C$37,'CLASSES DE PROJETOS'!$E$3:$E$37))</f>
        <v>MSV-163MS-647-650/19.GG</v>
      </c>
      <c r="I1297" s="6" t="str" cm="1">
        <f t="array" ref="I1297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J1297" s="6" t="str" cm="1">
        <f t="array" ref="J1297">_xlfn.TEXTJOIN(", ",TRUE,_xlfn.UNIQUE(_xlfn._xlws.FILTER(ARQUIVOS_RECEBIDOS!$F$2:$F$5010,ARQUIVOS_RECEBIDOS!$E$2:$E$5010=LD_01[[#This Row],[DOCUMENTO]])))</f>
        <v>R00.3</v>
      </c>
      <c r="K1297" s="12" cm="1">
        <f t="array" ref="K1297">_xlfn.UNIQUE(_xlfn._xlws.FILTER(ARQUIVOS[DATA RECEBIMENTO],(ARQUIVOS[DOCUMENTO]=LD_01[[#This Row],[DOCUMENTO]])*(ARQUIVOS[REVISÃO]=LD_01[[#This Row],[REVISÃO]])))</f>
        <v>46043</v>
      </c>
      <c r="L12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M1297" s="6" t="str">
        <f>LD_01[[#This Row],[PASTA]]&amp;"/"&amp;LD_01[[#This Row],[ARQUIVO]]</f>
        <v>MSV-163MS-647-650/19.GG/MSV-163MS-647-650-ACA-EXE-DE-D3-007-R00.3.pdf</v>
      </c>
    </row>
    <row r="1298" spans="1:13" ht="28.8" hidden="1" x14ac:dyDescent="0.3">
      <c r="A1298" s="6" t="s">
        <v>5823</v>
      </c>
      <c r="B1298" s="6" t="str">
        <f>VLOOKUP(LD_01[[#This Row],[DOCUMENTO]],_xlfn.SORTBY(ARQUIVOS_RECEBIDOS!$E$2:$F$5010,ARQUIVOS_RECEBIDOS!$F$2:$F$5010,-1),2,)</f>
        <v>R00.3</v>
      </c>
      <c r="C1298" s="15" t="s">
        <v>5988</v>
      </c>
      <c r="D1298" s="6" t="s">
        <v>5914</v>
      </c>
      <c r="E1298" s="8" t="s">
        <v>5917</v>
      </c>
      <c r="F1298" s="8" t="s">
        <v>4332</v>
      </c>
      <c r="G1298" s="6" t="str">
        <f>_xlfn.XLOOKUP(LD_01[[#This Row],[DISCIPLINA]],'CLASSES DE PROJETOS'!$F$3:$F$37,'CLASSES DE PROJETOS'!$C$3:$C$37)</f>
        <v>GG</v>
      </c>
      <c r="H1298" s="6" t="str">
        <f>_xlfn.TEXTJOIN("/",TRUE,"MSV-163MS-"&amp;LD_01[[#This Row],[TRECHO]],_xlfn.XLOOKUP(LD_01[[#This Row],[SIGLA]],'CLASSES DE PROJETOS'!$C$3:$C$37,'CLASSES DE PROJETOS'!$E$3:$E$37))</f>
        <v>MSV-163MS-647-650/19.GG</v>
      </c>
      <c r="I1298" s="6" t="str" cm="1">
        <f t="array" ref="I1298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J1298" s="6" t="str" cm="1">
        <f t="array" ref="J1298">_xlfn.TEXTJOIN(", ",TRUE,_xlfn.UNIQUE(_xlfn._xlws.FILTER(ARQUIVOS_RECEBIDOS!$F$2:$F$5010,ARQUIVOS_RECEBIDOS!$E$2:$E$5010=LD_01[[#This Row],[DOCUMENTO]])))</f>
        <v>R00.3</v>
      </c>
      <c r="K1298" s="12" cm="1">
        <f t="array" ref="K1298">_xlfn.UNIQUE(_xlfn._xlws.FILTER(ARQUIVOS[DATA RECEBIMENTO],(ARQUIVOS[DOCUMENTO]=LD_01[[#This Row],[DOCUMENTO]])*(ARQUIVOS[REVISÃO]=LD_01[[#This Row],[REVISÃO]])))</f>
        <v>46043</v>
      </c>
      <c r="L12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M1298" s="6" t="str">
        <f>LD_01[[#This Row],[PASTA]]&amp;"/"&amp;LD_01[[#This Row],[ARQUIVO]]</f>
        <v>MSV-163MS-647-650/19.GG/MSV-163MS-647-650-ACA-EXE-DE-D3-008-R00.3.pdf</v>
      </c>
    </row>
    <row r="1299" spans="1:13" ht="28.8" hidden="1" x14ac:dyDescent="0.3">
      <c r="A1299" s="6" t="s">
        <v>5824</v>
      </c>
      <c r="B1299" s="6" t="str">
        <f>VLOOKUP(LD_01[[#This Row],[DOCUMENTO]],_xlfn.SORTBY(ARQUIVOS_RECEBIDOS!$E$2:$F$5010,ARQUIVOS_RECEBIDOS!$F$2:$F$5010,-1),2,)</f>
        <v>R00.4</v>
      </c>
      <c r="C1299" s="15" t="s">
        <v>5988</v>
      </c>
      <c r="D1299" s="6" t="s">
        <v>5914</v>
      </c>
      <c r="E1299" s="8" t="s">
        <v>5918</v>
      </c>
      <c r="F1299" s="8" t="s">
        <v>4332</v>
      </c>
      <c r="G1299" s="6" t="str">
        <f>_xlfn.XLOOKUP(LD_01[[#This Row],[DISCIPLINA]],'CLASSES DE PROJETOS'!$F$3:$F$37,'CLASSES DE PROJETOS'!$C$3:$C$37)</f>
        <v>GG</v>
      </c>
      <c r="H1299" s="6" t="str">
        <f>_xlfn.TEXTJOIN("/",TRUE,"MSV-163MS-"&amp;LD_01[[#This Row],[TRECHO]],_xlfn.XLOOKUP(LD_01[[#This Row],[SIGLA]],'CLASSES DE PROJETOS'!$C$3:$C$37,'CLASSES DE PROJETOS'!$E$3:$E$37))</f>
        <v>MSV-163MS-647-650/19.GG</v>
      </c>
      <c r="I1299" s="6" t="str" cm="1">
        <f t="array" ref="I1299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J1299" s="6" t="str" cm="1">
        <f t="array" ref="J1299">_xlfn.TEXTJOIN(", ",TRUE,_xlfn.UNIQUE(_xlfn._xlws.FILTER(ARQUIVOS_RECEBIDOS!$F$2:$F$5010,ARQUIVOS_RECEBIDOS!$E$2:$E$5010=LD_01[[#This Row],[DOCUMENTO]])))</f>
        <v>R00.4</v>
      </c>
      <c r="K1299" s="12" cm="1">
        <f t="array" ref="K1299">_xlfn.UNIQUE(_xlfn._xlws.FILTER(ARQUIVOS[DATA RECEBIMENTO],(ARQUIVOS[DOCUMENTO]=LD_01[[#This Row],[DOCUMENTO]])*(ARQUIVOS[REVISÃO]=LD_01[[#This Row],[REVISÃO]])))</f>
        <v>46043</v>
      </c>
      <c r="L12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M1299" s="6" t="str">
        <f>LD_01[[#This Row],[PASTA]]&amp;"/"&amp;LD_01[[#This Row],[ARQUIVO]]</f>
        <v>MSV-163MS-647-650/19.GG/MSV-163MS-647-650-ACA-EXE-DE-D3-009-R00.4.pdf</v>
      </c>
    </row>
    <row r="1300" spans="1:13" ht="28.8" hidden="1" x14ac:dyDescent="0.3">
      <c r="A1300" s="6" t="s">
        <v>5825</v>
      </c>
      <c r="B1300" s="6" t="str">
        <f>VLOOKUP(LD_01[[#This Row],[DOCUMENTO]],_xlfn.SORTBY(ARQUIVOS_RECEBIDOS!$E$2:$F$5010,ARQUIVOS_RECEBIDOS!$F$2:$F$5010,-1),2,)</f>
        <v>R00.4</v>
      </c>
      <c r="C1300" s="15" t="s">
        <v>5988</v>
      </c>
      <c r="D1300" s="6" t="s">
        <v>5914</v>
      </c>
      <c r="E1300" s="8" t="s">
        <v>5918</v>
      </c>
      <c r="F1300" s="8" t="s">
        <v>4332</v>
      </c>
      <c r="G1300" s="6" t="str">
        <f>_xlfn.XLOOKUP(LD_01[[#This Row],[DISCIPLINA]],'CLASSES DE PROJETOS'!$F$3:$F$37,'CLASSES DE PROJETOS'!$C$3:$C$37)</f>
        <v>GG</v>
      </c>
      <c r="H1300" s="6" t="str">
        <f>_xlfn.TEXTJOIN("/",TRUE,"MSV-163MS-"&amp;LD_01[[#This Row],[TRECHO]],_xlfn.XLOOKUP(LD_01[[#This Row],[SIGLA]],'CLASSES DE PROJETOS'!$C$3:$C$37,'CLASSES DE PROJETOS'!$E$3:$E$37))</f>
        <v>MSV-163MS-647-650/19.GG</v>
      </c>
      <c r="I1300" s="6" t="str" cm="1">
        <f t="array" ref="I1300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J1300" s="6" t="str" cm="1">
        <f t="array" ref="J1300">_xlfn.TEXTJOIN(", ",TRUE,_xlfn.UNIQUE(_xlfn._xlws.FILTER(ARQUIVOS_RECEBIDOS!$F$2:$F$5010,ARQUIVOS_RECEBIDOS!$E$2:$E$5010=LD_01[[#This Row],[DOCUMENTO]])))</f>
        <v>R00.4</v>
      </c>
      <c r="K1300" s="12" cm="1">
        <f t="array" ref="K1300">_xlfn.UNIQUE(_xlfn._xlws.FILTER(ARQUIVOS[DATA RECEBIMENTO],(ARQUIVOS[DOCUMENTO]=LD_01[[#This Row],[DOCUMENTO]])*(ARQUIVOS[REVISÃO]=LD_01[[#This Row],[REVISÃO]])))</f>
        <v>46043</v>
      </c>
      <c r="L13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M1300" s="6" t="str">
        <f>LD_01[[#This Row],[PASTA]]&amp;"/"&amp;LD_01[[#This Row],[ARQUIVO]]</f>
        <v>MSV-163MS-647-650/19.GG/MSV-163MS-647-650-ACA-EXE-DE-D3-010-R00.4.pdf</v>
      </c>
    </row>
    <row r="1301" spans="1:13" ht="28.8" hidden="1" x14ac:dyDescent="0.3">
      <c r="A1301" s="6" t="s">
        <v>5826</v>
      </c>
      <c r="B1301" s="6" t="str">
        <f>VLOOKUP(LD_01[[#This Row],[DOCUMENTO]],_xlfn.SORTBY(ARQUIVOS_RECEBIDOS!$E$2:$F$5010,ARQUIVOS_RECEBIDOS!$F$2:$F$5010,-1),2,)</f>
        <v>R00.4</v>
      </c>
      <c r="C1301" s="15" t="s">
        <v>5988</v>
      </c>
      <c r="D1301" s="6" t="s">
        <v>5914</v>
      </c>
      <c r="E1301" s="8" t="s">
        <v>5918</v>
      </c>
      <c r="F1301" s="8" t="s">
        <v>4332</v>
      </c>
      <c r="G1301" s="6" t="str">
        <f>_xlfn.XLOOKUP(LD_01[[#This Row],[DISCIPLINA]],'CLASSES DE PROJETOS'!$F$3:$F$37,'CLASSES DE PROJETOS'!$C$3:$C$37)</f>
        <v>GG</v>
      </c>
      <c r="H1301" s="6" t="str">
        <f>_xlfn.TEXTJOIN("/",TRUE,"MSV-163MS-"&amp;LD_01[[#This Row],[TRECHO]],_xlfn.XLOOKUP(LD_01[[#This Row],[SIGLA]],'CLASSES DE PROJETOS'!$C$3:$C$37,'CLASSES DE PROJETOS'!$E$3:$E$37))</f>
        <v>MSV-163MS-647-650/19.GG</v>
      </c>
      <c r="I1301" s="6" t="str" cm="1">
        <f t="array" ref="I1301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J1301" s="6" t="str" cm="1">
        <f t="array" ref="J1301">_xlfn.TEXTJOIN(", ",TRUE,_xlfn.UNIQUE(_xlfn._xlws.FILTER(ARQUIVOS_RECEBIDOS!$F$2:$F$5010,ARQUIVOS_RECEBIDOS!$E$2:$E$5010=LD_01[[#This Row],[DOCUMENTO]])))</f>
        <v>R00.4</v>
      </c>
      <c r="K1301" s="12" cm="1">
        <f t="array" ref="K1301">_xlfn.UNIQUE(_xlfn._xlws.FILTER(ARQUIVOS[DATA RECEBIMENTO],(ARQUIVOS[DOCUMENTO]=LD_01[[#This Row],[DOCUMENTO]])*(ARQUIVOS[REVISÃO]=LD_01[[#This Row],[REVISÃO]])))</f>
        <v>46043</v>
      </c>
      <c r="L13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M1301" s="6" t="str">
        <f>LD_01[[#This Row],[PASTA]]&amp;"/"&amp;LD_01[[#This Row],[ARQUIVO]]</f>
        <v>MSV-163MS-647-650/19.GG/MSV-163MS-647-650-ACA-EXE-DE-D3-011-R00.4.pdf</v>
      </c>
    </row>
    <row r="1302" spans="1:13" ht="28.8" hidden="1" x14ac:dyDescent="0.3">
      <c r="A1302" s="6" t="s">
        <v>5827</v>
      </c>
      <c r="B1302" s="6" t="str">
        <f>VLOOKUP(LD_01[[#This Row],[DOCUMENTO]],_xlfn.SORTBY(ARQUIVOS_RECEBIDOS!$E$2:$F$5010,ARQUIVOS_RECEBIDOS!$F$2:$F$5010,-1),2,)</f>
        <v>R00.4</v>
      </c>
      <c r="C1302" s="15" t="s">
        <v>5988</v>
      </c>
      <c r="D1302" s="6" t="s">
        <v>5914</v>
      </c>
      <c r="E1302" s="8" t="s">
        <v>5918</v>
      </c>
      <c r="F1302" s="8" t="s">
        <v>4332</v>
      </c>
      <c r="G1302" s="6" t="str">
        <f>_xlfn.XLOOKUP(LD_01[[#This Row],[DISCIPLINA]],'CLASSES DE PROJETOS'!$F$3:$F$37,'CLASSES DE PROJETOS'!$C$3:$C$37)</f>
        <v>GG</v>
      </c>
      <c r="H1302" s="6" t="str">
        <f>_xlfn.TEXTJOIN("/",TRUE,"MSV-163MS-"&amp;LD_01[[#This Row],[TRECHO]],_xlfn.XLOOKUP(LD_01[[#This Row],[SIGLA]],'CLASSES DE PROJETOS'!$C$3:$C$37,'CLASSES DE PROJETOS'!$E$3:$E$37))</f>
        <v>MSV-163MS-647-650/19.GG</v>
      </c>
      <c r="I1302" s="6" t="str" cm="1">
        <f t="array" ref="I1302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J1302" s="6" t="str" cm="1">
        <f t="array" ref="J1302">_xlfn.TEXTJOIN(", ",TRUE,_xlfn.UNIQUE(_xlfn._xlws.FILTER(ARQUIVOS_RECEBIDOS!$F$2:$F$5010,ARQUIVOS_RECEBIDOS!$E$2:$E$5010=LD_01[[#This Row],[DOCUMENTO]])))</f>
        <v>R00.4</v>
      </c>
      <c r="K1302" s="12" cm="1">
        <f t="array" ref="K1302">_xlfn.UNIQUE(_xlfn._xlws.FILTER(ARQUIVOS[DATA RECEBIMENTO],(ARQUIVOS[DOCUMENTO]=LD_01[[#This Row],[DOCUMENTO]])*(ARQUIVOS[REVISÃO]=LD_01[[#This Row],[REVISÃO]])))</f>
        <v>46043</v>
      </c>
      <c r="L13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M1302" s="6" t="str">
        <f>LD_01[[#This Row],[PASTA]]&amp;"/"&amp;LD_01[[#This Row],[ARQUIVO]]</f>
        <v>MSV-163MS-647-650/19.GG/MSV-163MS-647-650-ACA-EXE-DE-D3-012-R00.4.pdf</v>
      </c>
    </row>
    <row r="1303" spans="1:13" ht="28.8" hidden="1" x14ac:dyDescent="0.3">
      <c r="A1303" s="6" t="s">
        <v>5828</v>
      </c>
      <c r="B1303" s="6" t="str">
        <f>VLOOKUP(LD_01[[#This Row],[DOCUMENTO]],_xlfn.SORTBY(ARQUIVOS_RECEBIDOS!$E$2:$F$5010,ARQUIVOS_RECEBIDOS!$F$2:$F$5010,-1),2,)</f>
        <v>R00.4</v>
      </c>
      <c r="C1303" s="15" t="s">
        <v>5988</v>
      </c>
      <c r="D1303" s="6" t="s">
        <v>5914</v>
      </c>
      <c r="E1303" s="8" t="s">
        <v>5918</v>
      </c>
      <c r="F1303" s="8" t="s">
        <v>4332</v>
      </c>
      <c r="G1303" s="6" t="str">
        <f>_xlfn.XLOOKUP(LD_01[[#This Row],[DISCIPLINA]],'CLASSES DE PROJETOS'!$F$3:$F$37,'CLASSES DE PROJETOS'!$C$3:$C$37)</f>
        <v>GG</v>
      </c>
      <c r="H1303" s="6" t="str">
        <f>_xlfn.TEXTJOIN("/",TRUE,"MSV-163MS-"&amp;LD_01[[#This Row],[TRECHO]],_xlfn.XLOOKUP(LD_01[[#This Row],[SIGLA]],'CLASSES DE PROJETOS'!$C$3:$C$37,'CLASSES DE PROJETOS'!$E$3:$E$37))</f>
        <v>MSV-163MS-647-650/19.GG</v>
      </c>
      <c r="I1303" s="6" t="str" cm="1">
        <f t="array" ref="I1303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J1303" s="6" t="str" cm="1">
        <f t="array" ref="J1303">_xlfn.TEXTJOIN(", ",TRUE,_xlfn.UNIQUE(_xlfn._xlws.FILTER(ARQUIVOS_RECEBIDOS!$F$2:$F$5010,ARQUIVOS_RECEBIDOS!$E$2:$E$5010=LD_01[[#This Row],[DOCUMENTO]])))</f>
        <v>R00.4</v>
      </c>
      <c r="K1303" s="12" cm="1">
        <f t="array" ref="K1303">_xlfn.UNIQUE(_xlfn._xlws.FILTER(ARQUIVOS[DATA RECEBIMENTO],(ARQUIVOS[DOCUMENTO]=LD_01[[#This Row],[DOCUMENTO]])*(ARQUIVOS[REVISÃO]=LD_01[[#This Row],[REVISÃO]])))</f>
        <v>46043</v>
      </c>
      <c r="L13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M1303" s="6" t="str">
        <f>LD_01[[#This Row],[PASTA]]&amp;"/"&amp;LD_01[[#This Row],[ARQUIVO]]</f>
        <v>MSV-163MS-647-650/19.GG/MSV-163MS-647-650-ACA-EXE-DE-D3-013-R00.4.pdf</v>
      </c>
    </row>
    <row r="1304" spans="1:13" ht="28.8" hidden="1" x14ac:dyDescent="0.3">
      <c r="A1304" s="6" t="s">
        <v>5829</v>
      </c>
      <c r="B1304" s="6" t="str">
        <f>VLOOKUP(LD_01[[#This Row],[DOCUMENTO]],_xlfn.SORTBY(ARQUIVOS_RECEBIDOS!$E$2:$F$5010,ARQUIVOS_RECEBIDOS!$F$2:$F$5010,-1),2,)</f>
        <v>R00.4</v>
      </c>
      <c r="C1304" s="15" t="s">
        <v>5988</v>
      </c>
      <c r="D1304" s="6" t="s">
        <v>5914</v>
      </c>
      <c r="E1304" s="8" t="s">
        <v>5918</v>
      </c>
      <c r="F1304" s="8" t="s">
        <v>4332</v>
      </c>
      <c r="G1304" s="6" t="str">
        <f>_xlfn.XLOOKUP(LD_01[[#This Row],[DISCIPLINA]],'CLASSES DE PROJETOS'!$F$3:$F$37,'CLASSES DE PROJETOS'!$C$3:$C$37)</f>
        <v>GG</v>
      </c>
      <c r="H1304" s="6" t="str">
        <f>_xlfn.TEXTJOIN("/",TRUE,"MSV-163MS-"&amp;LD_01[[#This Row],[TRECHO]],_xlfn.XLOOKUP(LD_01[[#This Row],[SIGLA]],'CLASSES DE PROJETOS'!$C$3:$C$37,'CLASSES DE PROJETOS'!$E$3:$E$37))</f>
        <v>MSV-163MS-647-650/19.GG</v>
      </c>
      <c r="I1304" s="6" t="str" cm="1">
        <f t="array" ref="I1304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J1304" s="6" t="str" cm="1">
        <f t="array" ref="J1304">_xlfn.TEXTJOIN(", ",TRUE,_xlfn.UNIQUE(_xlfn._xlws.FILTER(ARQUIVOS_RECEBIDOS!$F$2:$F$5010,ARQUIVOS_RECEBIDOS!$E$2:$E$5010=LD_01[[#This Row],[DOCUMENTO]])))</f>
        <v>R00.4</v>
      </c>
      <c r="K1304" s="12" cm="1">
        <f t="array" ref="K1304">_xlfn.UNIQUE(_xlfn._xlws.FILTER(ARQUIVOS[DATA RECEBIMENTO],(ARQUIVOS[DOCUMENTO]=LD_01[[#This Row],[DOCUMENTO]])*(ARQUIVOS[REVISÃO]=LD_01[[#This Row],[REVISÃO]])))</f>
        <v>46043</v>
      </c>
      <c r="L13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M1304" s="6" t="str">
        <f>LD_01[[#This Row],[PASTA]]&amp;"/"&amp;LD_01[[#This Row],[ARQUIVO]]</f>
        <v>MSV-163MS-647-650/19.GG/MSV-163MS-647-650-ACA-EXE-DE-D3-014-R00.4.pdf</v>
      </c>
    </row>
    <row r="1305" spans="1:13" ht="28.8" hidden="1" x14ac:dyDescent="0.3">
      <c r="A1305" s="6" t="s">
        <v>5830</v>
      </c>
      <c r="B1305" s="6" t="str">
        <f>VLOOKUP(LD_01[[#This Row],[DOCUMENTO]],_xlfn.SORTBY(ARQUIVOS_RECEBIDOS!$E$2:$F$5010,ARQUIVOS_RECEBIDOS!$F$2:$F$5010,-1),2,)</f>
        <v>R00.4</v>
      </c>
      <c r="C1305" s="15" t="s">
        <v>5988</v>
      </c>
      <c r="D1305" s="6" t="s">
        <v>5914</v>
      </c>
      <c r="E1305" s="8" t="s">
        <v>5918</v>
      </c>
      <c r="F1305" s="8" t="s">
        <v>4332</v>
      </c>
      <c r="G1305" s="6" t="str">
        <f>_xlfn.XLOOKUP(LD_01[[#This Row],[DISCIPLINA]],'CLASSES DE PROJETOS'!$F$3:$F$37,'CLASSES DE PROJETOS'!$C$3:$C$37)</f>
        <v>GG</v>
      </c>
      <c r="H1305" s="6" t="str">
        <f>_xlfn.TEXTJOIN("/",TRUE,"MSV-163MS-"&amp;LD_01[[#This Row],[TRECHO]],_xlfn.XLOOKUP(LD_01[[#This Row],[SIGLA]],'CLASSES DE PROJETOS'!$C$3:$C$37,'CLASSES DE PROJETOS'!$E$3:$E$37))</f>
        <v>MSV-163MS-647-650/19.GG</v>
      </c>
      <c r="I1305" s="6" t="str" cm="1">
        <f t="array" ref="I1305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J1305" s="6" t="str" cm="1">
        <f t="array" ref="J1305">_xlfn.TEXTJOIN(", ",TRUE,_xlfn.UNIQUE(_xlfn._xlws.FILTER(ARQUIVOS_RECEBIDOS!$F$2:$F$5010,ARQUIVOS_RECEBIDOS!$E$2:$E$5010=LD_01[[#This Row],[DOCUMENTO]])))</f>
        <v>R00.4</v>
      </c>
      <c r="K1305" s="12" cm="1">
        <f t="array" ref="K1305">_xlfn.UNIQUE(_xlfn._xlws.FILTER(ARQUIVOS[DATA RECEBIMENTO],(ARQUIVOS[DOCUMENTO]=LD_01[[#This Row],[DOCUMENTO]])*(ARQUIVOS[REVISÃO]=LD_01[[#This Row],[REVISÃO]])))</f>
        <v>46043</v>
      </c>
      <c r="L13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M1305" s="6" t="str">
        <f>LD_01[[#This Row],[PASTA]]&amp;"/"&amp;LD_01[[#This Row],[ARQUIVO]]</f>
        <v>MSV-163MS-647-650/19.GG/MSV-163MS-647-650-ACA-EXE-DE-D3-015-R00.4.pdf</v>
      </c>
    </row>
    <row r="1306" spans="1:13" ht="28.8" hidden="1" x14ac:dyDescent="0.3">
      <c r="A1306" s="6" t="s">
        <v>5831</v>
      </c>
      <c r="B1306" s="6" t="str">
        <f>VLOOKUP(LD_01[[#This Row],[DOCUMENTO]],_xlfn.SORTBY(ARQUIVOS_RECEBIDOS!$E$2:$F$5010,ARQUIVOS_RECEBIDOS!$F$2:$F$5010,-1),2,)</f>
        <v>R00.4</v>
      </c>
      <c r="C1306" s="15" t="s">
        <v>5988</v>
      </c>
      <c r="D1306" s="6" t="s">
        <v>5914</v>
      </c>
      <c r="E1306" s="8" t="s">
        <v>5918</v>
      </c>
      <c r="F1306" s="8" t="s">
        <v>4332</v>
      </c>
      <c r="G1306" s="6" t="str">
        <f>_xlfn.XLOOKUP(LD_01[[#This Row],[DISCIPLINA]],'CLASSES DE PROJETOS'!$F$3:$F$37,'CLASSES DE PROJETOS'!$C$3:$C$37)</f>
        <v>GG</v>
      </c>
      <c r="H1306" s="6" t="str">
        <f>_xlfn.TEXTJOIN("/",TRUE,"MSV-163MS-"&amp;LD_01[[#This Row],[TRECHO]],_xlfn.XLOOKUP(LD_01[[#This Row],[SIGLA]],'CLASSES DE PROJETOS'!$C$3:$C$37,'CLASSES DE PROJETOS'!$E$3:$E$37))</f>
        <v>MSV-163MS-647-650/19.GG</v>
      </c>
      <c r="I1306" s="6" t="str" cm="1">
        <f t="array" ref="I1306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J1306" s="6" t="str" cm="1">
        <f t="array" ref="J1306">_xlfn.TEXTJOIN(", ",TRUE,_xlfn.UNIQUE(_xlfn._xlws.FILTER(ARQUIVOS_RECEBIDOS!$F$2:$F$5010,ARQUIVOS_RECEBIDOS!$E$2:$E$5010=LD_01[[#This Row],[DOCUMENTO]])))</f>
        <v>R00.4</v>
      </c>
      <c r="K1306" s="12" cm="1">
        <f t="array" ref="K1306">_xlfn.UNIQUE(_xlfn._xlws.FILTER(ARQUIVOS[DATA RECEBIMENTO],(ARQUIVOS[DOCUMENTO]=LD_01[[#This Row],[DOCUMENTO]])*(ARQUIVOS[REVISÃO]=LD_01[[#This Row],[REVISÃO]])))</f>
        <v>46043</v>
      </c>
      <c r="L13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M1306" s="6" t="str">
        <f>LD_01[[#This Row],[PASTA]]&amp;"/"&amp;LD_01[[#This Row],[ARQUIVO]]</f>
        <v>MSV-163MS-647-650/19.GG/MSV-163MS-647-650-ACA-EXE-DE-D3-016-R00.4.pdf</v>
      </c>
    </row>
    <row r="1307" spans="1:13" ht="43.2" hidden="1" x14ac:dyDescent="0.3">
      <c r="A1307" s="6" t="s">
        <v>5832</v>
      </c>
      <c r="B1307" s="6" t="str">
        <f>VLOOKUP(LD_01[[#This Row],[DOCUMENTO]],_xlfn.SORTBY(ARQUIVOS_RECEBIDOS!$E$2:$F$5010,ARQUIVOS_RECEBIDOS!$F$2:$F$5010,-1),2,)</f>
        <v>R00.4</v>
      </c>
      <c r="C1307" s="15" t="s">
        <v>5988</v>
      </c>
      <c r="D1307" s="6" t="s">
        <v>5914</v>
      </c>
      <c r="E1307" s="8" t="s">
        <v>5919</v>
      </c>
      <c r="F1307" s="8" t="s">
        <v>4332</v>
      </c>
      <c r="G1307" s="6" t="str">
        <f>_xlfn.XLOOKUP(LD_01[[#This Row],[DISCIPLINA]],'CLASSES DE PROJETOS'!$F$3:$F$37,'CLASSES DE PROJETOS'!$C$3:$C$37)</f>
        <v>GG</v>
      </c>
      <c r="H1307" s="6" t="str">
        <f>_xlfn.TEXTJOIN("/",TRUE,"MSV-163MS-"&amp;LD_01[[#This Row],[TRECHO]],_xlfn.XLOOKUP(LD_01[[#This Row],[SIGLA]],'CLASSES DE PROJETOS'!$C$3:$C$37,'CLASSES DE PROJETOS'!$E$3:$E$37))</f>
        <v>MSV-163MS-647-650/19.GG</v>
      </c>
      <c r="I1307" s="6" t="str" cm="1">
        <f t="array" ref="I1307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J1307" s="6" t="str" cm="1">
        <f t="array" ref="J1307">_xlfn.TEXTJOIN(", ",TRUE,_xlfn.UNIQUE(_xlfn._xlws.FILTER(ARQUIVOS_RECEBIDOS!$F$2:$F$5010,ARQUIVOS_RECEBIDOS!$E$2:$E$5010=LD_01[[#This Row],[DOCUMENTO]])))</f>
        <v>R00.4</v>
      </c>
      <c r="K1307" s="12" cm="1">
        <f t="array" ref="K1307">_xlfn.UNIQUE(_xlfn._xlws.FILTER(ARQUIVOS[DATA RECEBIMENTO],(ARQUIVOS[DOCUMENTO]=LD_01[[#This Row],[DOCUMENTO]])*(ARQUIVOS[REVISÃO]=LD_01[[#This Row],[REVISÃO]])))</f>
        <v>46043</v>
      </c>
      <c r="L13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M1307" s="6" t="str">
        <f>LD_01[[#This Row],[PASTA]]&amp;"/"&amp;LD_01[[#This Row],[ARQUIVO]]</f>
        <v>MSV-163MS-647-650/19.GG/MSV-163MS-647-650-ACA-EXE-DE-D3-017-R00.4.pdf</v>
      </c>
    </row>
    <row r="1308" spans="1:13" ht="43.2" hidden="1" x14ac:dyDescent="0.3">
      <c r="A1308" s="6" t="s">
        <v>5833</v>
      </c>
      <c r="B1308" s="6" t="str">
        <f>VLOOKUP(LD_01[[#This Row],[DOCUMENTO]],_xlfn.SORTBY(ARQUIVOS_RECEBIDOS!$E$2:$F$5010,ARQUIVOS_RECEBIDOS!$F$2:$F$5010,-1),2,)</f>
        <v>R00.4</v>
      </c>
      <c r="C1308" s="15" t="s">
        <v>5988</v>
      </c>
      <c r="D1308" s="6" t="s">
        <v>5914</v>
      </c>
      <c r="E1308" s="8" t="s">
        <v>5919</v>
      </c>
      <c r="F1308" s="8" t="s">
        <v>4332</v>
      </c>
      <c r="G1308" s="6" t="str">
        <f>_xlfn.XLOOKUP(LD_01[[#This Row],[DISCIPLINA]],'CLASSES DE PROJETOS'!$F$3:$F$37,'CLASSES DE PROJETOS'!$C$3:$C$37)</f>
        <v>GG</v>
      </c>
      <c r="H1308" s="6" t="str">
        <f>_xlfn.TEXTJOIN("/",TRUE,"MSV-163MS-"&amp;LD_01[[#This Row],[TRECHO]],_xlfn.XLOOKUP(LD_01[[#This Row],[SIGLA]],'CLASSES DE PROJETOS'!$C$3:$C$37,'CLASSES DE PROJETOS'!$E$3:$E$37))</f>
        <v>MSV-163MS-647-650/19.GG</v>
      </c>
      <c r="I1308" s="6" t="str" cm="1">
        <f t="array" ref="I1308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J1308" s="6" t="str" cm="1">
        <f t="array" ref="J1308">_xlfn.TEXTJOIN(", ",TRUE,_xlfn.UNIQUE(_xlfn._xlws.FILTER(ARQUIVOS_RECEBIDOS!$F$2:$F$5010,ARQUIVOS_RECEBIDOS!$E$2:$E$5010=LD_01[[#This Row],[DOCUMENTO]])))</f>
        <v>R00.4</v>
      </c>
      <c r="K1308" s="12" cm="1">
        <f t="array" ref="K1308">_xlfn.UNIQUE(_xlfn._xlws.FILTER(ARQUIVOS[DATA RECEBIMENTO],(ARQUIVOS[DOCUMENTO]=LD_01[[#This Row],[DOCUMENTO]])*(ARQUIVOS[REVISÃO]=LD_01[[#This Row],[REVISÃO]])))</f>
        <v>46043</v>
      </c>
      <c r="L13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M1308" s="6" t="str">
        <f>LD_01[[#This Row],[PASTA]]&amp;"/"&amp;LD_01[[#This Row],[ARQUIVO]]</f>
        <v>MSV-163MS-647-650/19.GG/MSV-163MS-647-650-ACA-EXE-DE-D3-018-R00.4.pdf</v>
      </c>
    </row>
    <row r="1309" spans="1:13" ht="43.2" hidden="1" x14ac:dyDescent="0.3">
      <c r="A1309" s="6" t="s">
        <v>5834</v>
      </c>
      <c r="B1309" s="6" t="str">
        <f>VLOOKUP(LD_01[[#This Row],[DOCUMENTO]],_xlfn.SORTBY(ARQUIVOS_RECEBIDOS!$E$2:$F$5010,ARQUIVOS_RECEBIDOS!$F$2:$F$5010,-1),2,)</f>
        <v>R00.4</v>
      </c>
      <c r="C1309" s="15" t="s">
        <v>5988</v>
      </c>
      <c r="D1309" s="6" t="s">
        <v>5914</v>
      </c>
      <c r="E1309" s="8" t="s">
        <v>5920</v>
      </c>
      <c r="F1309" s="8" t="s">
        <v>4332</v>
      </c>
      <c r="G1309" s="6" t="str">
        <f>_xlfn.XLOOKUP(LD_01[[#This Row],[DISCIPLINA]],'CLASSES DE PROJETOS'!$F$3:$F$37,'CLASSES DE PROJETOS'!$C$3:$C$37)</f>
        <v>GG</v>
      </c>
      <c r="H1309" s="6" t="str">
        <f>_xlfn.TEXTJOIN("/",TRUE,"MSV-163MS-"&amp;LD_01[[#This Row],[TRECHO]],_xlfn.XLOOKUP(LD_01[[#This Row],[SIGLA]],'CLASSES DE PROJETOS'!$C$3:$C$37,'CLASSES DE PROJETOS'!$E$3:$E$37))</f>
        <v>MSV-163MS-647-650/19.GG</v>
      </c>
      <c r="I1309" s="6" t="str" cm="1">
        <f t="array" ref="I1309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J1309" s="6" t="str" cm="1">
        <f t="array" ref="J1309">_xlfn.TEXTJOIN(", ",TRUE,_xlfn.UNIQUE(_xlfn._xlws.FILTER(ARQUIVOS_RECEBIDOS!$F$2:$F$5010,ARQUIVOS_RECEBIDOS!$E$2:$E$5010=LD_01[[#This Row],[DOCUMENTO]])))</f>
        <v>R00.4</v>
      </c>
      <c r="K1309" s="12" cm="1">
        <f t="array" ref="K1309">_xlfn.UNIQUE(_xlfn._xlws.FILTER(ARQUIVOS[DATA RECEBIMENTO],(ARQUIVOS[DOCUMENTO]=LD_01[[#This Row],[DOCUMENTO]])*(ARQUIVOS[REVISÃO]=LD_01[[#This Row],[REVISÃO]])))</f>
        <v>46043</v>
      </c>
      <c r="L13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M1309" s="6" t="str">
        <f>LD_01[[#This Row],[PASTA]]&amp;"/"&amp;LD_01[[#This Row],[ARQUIVO]]</f>
        <v>MSV-163MS-647-650/19.GG/MSV-163MS-647-650-ACA-EXE-DE-D3-019-R00.4.pdf</v>
      </c>
    </row>
    <row r="1310" spans="1:13" ht="43.2" hidden="1" x14ac:dyDescent="0.3">
      <c r="A1310" s="6" t="s">
        <v>5835</v>
      </c>
      <c r="B1310" s="6" t="str">
        <f>VLOOKUP(LD_01[[#This Row],[DOCUMENTO]],_xlfn.SORTBY(ARQUIVOS_RECEBIDOS!$E$2:$F$5010,ARQUIVOS_RECEBIDOS!$F$2:$F$5010,-1),2,)</f>
        <v>R00.1</v>
      </c>
      <c r="C1310" s="15" t="s">
        <v>5988</v>
      </c>
      <c r="D1310" s="6" t="s">
        <v>5914</v>
      </c>
      <c r="E1310" s="8" t="s">
        <v>5921</v>
      </c>
      <c r="F1310" s="8" t="s">
        <v>4332</v>
      </c>
      <c r="G1310" s="6" t="str">
        <f>_xlfn.XLOOKUP(LD_01[[#This Row],[DISCIPLINA]],'CLASSES DE PROJETOS'!$F$3:$F$37,'CLASSES DE PROJETOS'!$C$3:$C$37)</f>
        <v>GG</v>
      </c>
      <c r="H1310" s="6" t="str">
        <f>_xlfn.TEXTJOIN("/",TRUE,"MSV-163MS-"&amp;LD_01[[#This Row],[TRECHO]],_xlfn.XLOOKUP(LD_01[[#This Row],[SIGLA]],'CLASSES DE PROJETOS'!$C$3:$C$37,'CLASSES DE PROJETOS'!$E$3:$E$37))</f>
        <v>MSV-163MS-647-650/19.GG</v>
      </c>
      <c r="I1310" s="6" t="str" cm="1">
        <f t="array" ref="I1310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J1310" s="6" t="str" cm="1">
        <f t="array" ref="J1310">_xlfn.TEXTJOIN(", ",TRUE,_xlfn.UNIQUE(_xlfn._xlws.FILTER(ARQUIVOS_RECEBIDOS!$F$2:$F$5010,ARQUIVOS_RECEBIDOS!$E$2:$E$5010=LD_01[[#This Row],[DOCUMENTO]])))</f>
        <v>R00.1</v>
      </c>
      <c r="K1310" s="12" cm="1">
        <f t="array" ref="K1310">_xlfn.UNIQUE(_xlfn._xlws.FILTER(ARQUIVOS[DATA RECEBIMENTO],(ARQUIVOS[DOCUMENTO]=LD_01[[#This Row],[DOCUMENTO]])*(ARQUIVOS[REVISÃO]=LD_01[[#This Row],[REVISÃO]])))</f>
        <v>46043</v>
      </c>
      <c r="L13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M1310" s="6" t="str">
        <f>LD_01[[#This Row],[PASTA]]&amp;"/"&amp;LD_01[[#This Row],[ARQUIVO]]</f>
        <v>MSV-163MS-647-650/19.GG/MSV-163MS-647-650-ACA-EXE-DE-D3-020-R00.1.pdf</v>
      </c>
    </row>
    <row r="1311" spans="1:13" ht="43.2" hidden="1" x14ac:dyDescent="0.3">
      <c r="A1311" s="6" t="s">
        <v>5836</v>
      </c>
      <c r="B1311" s="6" t="str">
        <f>VLOOKUP(LD_01[[#This Row],[DOCUMENTO]],_xlfn.SORTBY(ARQUIVOS_RECEBIDOS!$E$2:$F$5010,ARQUIVOS_RECEBIDOS!$F$2:$F$5010,-1),2,)</f>
        <v>R00.1</v>
      </c>
      <c r="C1311" s="15" t="s">
        <v>5988</v>
      </c>
      <c r="D1311" s="6" t="s">
        <v>5914</v>
      </c>
      <c r="E1311" s="8" t="s">
        <v>5921</v>
      </c>
      <c r="F1311" s="8" t="s">
        <v>4332</v>
      </c>
      <c r="G1311" s="6" t="str">
        <f>_xlfn.XLOOKUP(LD_01[[#This Row],[DISCIPLINA]],'CLASSES DE PROJETOS'!$F$3:$F$37,'CLASSES DE PROJETOS'!$C$3:$C$37)</f>
        <v>GG</v>
      </c>
      <c r="H1311" s="6" t="str">
        <f>_xlfn.TEXTJOIN("/",TRUE,"MSV-163MS-"&amp;LD_01[[#This Row],[TRECHO]],_xlfn.XLOOKUP(LD_01[[#This Row],[SIGLA]],'CLASSES DE PROJETOS'!$C$3:$C$37,'CLASSES DE PROJETOS'!$E$3:$E$37))</f>
        <v>MSV-163MS-647-650/19.GG</v>
      </c>
      <c r="I1311" s="6" t="str" cm="1">
        <f t="array" ref="I1311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J1311" s="6" t="str" cm="1">
        <f t="array" ref="J1311">_xlfn.TEXTJOIN(", ",TRUE,_xlfn.UNIQUE(_xlfn._xlws.FILTER(ARQUIVOS_RECEBIDOS!$F$2:$F$5010,ARQUIVOS_RECEBIDOS!$E$2:$E$5010=LD_01[[#This Row],[DOCUMENTO]])))</f>
        <v>R00.1</v>
      </c>
      <c r="K1311" s="12" cm="1">
        <f t="array" ref="K1311">_xlfn.UNIQUE(_xlfn._xlws.FILTER(ARQUIVOS[DATA RECEBIMENTO],(ARQUIVOS[DOCUMENTO]=LD_01[[#This Row],[DOCUMENTO]])*(ARQUIVOS[REVISÃO]=LD_01[[#This Row],[REVISÃO]])))</f>
        <v>46043</v>
      </c>
      <c r="L13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M1311" s="6" t="str">
        <f>LD_01[[#This Row],[PASTA]]&amp;"/"&amp;LD_01[[#This Row],[ARQUIVO]]</f>
        <v>MSV-163MS-647-650/19.GG/MSV-163MS-647-650-ACA-EXE-DE-D3-021-R00.1.pdf</v>
      </c>
    </row>
    <row r="1312" spans="1:13" ht="43.2" hidden="1" x14ac:dyDescent="0.3">
      <c r="A1312" s="6" t="s">
        <v>5837</v>
      </c>
      <c r="B1312" s="6" t="str">
        <f>VLOOKUP(LD_01[[#This Row],[DOCUMENTO]],_xlfn.SORTBY(ARQUIVOS_RECEBIDOS!$E$2:$F$5010,ARQUIVOS_RECEBIDOS!$F$2:$F$5010,-1),2,)</f>
        <v>R00.1</v>
      </c>
      <c r="C1312" s="15" t="s">
        <v>5988</v>
      </c>
      <c r="D1312" s="6" t="s">
        <v>5914</v>
      </c>
      <c r="E1312" s="8" t="s">
        <v>5922</v>
      </c>
      <c r="F1312" s="8" t="s">
        <v>4332</v>
      </c>
      <c r="G1312" s="6" t="str">
        <f>_xlfn.XLOOKUP(LD_01[[#This Row],[DISCIPLINA]],'CLASSES DE PROJETOS'!$F$3:$F$37,'CLASSES DE PROJETOS'!$C$3:$C$37)</f>
        <v>GG</v>
      </c>
      <c r="H1312" s="6" t="str">
        <f>_xlfn.TEXTJOIN("/",TRUE,"MSV-163MS-"&amp;LD_01[[#This Row],[TRECHO]],_xlfn.XLOOKUP(LD_01[[#This Row],[SIGLA]],'CLASSES DE PROJETOS'!$C$3:$C$37,'CLASSES DE PROJETOS'!$E$3:$E$37))</f>
        <v>MSV-163MS-647-650/19.GG</v>
      </c>
      <c r="I1312" s="6" t="str" cm="1">
        <f t="array" ref="I1312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J1312" s="6" t="str" cm="1">
        <f t="array" ref="J1312">_xlfn.TEXTJOIN(", ",TRUE,_xlfn.UNIQUE(_xlfn._xlws.FILTER(ARQUIVOS_RECEBIDOS!$F$2:$F$5010,ARQUIVOS_RECEBIDOS!$E$2:$E$5010=LD_01[[#This Row],[DOCUMENTO]])))</f>
        <v>R00.1</v>
      </c>
      <c r="K1312" s="12" cm="1">
        <f t="array" ref="K1312">_xlfn.UNIQUE(_xlfn._xlws.FILTER(ARQUIVOS[DATA RECEBIMENTO],(ARQUIVOS[DOCUMENTO]=LD_01[[#This Row],[DOCUMENTO]])*(ARQUIVOS[REVISÃO]=LD_01[[#This Row],[REVISÃO]])))</f>
        <v>46043</v>
      </c>
      <c r="L13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M1312" s="6" t="str">
        <f>LD_01[[#This Row],[PASTA]]&amp;"/"&amp;LD_01[[#This Row],[ARQUIVO]]</f>
        <v>MSV-163MS-647-650/19.GG/MSV-163MS-647-650-ACA-EXE-DE-D3-022-R00.1.pdf</v>
      </c>
    </row>
    <row r="1313" spans="1:13" ht="28.8" hidden="1" x14ac:dyDescent="0.3">
      <c r="A1313" s="6" t="s">
        <v>5805</v>
      </c>
      <c r="B1313" s="6" t="str">
        <f>VLOOKUP(LD_01[[#This Row],[DOCUMENTO]],_xlfn.SORTBY(ARQUIVOS_RECEBIDOS!$E$2:$F$5010,ARQUIVOS_RECEBIDOS!$F$2:$F$5010,-1),2,)</f>
        <v>R00.3</v>
      </c>
      <c r="C1313" s="15" t="s">
        <v>5988</v>
      </c>
      <c r="D1313" s="6" t="s">
        <v>5914</v>
      </c>
      <c r="E1313" s="8" t="s">
        <v>5923</v>
      </c>
      <c r="F1313" s="8" t="s">
        <v>4141</v>
      </c>
      <c r="G1313" s="6" t="str">
        <f>_xlfn.XLOOKUP(LD_01[[#This Row],[DISCIPLINA]],'CLASSES DE PROJETOS'!$F$3:$F$37,'CLASSES DE PROJETOS'!$C$3:$C$37)</f>
        <v>GE</v>
      </c>
      <c r="H1313" s="6" t="str">
        <f>_xlfn.TEXTJOIN("/",TRUE,"MSV-163MS-"&amp;LD_01[[#This Row],[TRECHO]],_xlfn.XLOOKUP(LD_01[[#This Row],[SIGLA]],'CLASSES DE PROJETOS'!$C$3:$C$37,'CLASSES DE PROJETOS'!$E$3:$E$37))</f>
        <v>MSV-163MS-647-650/18.GE</v>
      </c>
      <c r="I1313" s="6" t="str" cm="1">
        <f t="array" ref="I1313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J1313" s="6" t="str" cm="1">
        <f t="array" ref="J1313">_xlfn.TEXTJOIN(", ",TRUE,_xlfn.UNIQUE(_xlfn._xlws.FILTER(ARQUIVOS_RECEBIDOS!$F$2:$F$5010,ARQUIVOS_RECEBIDOS!$E$2:$E$5010=LD_01[[#This Row],[DOCUMENTO]])))</f>
        <v>R00.3</v>
      </c>
      <c r="K1313" s="12" cm="1">
        <f t="array" ref="K1313">_xlfn.UNIQUE(_xlfn._xlws.FILTER(ARQUIVOS[DATA RECEBIMENTO],(ARQUIVOS[DOCUMENTO]=LD_01[[#This Row],[DOCUMENTO]])*(ARQUIVOS[REVISÃO]=LD_01[[#This Row],[REVISÃO]])))</f>
        <v>46043</v>
      </c>
      <c r="L13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M1313" s="6" t="str">
        <f>LD_01[[#This Row],[PASTA]]&amp;"/"&amp;LD_01[[#This Row],[ARQUIVO]]</f>
        <v>MSV-163MS-647-650/18.GE/MSV-163MS-647-650-ACA-EXE-DE-F1-001-R00.3.pdf</v>
      </c>
    </row>
    <row r="1314" spans="1:13" ht="28.8" hidden="1" x14ac:dyDescent="0.3">
      <c r="A1314" s="6" t="s">
        <v>5806</v>
      </c>
      <c r="B1314" s="6" t="str">
        <f>VLOOKUP(LD_01[[#This Row],[DOCUMENTO]],_xlfn.SORTBY(ARQUIVOS_RECEBIDOS!$E$2:$F$5010,ARQUIVOS_RECEBIDOS!$F$2:$F$5010,-1),2,)</f>
        <v>R00.3</v>
      </c>
      <c r="C1314" s="15" t="s">
        <v>5988</v>
      </c>
      <c r="D1314" s="6" t="s">
        <v>5914</v>
      </c>
      <c r="E1314" s="8" t="s">
        <v>5923</v>
      </c>
      <c r="F1314" s="8" t="s">
        <v>4141</v>
      </c>
      <c r="G1314" s="6" t="str">
        <f>_xlfn.XLOOKUP(LD_01[[#This Row],[DISCIPLINA]],'CLASSES DE PROJETOS'!$F$3:$F$37,'CLASSES DE PROJETOS'!$C$3:$C$37)</f>
        <v>GE</v>
      </c>
      <c r="H1314" s="6" t="str">
        <f>_xlfn.TEXTJOIN("/",TRUE,"MSV-163MS-"&amp;LD_01[[#This Row],[TRECHO]],_xlfn.XLOOKUP(LD_01[[#This Row],[SIGLA]],'CLASSES DE PROJETOS'!$C$3:$C$37,'CLASSES DE PROJETOS'!$E$3:$E$37))</f>
        <v>MSV-163MS-647-650/18.GE</v>
      </c>
      <c r="I1314" s="6" t="str" cm="1">
        <f t="array" ref="I1314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J1314" s="6" t="str" cm="1">
        <f t="array" ref="J1314">_xlfn.TEXTJOIN(", ",TRUE,_xlfn.UNIQUE(_xlfn._xlws.FILTER(ARQUIVOS_RECEBIDOS!$F$2:$F$5010,ARQUIVOS_RECEBIDOS!$E$2:$E$5010=LD_01[[#This Row],[DOCUMENTO]])))</f>
        <v>R00.3</v>
      </c>
      <c r="K1314" s="12" cm="1">
        <f t="array" ref="K1314">_xlfn.UNIQUE(_xlfn._xlws.FILTER(ARQUIVOS[DATA RECEBIMENTO],(ARQUIVOS[DOCUMENTO]=LD_01[[#This Row],[DOCUMENTO]])*(ARQUIVOS[REVISÃO]=LD_01[[#This Row],[REVISÃO]])))</f>
        <v>46043</v>
      </c>
      <c r="L13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M1314" s="6" t="str">
        <f>LD_01[[#This Row],[PASTA]]&amp;"/"&amp;LD_01[[#This Row],[ARQUIVO]]</f>
        <v>MSV-163MS-647-650/18.GE/MSV-163MS-647-650-ACA-EXE-DE-F1-002-R00.3.pdf</v>
      </c>
    </row>
    <row r="1315" spans="1:13" ht="28.8" hidden="1" x14ac:dyDescent="0.3">
      <c r="A1315" s="6" t="s">
        <v>5807</v>
      </c>
      <c r="B1315" s="6" t="str">
        <f>VLOOKUP(LD_01[[#This Row],[DOCUMENTO]],_xlfn.SORTBY(ARQUIVOS_RECEBIDOS!$E$2:$F$5010,ARQUIVOS_RECEBIDOS!$F$2:$F$5010,-1),2,)</f>
        <v>R00.3</v>
      </c>
      <c r="C1315" s="15" t="s">
        <v>5988</v>
      </c>
      <c r="D1315" s="6" t="s">
        <v>5914</v>
      </c>
      <c r="E1315" s="8" t="s">
        <v>5923</v>
      </c>
      <c r="F1315" s="8" t="s">
        <v>4141</v>
      </c>
      <c r="G1315" s="6" t="str">
        <f>_xlfn.XLOOKUP(LD_01[[#This Row],[DISCIPLINA]],'CLASSES DE PROJETOS'!$F$3:$F$37,'CLASSES DE PROJETOS'!$C$3:$C$37)</f>
        <v>GE</v>
      </c>
      <c r="H1315" s="6" t="str">
        <f>_xlfn.TEXTJOIN("/",TRUE,"MSV-163MS-"&amp;LD_01[[#This Row],[TRECHO]],_xlfn.XLOOKUP(LD_01[[#This Row],[SIGLA]],'CLASSES DE PROJETOS'!$C$3:$C$37,'CLASSES DE PROJETOS'!$E$3:$E$37))</f>
        <v>MSV-163MS-647-650/18.GE</v>
      </c>
      <c r="I1315" s="6" t="str" cm="1">
        <f t="array" ref="I1315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J1315" s="6" t="str" cm="1">
        <f t="array" ref="J1315">_xlfn.TEXTJOIN(", ",TRUE,_xlfn.UNIQUE(_xlfn._xlws.FILTER(ARQUIVOS_RECEBIDOS!$F$2:$F$5010,ARQUIVOS_RECEBIDOS!$E$2:$E$5010=LD_01[[#This Row],[DOCUMENTO]])))</f>
        <v>R00.3</v>
      </c>
      <c r="K1315" s="12" cm="1">
        <f t="array" ref="K1315">_xlfn.UNIQUE(_xlfn._xlws.FILTER(ARQUIVOS[DATA RECEBIMENTO],(ARQUIVOS[DOCUMENTO]=LD_01[[#This Row],[DOCUMENTO]])*(ARQUIVOS[REVISÃO]=LD_01[[#This Row],[REVISÃO]])))</f>
        <v>46043</v>
      </c>
      <c r="L13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M1315" s="6" t="str">
        <f>LD_01[[#This Row],[PASTA]]&amp;"/"&amp;LD_01[[#This Row],[ARQUIVO]]</f>
        <v>MSV-163MS-647-650/18.GE/MSV-163MS-647-650-ACA-EXE-DE-F1-003-R00.3.pdf</v>
      </c>
    </row>
    <row r="1316" spans="1:13" ht="28.8" hidden="1" x14ac:dyDescent="0.3">
      <c r="A1316" s="6" t="s">
        <v>5808</v>
      </c>
      <c r="B1316" s="6" t="str">
        <f>VLOOKUP(LD_01[[#This Row],[DOCUMENTO]],_xlfn.SORTBY(ARQUIVOS_RECEBIDOS!$E$2:$F$5010,ARQUIVOS_RECEBIDOS!$F$2:$F$5010,-1),2,)</f>
        <v>R00.3</v>
      </c>
      <c r="C1316" s="15" t="s">
        <v>5988</v>
      </c>
      <c r="D1316" s="6" t="s">
        <v>5914</v>
      </c>
      <c r="E1316" s="8" t="s">
        <v>5923</v>
      </c>
      <c r="F1316" s="8" t="s">
        <v>4141</v>
      </c>
      <c r="G1316" s="6" t="str">
        <f>_xlfn.XLOOKUP(LD_01[[#This Row],[DISCIPLINA]],'CLASSES DE PROJETOS'!$F$3:$F$37,'CLASSES DE PROJETOS'!$C$3:$C$37)</f>
        <v>GE</v>
      </c>
      <c r="H1316" s="6" t="str">
        <f>_xlfn.TEXTJOIN("/",TRUE,"MSV-163MS-"&amp;LD_01[[#This Row],[TRECHO]],_xlfn.XLOOKUP(LD_01[[#This Row],[SIGLA]],'CLASSES DE PROJETOS'!$C$3:$C$37,'CLASSES DE PROJETOS'!$E$3:$E$37))</f>
        <v>MSV-163MS-647-650/18.GE</v>
      </c>
      <c r="I1316" s="6" t="str" cm="1">
        <f t="array" ref="I1316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J1316" s="6" t="str" cm="1">
        <f t="array" ref="J1316">_xlfn.TEXTJOIN(", ",TRUE,_xlfn.UNIQUE(_xlfn._xlws.FILTER(ARQUIVOS_RECEBIDOS!$F$2:$F$5010,ARQUIVOS_RECEBIDOS!$E$2:$E$5010=LD_01[[#This Row],[DOCUMENTO]])))</f>
        <v>R00.3</v>
      </c>
      <c r="K1316" s="12" cm="1">
        <f t="array" ref="K1316">_xlfn.UNIQUE(_xlfn._xlws.FILTER(ARQUIVOS[DATA RECEBIMENTO],(ARQUIVOS[DOCUMENTO]=LD_01[[#This Row],[DOCUMENTO]])*(ARQUIVOS[REVISÃO]=LD_01[[#This Row],[REVISÃO]])))</f>
        <v>46043</v>
      </c>
      <c r="L13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M1316" s="6" t="str">
        <f>LD_01[[#This Row],[PASTA]]&amp;"/"&amp;LD_01[[#This Row],[ARQUIVO]]</f>
        <v>MSV-163MS-647-650/18.GE/MSV-163MS-647-650-ACA-EXE-DE-F1-004-R00.3.pdf</v>
      </c>
    </row>
    <row r="1317" spans="1:13" ht="28.8" hidden="1" x14ac:dyDescent="0.3">
      <c r="A1317" s="6" t="s">
        <v>5809</v>
      </c>
      <c r="B1317" s="6" t="str">
        <f>VLOOKUP(LD_01[[#This Row],[DOCUMENTO]],_xlfn.SORTBY(ARQUIVOS_RECEBIDOS!$E$2:$F$5010,ARQUIVOS_RECEBIDOS!$F$2:$F$5010,-1),2,)</f>
        <v>R00.3</v>
      </c>
      <c r="C1317" s="15" t="s">
        <v>5988</v>
      </c>
      <c r="D1317" s="6" t="s">
        <v>5914</v>
      </c>
      <c r="E1317" s="8" t="s">
        <v>5923</v>
      </c>
      <c r="F1317" s="8" t="s">
        <v>4141</v>
      </c>
      <c r="G1317" s="6" t="str">
        <f>_xlfn.XLOOKUP(LD_01[[#This Row],[DISCIPLINA]],'CLASSES DE PROJETOS'!$F$3:$F$37,'CLASSES DE PROJETOS'!$C$3:$C$37)</f>
        <v>GE</v>
      </c>
      <c r="H1317" s="6" t="str">
        <f>_xlfn.TEXTJOIN("/",TRUE,"MSV-163MS-"&amp;LD_01[[#This Row],[TRECHO]],_xlfn.XLOOKUP(LD_01[[#This Row],[SIGLA]],'CLASSES DE PROJETOS'!$C$3:$C$37,'CLASSES DE PROJETOS'!$E$3:$E$37))</f>
        <v>MSV-163MS-647-650/18.GE</v>
      </c>
      <c r="I1317" s="6" t="str" cm="1">
        <f t="array" ref="I1317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J1317" s="6" t="str" cm="1">
        <f t="array" ref="J1317">_xlfn.TEXTJOIN(", ",TRUE,_xlfn.UNIQUE(_xlfn._xlws.FILTER(ARQUIVOS_RECEBIDOS!$F$2:$F$5010,ARQUIVOS_RECEBIDOS!$E$2:$E$5010=LD_01[[#This Row],[DOCUMENTO]])))</f>
        <v>R00.3</v>
      </c>
      <c r="K1317" s="12" cm="1">
        <f t="array" ref="K1317">_xlfn.UNIQUE(_xlfn._xlws.FILTER(ARQUIVOS[DATA RECEBIMENTO],(ARQUIVOS[DOCUMENTO]=LD_01[[#This Row],[DOCUMENTO]])*(ARQUIVOS[REVISÃO]=LD_01[[#This Row],[REVISÃO]])))</f>
        <v>46043</v>
      </c>
      <c r="L13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M1317" s="6" t="str">
        <f>LD_01[[#This Row],[PASTA]]&amp;"/"&amp;LD_01[[#This Row],[ARQUIVO]]</f>
        <v>MSV-163MS-647-650/18.GE/MSV-163MS-647-650-ACA-EXE-DE-F1-005-R00.3.pdf</v>
      </c>
    </row>
    <row r="1318" spans="1:13" ht="28.8" hidden="1" x14ac:dyDescent="0.3">
      <c r="A1318" s="6" t="s">
        <v>5810</v>
      </c>
      <c r="B1318" s="6" t="str">
        <f>VLOOKUP(LD_01[[#This Row],[DOCUMENTO]],_xlfn.SORTBY(ARQUIVOS_RECEBIDOS!$E$2:$F$5010,ARQUIVOS_RECEBIDOS!$F$2:$F$5010,-1),2,)</f>
        <v>R00.3</v>
      </c>
      <c r="C1318" s="15" t="s">
        <v>5988</v>
      </c>
      <c r="D1318" s="6" t="s">
        <v>5914</v>
      </c>
      <c r="E1318" s="8" t="s">
        <v>5923</v>
      </c>
      <c r="F1318" s="8" t="s">
        <v>4141</v>
      </c>
      <c r="G1318" s="6" t="str">
        <f>_xlfn.XLOOKUP(LD_01[[#This Row],[DISCIPLINA]],'CLASSES DE PROJETOS'!$F$3:$F$37,'CLASSES DE PROJETOS'!$C$3:$C$37)</f>
        <v>GE</v>
      </c>
      <c r="H1318" s="6" t="str">
        <f>_xlfn.TEXTJOIN("/",TRUE,"MSV-163MS-"&amp;LD_01[[#This Row],[TRECHO]],_xlfn.XLOOKUP(LD_01[[#This Row],[SIGLA]],'CLASSES DE PROJETOS'!$C$3:$C$37,'CLASSES DE PROJETOS'!$E$3:$E$37))</f>
        <v>MSV-163MS-647-650/18.GE</v>
      </c>
      <c r="I1318" s="6" t="str" cm="1">
        <f t="array" ref="I1318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J1318" s="6" t="str" cm="1">
        <f t="array" ref="J1318">_xlfn.TEXTJOIN(", ",TRUE,_xlfn.UNIQUE(_xlfn._xlws.FILTER(ARQUIVOS_RECEBIDOS!$F$2:$F$5010,ARQUIVOS_RECEBIDOS!$E$2:$E$5010=LD_01[[#This Row],[DOCUMENTO]])))</f>
        <v>R00.3</v>
      </c>
      <c r="K1318" s="12" cm="1">
        <f t="array" ref="K1318">_xlfn.UNIQUE(_xlfn._xlws.FILTER(ARQUIVOS[DATA RECEBIMENTO],(ARQUIVOS[DOCUMENTO]=LD_01[[#This Row],[DOCUMENTO]])*(ARQUIVOS[REVISÃO]=LD_01[[#This Row],[REVISÃO]])))</f>
        <v>46043</v>
      </c>
      <c r="L13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M1318" s="6" t="str">
        <f>LD_01[[#This Row],[PASTA]]&amp;"/"&amp;LD_01[[#This Row],[ARQUIVO]]</f>
        <v>MSV-163MS-647-650/18.GE/MSV-163MS-647-650-ACA-EXE-DE-F1-006-R00.3.pdf</v>
      </c>
    </row>
    <row r="1319" spans="1:13" ht="28.8" hidden="1" x14ac:dyDescent="0.3">
      <c r="A1319" s="6" t="s">
        <v>5811</v>
      </c>
      <c r="B1319" s="6" t="str">
        <f>VLOOKUP(LD_01[[#This Row],[DOCUMENTO]],_xlfn.SORTBY(ARQUIVOS_RECEBIDOS!$E$2:$F$5010,ARQUIVOS_RECEBIDOS!$F$2:$F$5010,-1),2,)</f>
        <v>R00.3</v>
      </c>
      <c r="C1319" s="15" t="s">
        <v>5988</v>
      </c>
      <c r="D1319" s="6" t="s">
        <v>5914</v>
      </c>
      <c r="E1319" s="8" t="s">
        <v>5924</v>
      </c>
      <c r="F1319" s="8" t="s">
        <v>4141</v>
      </c>
      <c r="G1319" s="6" t="str">
        <f>_xlfn.XLOOKUP(LD_01[[#This Row],[DISCIPLINA]],'CLASSES DE PROJETOS'!$F$3:$F$37,'CLASSES DE PROJETOS'!$C$3:$C$37)</f>
        <v>GE</v>
      </c>
      <c r="H1319" s="6" t="str">
        <f>_xlfn.TEXTJOIN("/",TRUE,"MSV-163MS-"&amp;LD_01[[#This Row],[TRECHO]],_xlfn.XLOOKUP(LD_01[[#This Row],[SIGLA]],'CLASSES DE PROJETOS'!$C$3:$C$37,'CLASSES DE PROJETOS'!$E$3:$E$37))</f>
        <v>MSV-163MS-647-650/18.GE</v>
      </c>
      <c r="I1319" s="6" t="str" cm="1">
        <f t="array" ref="I1319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J1319" s="6" t="str" cm="1">
        <f t="array" ref="J1319">_xlfn.TEXTJOIN(", ",TRUE,_xlfn.UNIQUE(_xlfn._xlws.FILTER(ARQUIVOS_RECEBIDOS!$F$2:$F$5010,ARQUIVOS_RECEBIDOS!$E$2:$E$5010=LD_01[[#This Row],[DOCUMENTO]])))</f>
        <v>R00.3</v>
      </c>
      <c r="K1319" s="12" cm="1">
        <f t="array" ref="K1319">_xlfn.UNIQUE(_xlfn._xlws.FILTER(ARQUIVOS[DATA RECEBIMENTO],(ARQUIVOS[DOCUMENTO]=LD_01[[#This Row],[DOCUMENTO]])*(ARQUIVOS[REVISÃO]=LD_01[[#This Row],[REVISÃO]])))</f>
        <v>46043</v>
      </c>
      <c r="L13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M1319" s="6" t="str">
        <f>LD_01[[#This Row],[PASTA]]&amp;"/"&amp;LD_01[[#This Row],[ARQUIVO]]</f>
        <v>MSV-163MS-647-650/18.GE/MSV-163MS-647-650-ACA-EXE-DE-F1-007-R00.3.pdf</v>
      </c>
    </row>
    <row r="1320" spans="1:13" ht="28.8" hidden="1" x14ac:dyDescent="0.3">
      <c r="A1320" s="6" t="s">
        <v>5812</v>
      </c>
      <c r="B1320" s="6" t="str">
        <f>VLOOKUP(LD_01[[#This Row],[DOCUMENTO]],_xlfn.SORTBY(ARQUIVOS_RECEBIDOS!$E$2:$F$5010,ARQUIVOS_RECEBIDOS!$F$2:$F$5010,-1),2,)</f>
        <v>R00.3</v>
      </c>
      <c r="C1320" s="15" t="s">
        <v>5988</v>
      </c>
      <c r="D1320" s="6" t="s">
        <v>5914</v>
      </c>
      <c r="E1320" s="8" t="s">
        <v>5925</v>
      </c>
      <c r="F1320" s="8" t="s">
        <v>4141</v>
      </c>
      <c r="G1320" s="6" t="str">
        <f>_xlfn.XLOOKUP(LD_01[[#This Row],[DISCIPLINA]],'CLASSES DE PROJETOS'!$F$3:$F$37,'CLASSES DE PROJETOS'!$C$3:$C$37)</f>
        <v>GE</v>
      </c>
      <c r="H1320" s="6" t="str">
        <f>_xlfn.TEXTJOIN("/",TRUE,"MSV-163MS-"&amp;LD_01[[#This Row],[TRECHO]],_xlfn.XLOOKUP(LD_01[[#This Row],[SIGLA]],'CLASSES DE PROJETOS'!$C$3:$C$37,'CLASSES DE PROJETOS'!$E$3:$E$37))</f>
        <v>MSV-163MS-647-650/18.GE</v>
      </c>
      <c r="I1320" s="6" t="str" cm="1">
        <f t="array" ref="I1320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J1320" s="6" t="str" cm="1">
        <f t="array" ref="J1320">_xlfn.TEXTJOIN(", ",TRUE,_xlfn.UNIQUE(_xlfn._xlws.FILTER(ARQUIVOS_RECEBIDOS!$F$2:$F$5010,ARQUIVOS_RECEBIDOS!$E$2:$E$5010=LD_01[[#This Row],[DOCUMENTO]])))</f>
        <v>R00.3</v>
      </c>
      <c r="K1320" s="12" cm="1">
        <f t="array" ref="K1320">_xlfn.UNIQUE(_xlfn._xlws.FILTER(ARQUIVOS[DATA RECEBIMENTO],(ARQUIVOS[DOCUMENTO]=LD_01[[#This Row],[DOCUMENTO]])*(ARQUIVOS[REVISÃO]=LD_01[[#This Row],[REVISÃO]])))</f>
        <v>46043</v>
      </c>
      <c r="L13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M1320" s="6" t="str">
        <f>LD_01[[#This Row],[PASTA]]&amp;"/"&amp;LD_01[[#This Row],[ARQUIVO]]</f>
        <v>MSV-163MS-647-650/18.GE/MSV-163MS-647-650-ACA-EXE-DE-F1-008-R00.3.pdf</v>
      </c>
    </row>
    <row r="1321" spans="1:13" ht="28.8" hidden="1" x14ac:dyDescent="0.3">
      <c r="A1321" s="6" t="s">
        <v>5813</v>
      </c>
      <c r="B1321" s="6" t="str">
        <f>VLOOKUP(LD_01[[#This Row],[DOCUMENTO]],_xlfn.SORTBY(ARQUIVOS_RECEBIDOS!$E$2:$F$5010,ARQUIVOS_RECEBIDOS!$F$2:$F$5010,-1),2,)</f>
        <v>R00.3</v>
      </c>
      <c r="C1321" s="15" t="s">
        <v>5988</v>
      </c>
      <c r="D1321" s="6" t="s">
        <v>5914</v>
      </c>
      <c r="E1321" s="8" t="s">
        <v>5926</v>
      </c>
      <c r="F1321" s="8" t="s">
        <v>4141</v>
      </c>
      <c r="G1321" s="6" t="str">
        <f>_xlfn.XLOOKUP(LD_01[[#This Row],[DISCIPLINA]],'CLASSES DE PROJETOS'!$F$3:$F$37,'CLASSES DE PROJETOS'!$C$3:$C$37)</f>
        <v>GE</v>
      </c>
      <c r="H1321" s="6" t="str">
        <f>_xlfn.TEXTJOIN("/",TRUE,"MSV-163MS-"&amp;LD_01[[#This Row],[TRECHO]],_xlfn.XLOOKUP(LD_01[[#This Row],[SIGLA]],'CLASSES DE PROJETOS'!$C$3:$C$37,'CLASSES DE PROJETOS'!$E$3:$E$37))</f>
        <v>MSV-163MS-647-650/18.GE</v>
      </c>
      <c r="I1321" s="6" t="str" cm="1">
        <f t="array" ref="I1321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J1321" s="6" t="str" cm="1">
        <f t="array" ref="J1321">_xlfn.TEXTJOIN(", ",TRUE,_xlfn.UNIQUE(_xlfn._xlws.FILTER(ARQUIVOS_RECEBIDOS!$F$2:$F$5010,ARQUIVOS_RECEBIDOS!$E$2:$E$5010=LD_01[[#This Row],[DOCUMENTO]])))</f>
        <v>R00.3</v>
      </c>
      <c r="K1321" s="12" cm="1">
        <f t="array" ref="K1321">_xlfn.UNIQUE(_xlfn._xlws.FILTER(ARQUIVOS[DATA RECEBIMENTO],(ARQUIVOS[DOCUMENTO]=LD_01[[#This Row],[DOCUMENTO]])*(ARQUIVOS[REVISÃO]=LD_01[[#This Row],[REVISÃO]])))</f>
        <v>46043</v>
      </c>
      <c r="L13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M1321" s="6" t="str">
        <f>LD_01[[#This Row],[PASTA]]&amp;"/"&amp;LD_01[[#This Row],[ARQUIVO]]</f>
        <v>MSV-163MS-647-650/18.GE/MSV-163MS-647-650-ACA-EXE-DE-F1-009-R00.3.pdf</v>
      </c>
    </row>
    <row r="1322" spans="1:13" ht="28.8" hidden="1" x14ac:dyDescent="0.3">
      <c r="A1322" s="6" t="s">
        <v>5814</v>
      </c>
      <c r="B1322" s="6" t="str">
        <f>VLOOKUP(LD_01[[#This Row],[DOCUMENTO]],_xlfn.SORTBY(ARQUIVOS_RECEBIDOS!$E$2:$F$5010,ARQUIVOS_RECEBIDOS!$F$2:$F$5010,-1),2,)</f>
        <v>R00.3</v>
      </c>
      <c r="C1322" s="15" t="s">
        <v>5988</v>
      </c>
      <c r="D1322" s="6" t="s">
        <v>5914</v>
      </c>
      <c r="E1322" s="8" t="s">
        <v>5927</v>
      </c>
      <c r="F1322" s="8" t="s">
        <v>4141</v>
      </c>
      <c r="G1322" s="6" t="str">
        <f>_xlfn.XLOOKUP(LD_01[[#This Row],[DISCIPLINA]],'CLASSES DE PROJETOS'!$F$3:$F$37,'CLASSES DE PROJETOS'!$C$3:$C$37)</f>
        <v>GE</v>
      </c>
      <c r="H1322" s="6" t="str">
        <f>_xlfn.TEXTJOIN("/",TRUE,"MSV-163MS-"&amp;LD_01[[#This Row],[TRECHO]],_xlfn.XLOOKUP(LD_01[[#This Row],[SIGLA]],'CLASSES DE PROJETOS'!$C$3:$C$37,'CLASSES DE PROJETOS'!$E$3:$E$37))</f>
        <v>MSV-163MS-647-650/18.GE</v>
      </c>
      <c r="I1322" s="6" t="str" cm="1">
        <f t="array" ref="I1322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J1322" s="6" t="str" cm="1">
        <f t="array" ref="J1322">_xlfn.TEXTJOIN(", ",TRUE,_xlfn.UNIQUE(_xlfn._xlws.FILTER(ARQUIVOS_RECEBIDOS!$F$2:$F$5010,ARQUIVOS_RECEBIDOS!$E$2:$E$5010=LD_01[[#This Row],[DOCUMENTO]])))</f>
        <v>R00.3</v>
      </c>
      <c r="K1322" s="12" cm="1">
        <f t="array" ref="K1322">_xlfn.UNIQUE(_xlfn._xlws.FILTER(ARQUIVOS[DATA RECEBIMENTO],(ARQUIVOS[DOCUMENTO]=LD_01[[#This Row],[DOCUMENTO]])*(ARQUIVOS[REVISÃO]=LD_01[[#This Row],[REVISÃO]])))</f>
        <v>46043</v>
      </c>
      <c r="L13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M1322" s="6" t="str">
        <f>LD_01[[#This Row],[PASTA]]&amp;"/"&amp;LD_01[[#This Row],[ARQUIVO]]</f>
        <v>MSV-163MS-647-650/18.GE/MSV-163MS-647-650-ACA-EXE-DE-F1-010-R00.3.pdf</v>
      </c>
    </row>
    <row r="1323" spans="1:13" ht="43.2" hidden="1" x14ac:dyDescent="0.3">
      <c r="A1323" s="6" t="s">
        <v>5878</v>
      </c>
      <c r="B1323" s="6" t="str">
        <f>VLOOKUP(LD_01[[#This Row],[DOCUMENTO]],_xlfn.SORTBY(ARQUIVOS_RECEBIDOS!$E$2:$F$5010,ARQUIVOS_RECEBIDOS!$F$2:$F$5010,-1),2,)</f>
        <v>R00.1</v>
      </c>
      <c r="C1323" s="15" t="s">
        <v>5988</v>
      </c>
      <c r="D1323" s="6" t="s">
        <v>5914</v>
      </c>
      <c r="E1323" s="8" t="s">
        <v>5928</v>
      </c>
      <c r="F1323" s="8" t="s">
        <v>4330</v>
      </c>
      <c r="G1323" s="6" t="str">
        <f>_xlfn.XLOOKUP(LD_01[[#This Row],[DISCIPLINA]],'CLASSES DE PROJETOS'!$F$3:$F$37,'CLASSES DE PROJETOS'!$C$3:$C$37)</f>
        <v>TE</v>
      </c>
      <c r="H1323" s="6" t="str">
        <f>_xlfn.TEXTJOIN("/",TRUE,"MSV-163MS-"&amp;LD_01[[#This Row],[TRECHO]],_xlfn.XLOOKUP(LD_01[[#This Row],[SIGLA]],'CLASSES DE PROJETOS'!$C$3:$C$37,'CLASSES DE PROJETOS'!$E$3:$E$37))</f>
        <v>MSV-163MS-647-650/32.TE</v>
      </c>
      <c r="I1323" s="6" t="str" cm="1">
        <f t="array" ref="I1323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J1323" s="6" t="str" cm="1">
        <f t="array" ref="J1323">_xlfn.TEXTJOIN(", ",TRUE,_xlfn.UNIQUE(_xlfn._xlws.FILTER(ARQUIVOS_RECEBIDOS!$F$2:$F$5010,ARQUIVOS_RECEBIDOS!$E$2:$E$5010=LD_01[[#This Row],[DOCUMENTO]])))</f>
        <v>R00.1</v>
      </c>
      <c r="K1323" s="12" cm="1">
        <f t="array" ref="K1323">_xlfn.UNIQUE(_xlfn._xlws.FILTER(ARQUIVOS[DATA RECEBIMENTO],(ARQUIVOS[DOCUMENTO]=LD_01[[#This Row],[DOCUMENTO]])*(ARQUIVOS[REVISÃO]=LD_01[[#This Row],[REVISÃO]])))</f>
        <v>46043</v>
      </c>
      <c r="L13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M1323" s="6" t="str">
        <f>LD_01[[#This Row],[PASTA]]&amp;"/"&amp;LD_01[[#This Row],[ARQUIVO]]</f>
        <v>MSV-163MS-647-650/32.TE/MSV-163MS-647-650-ACA-EXE-DE-G1-001-R00.1.pdf</v>
      </c>
    </row>
    <row r="1324" spans="1:13" ht="43.2" hidden="1" x14ac:dyDescent="0.3">
      <c r="A1324" s="6" t="s">
        <v>5879</v>
      </c>
      <c r="B1324" s="6" t="str">
        <f>VLOOKUP(LD_01[[#This Row],[DOCUMENTO]],_xlfn.SORTBY(ARQUIVOS_RECEBIDOS!$E$2:$F$5010,ARQUIVOS_RECEBIDOS!$F$2:$F$5010,-1),2,)</f>
        <v>R00.1</v>
      </c>
      <c r="C1324" s="15" t="s">
        <v>5988</v>
      </c>
      <c r="D1324" s="6" t="s">
        <v>5914</v>
      </c>
      <c r="E1324" s="8" t="s">
        <v>5928</v>
      </c>
      <c r="F1324" s="8" t="s">
        <v>4330</v>
      </c>
      <c r="G1324" s="6" t="str">
        <f>_xlfn.XLOOKUP(LD_01[[#This Row],[DISCIPLINA]],'CLASSES DE PROJETOS'!$F$3:$F$37,'CLASSES DE PROJETOS'!$C$3:$C$37)</f>
        <v>TE</v>
      </c>
      <c r="H1324" s="6" t="str">
        <f>_xlfn.TEXTJOIN("/",TRUE,"MSV-163MS-"&amp;LD_01[[#This Row],[TRECHO]],_xlfn.XLOOKUP(LD_01[[#This Row],[SIGLA]],'CLASSES DE PROJETOS'!$C$3:$C$37,'CLASSES DE PROJETOS'!$E$3:$E$37))</f>
        <v>MSV-163MS-647-650/32.TE</v>
      </c>
      <c r="I1324" s="6" t="str" cm="1">
        <f t="array" ref="I1324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J1324" s="6" t="str" cm="1">
        <f t="array" ref="J1324">_xlfn.TEXTJOIN(", ",TRUE,_xlfn.UNIQUE(_xlfn._xlws.FILTER(ARQUIVOS_RECEBIDOS!$F$2:$F$5010,ARQUIVOS_RECEBIDOS!$E$2:$E$5010=LD_01[[#This Row],[DOCUMENTO]])))</f>
        <v>R00.1</v>
      </c>
      <c r="K1324" s="12" cm="1">
        <f t="array" ref="K1324">_xlfn.UNIQUE(_xlfn._xlws.FILTER(ARQUIVOS[DATA RECEBIMENTO],(ARQUIVOS[DOCUMENTO]=LD_01[[#This Row],[DOCUMENTO]])*(ARQUIVOS[REVISÃO]=LD_01[[#This Row],[REVISÃO]])))</f>
        <v>46043</v>
      </c>
      <c r="L13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M1324" s="6" t="str">
        <f>LD_01[[#This Row],[PASTA]]&amp;"/"&amp;LD_01[[#This Row],[ARQUIVO]]</f>
        <v>MSV-163MS-647-650/32.TE/MSV-163MS-647-650-ACA-EXE-DE-G1-002-R00.1.pdf</v>
      </c>
    </row>
    <row r="1325" spans="1:13" ht="43.2" hidden="1" x14ac:dyDescent="0.3">
      <c r="A1325" s="6" t="s">
        <v>5880</v>
      </c>
      <c r="B1325" s="6" t="str">
        <f>VLOOKUP(LD_01[[#This Row],[DOCUMENTO]],_xlfn.SORTBY(ARQUIVOS_RECEBIDOS!$E$2:$F$5010,ARQUIVOS_RECEBIDOS!$F$2:$F$5010,-1),2,)</f>
        <v>R00.1</v>
      </c>
      <c r="C1325" s="15" t="s">
        <v>5988</v>
      </c>
      <c r="D1325" s="6" t="s">
        <v>5914</v>
      </c>
      <c r="E1325" s="8" t="s">
        <v>5928</v>
      </c>
      <c r="F1325" s="8" t="s">
        <v>4330</v>
      </c>
      <c r="G1325" s="6" t="str">
        <f>_xlfn.XLOOKUP(LD_01[[#This Row],[DISCIPLINA]],'CLASSES DE PROJETOS'!$F$3:$F$37,'CLASSES DE PROJETOS'!$C$3:$C$37)</f>
        <v>TE</v>
      </c>
      <c r="H1325" s="6" t="str">
        <f>_xlfn.TEXTJOIN("/",TRUE,"MSV-163MS-"&amp;LD_01[[#This Row],[TRECHO]],_xlfn.XLOOKUP(LD_01[[#This Row],[SIGLA]],'CLASSES DE PROJETOS'!$C$3:$C$37,'CLASSES DE PROJETOS'!$E$3:$E$37))</f>
        <v>MSV-163MS-647-650/32.TE</v>
      </c>
      <c r="I1325" s="6" t="str" cm="1">
        <f t="array" ref="I1325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J1325" s="6" t="str" cm="1">
        <f t="array" ref="J1325">_xlfn.TEXTJOIN(", ",TRUE,_xlfn.UNIQUE(_xlfn._xlws.FILTER(ARQUIVOS_RECEBIDOS!$F$2:$F$5010,ARQUIVOS_RECEBIDOS!$E$2:$E$5010=LD_01[[#This Row],[DOCUMENTO]])))</f>
        <v>R00.1</v>
      </c>
      <c r="K1325" s="12" cm="1">
        <f t="array" ref="K1325">_xlfn.UNIQUE(_xlfn._xlws.FILTER(ARQUIVOS[DATA RECEBIMENTO],(ARQUIVOS[DOCUMENTO]=LD_01[[#This Row],[DOCUMENTO]])*(ARQUIVOS[REVISÃO]=LD_01[[#This Row],[REVISÃO]])))</f>
        <v>46043</v>
      </c>
      <c r="L13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M1325" s="6" t="str">
        <f>LD_01[[#This Row],[PASTA]]&amp;"/"&amp;LD_01[[#This Row],[ARQUIVO]]</f>
        <v>MSV-163MS-647-650/32.TE/MSV-163MS-647-650-ACA-EXE-DE-G1-003-R00.1.pdf</v>
      </c>
    </row>
    <row r="1326" spans="1:13" ht="43.2" hidden="1" x14ac:dyDescent="0.3">
      <c r="A1326" s="6" t="s">
        <v>5881</v>
      </c>
      <c r="B1326" s="6" t="str">
        <f>VLOOKUP(LD_01[[#This Row],[DOCUMENTO]],_xlfn.SORTBY(ARQUIVOS_RECEBIDOS!$E$2:$F$5010,ARQUIVOS_RECEBIDOS!$F$2:$F$5010,-1),2,)</f>
        <v>R00.1</v>
      </c>
      <c r="C1326" s="15" t="s">
        <v>5988</v>
      </c>
      <c r="D1326" s="6" t="s">
        <v>5914</v>
      </c>
      <c r="E1326" s="8" t="s">
        <v>5928</v>
      </c>
      <c r="F1326" s="8" t="s">
        <v>4330</v>
      </c>
      <c r="G1326" s="6" t="str">
        <f>_xlfn.XLOOKUP(LD_01[[#This Row],[DISCIPLINA]],'CLASSES DE PROJETOS'!$F$3:$F$37,'CLASSES DE PROJETOS'!$C$3:$C$37)</f>
        <v>TE</v>
      </c>
      <c r="H1326" s="6" t="str">
        <f>_xlfn.TEXTJOIN("/",TRUE,"MSV-163MS-"&amp;LD_01[[#This Row],[TRECHO]],_xlfn.XLOOKUP(LD_01[[#This Row],[SIGLA]],'CLASSES DE PROJETOS'!$C$3:$C$37,'CLASSES DE PROJETOS'!$E$3:$E$37))</f>
        <v>MSV-163MS-647-650/32.TE</v>
      </c>
      <c r="I1326" s="6" t="str" cm="1">
        <f t="array" ref="I1326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J1326" s="6" t="str" cm="1">
        <f t="array" ref="J1326">_xlfn.TEXTJOIN(", ",TRUE,_xlfn.UNIQUE(_xlfn._xlws.FILTER(ARQUIVOS_RECEBIDOS!$F$2:$F$5010,ARQUIVOS_RECEBIDOS!$E$2:$E$5010=LD_01[[#This Row],[DOCUMENTO]])))</f>
        <v>R00.1</v>
      </c>
      <c r="K1326" s="12" cm="1">
        <f t="array" ref="K1326">_xlfn.UNIQUE(_xlfn._xlws.FILTER(ARQUIVOS[DATA RECEBIMENTO],(ARQUIVOS[DOCUMENTO]=LD_01[[#This Row],[DOCUMENTO]])*(ARQUIVOS[REVISÃO]=LD_01[[#This Row],[REVISÃO]])))</f>
        <v>46043</v>
      </c>
      <c r="L13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M1326" s="6" t="str">
        <f>LD_01[[#This Row],[PASTA]]&amp;"/"&amp;LD_01[[#This Row],[ARQUIVO]]</f>
        <v>MSV-163MS-647-650/32.TE/MSV-163MS-647-650-ACA-EXE-DE-G1-004-R00.1.pdf</v>
      </c>
    </row>
    <row r="1327" spans="1:13" ht="43.2" hidden="1" x14ac:dyDescent="0.3">
      <c r="A1327" s="6" t="s">
        <v>5882</v>
      </c>
      <c r="B1327" s="6" t="str">
        <f>VLOOKUP(LD_01[[#This Row],[DOCUMENTO]],_xlfn.SORTBY(ARQUIVOS_RECEBIDOS!$E$2:$F$5010,ARQUIVOS_RECEBIDOS!$F$2:$F$5010,-1),2,)</f>
        <v>R00.1</v>
      </c>
      <c r="C1327" s="15" t="s">
        <v>5988</v>
      </c>
      <c r="D1327" s="6" t="s">
        <v>5914</v>
      </c>
      <c r="E1327" s="8" t="s">
        <v>5928</v>
      </c>
      <c r="F1327" s="8" t="s">
        <v>4330</v>
      </c>
      <c r="G1327" s="6" t="str">
        <f>_xlfn.XLOOKUP(LD_01[[#This Row],[DISCIPLINA]],'CLASSES DE PROJETOS'!$F$3:$F$37,'CLASSES DE PROJETOS'!$C$3:$C$37)</f>
        <v>TE</v>
      </c>
      <c r="H1327" s="6" t="str">
        <f>_xlfn.TEXTJOIN("/",TRUE,"MSV-163MS-"&amp;LD_01[[#This Row],[TRECHO]],_xlfn.XLOOKUP(LD_01[[#This Row],[SIGLA]],'CLASSES DE PROJETOS'!$C$3:$C$37,'CLASSES DE PROJETOS'!$E$3:$E$37))</f>
        <v>MSV-163MS-647-650/32.TE</v>
      </c>
      <c r="I1327" s="6" t="str" cm="1">
        <f t="array" ref="I1327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J1327" s="6" t="str" cm="1">
        <f t="array" ref="J1327">_xlfn.TEXTJOIN(", ",TRUE,_xlfn.UNIQUE(_xlfn._xlws.FILTER(ARQUIVOS_RECEBIDOS!$F$2:$F$5010,ARQUIVOS_RECEBIDOS!$E$2:$E$5010=LD_01[[#This Row],[DOCUMENTO]])))</f>
        <v>R00.1</v>
      </c>
      <c r="K1327" s="12" cm="1">
        <f t="array" ref="K1327">_xlfn.UNIQUE(_xlfn._xlws.FILTER(ARQUIVOS[DATA RECEBIMENTO],(ARQUIVOS[DOCUMENTO]=LD_01[[#This Row],[DOCUMENTO]])*(ARQUIVOS[REVISÃO]=LD_01[[#This Row],[REVISÃO]])))</f>
        <v>46043</v>
      </c>
      <c r="L13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M1327" s="6" t="str">
        <f>LD_01[[#This Row],[PASTA]]&amp;"/"&amp;LD_01[[#This Row],[ARQUIVO]]</f>
        <v>MSV-163MS-647-650/32.TE/MSV-163MS-647-650-ACA-EXE-DE-G1-005-R00.1.pdf</v>
      </c>
    </row>
    <row r="1328" spans="1:13" ht="43.2" hidden="1" x14ac:dyDescent="0.3">
      <c r="A1328" s="6" t="s">
        <v>5883</v>
      </c>
      <c r="B1328" s="6" t="str">
        <f>VLOOKUP(LD_01[[#This Row],[DOCUMENTO]],_xlfn.SORTBY(ARQUIVOS_RECEBIDOS!$E$2:$F$5010,ARQUIVOS_RECEBIDOS!$F$2:$F$5010,-1),2,)</f>
        <v>R00.1</v>
      </c>
      <c r="C1328" s="15" t="s">
        <v>5988</v>
      </c>
      <c r="D1328" s="6" t="s">
        <v>5914</v>
      </c>
      <c r="E1328" s="8" t="s">
        <v>5928</v>
      </c>
      <c r="F1328" s="8" t="s">
        <v>4330</v>
      </c>
      <c r="G1328" s="6" t="str">
        <f>_xlfn.XLOOKUP(LD_01[[#This Row],[DISCIPLINA]],'CLASSES DE PROJETOS'!$F$3:$F$37,'CLASSES DE PROJETOS'!$C$3:$C$37)</f>
        <v>TE</v>
      </c>
      <c r="H1328" s="6" t="str">
        <f>_xlfn.TEXTJOIN("/",TRUE,"MSV-163MS-"&amp;LD_01[[#This Row],[TRECHO]],_xlfn.XLOOKUP(LD_01[[#This Row],[SIGLA]],'CLASSES DE PROJETOS'!$C$3:$C$37,'CLASSES DE PROJETOS'!$E$3:$E$37))</f>
        <v>MSV-163MS-647-650/32.TE</v>
      </c>
      <c r="I1328" s="6" t="str" cm="1">
        <f t="array" ref="I1328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J1328" s="6" t="str" cm="1">
        <f t="array" ref="J1328">_xlfn.TEXTJOIN(", ",TRUE,_xlfn.UNIQUE(_xlfn._xlws.FILTER(ARQUIVOS_RECEBIDOS!$F$2:$F$5010,ARQUIVOS_RECEBIDOS!$E$2:$E$5010=LD_01[[#This Row],[DOCUMENTO]])))</f>
        <v>R00.1</v>
      </c>
      <c r="K1328" s="12" cm="1">
        <f t="array" ref="K1328">_xlfn.UNIQUE(_xlfn._xlws.FILTER(ARQUIVOS[DATA RECEBIMENTO],(ARQUIVOS[DOCUMENTO]=LD_01[[#This Row],[DOCUMENTO]])*(ARQUIVOS[REVISÃO]=LD_01[[#This Row],[REVISÃO]])))</f>
        <v>46043</v>
      </c>
      <c r="L13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M1328" s="6" t="str">
        <f>LD_01[[#This Row],[PASTA]]&amp;"/"&amp;LD_01[[#This Row],[ARQUIVO]]</f>
        <v>MSV-163MS-647-650/32.TE/MSV-163MS-647-650-ACA-EXE-DE-G1-006-R00.1.pdf</v>
      </c>
    </row>
    <row r="1329" spans="1:13" ht="43.2" hidden="1" x14ac:dyDescent="0.3">
      <c r="A1329" s="6" t="s">
        <v>5884</v>
      </c>
      <c r="B1329" s="6" t="str">
        <f>VLOOKUP(LD_01[[#This Row],[DOCUMENTO]],_xlfn.SORTBY(ARQUIVOS_RECEBIDOS!$E$2:$F$5010,ARQUIVOS_RECEBIDOS!$F$2:$F$5010,-1),2,)</f>
        <v>R00.1</v>
      </c>
      <c r="C1329" s="15" t="s">
        <v>5988</v>
      </c>
      <c r="D1329" s="6" t="s">
        <v>5914</v>
      </c>
      <c r="E1329" s="8" t="s">
        <v>5928</v>
      </c>
      <c r="F1329" s="8" t="s">
        <v>4330</v>
      </c>
      <c r="G1329" s="6" t="str">
        <f>_xlfn.XLOOKUP(LD_01[[#This Row],[DISCIPLINA]],'CLASSES DE PROJETOS'!$F$3:$F$37,'CLASSES DE PROJETOS'!$C$3:$C$37)</f>
        <v>TE</v>
      </c>
      <c r="H1329" s="6" t="str">
        <f>_xlfn.TEXTJOIN("/",TRUE,"MSV-163MS-"&amp;LD_01[[#This Row],[TRECHO]],_xlfn.XLOOKUP(LD_01[[#This Row],[SIGLA]],'CLASSES DE PROJETOS'!$C$3:$C$37,'CLASSES DE PROJETOS'!$E$3:$E$37))</f>
        <v>MSV-163MS-647-650/32.TE</v>
      </c>
      <c r="I1329" s="6" t="str" cm="1">
        <f t="array" ref="I1329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J1329" s="6" t="str" cm="1">
        <f t="array" ref="J1329">_xlfn.TEXTJOIN(", ",TRUE,_xlfn.UNIQUE(_xlfn._xlws.FILTER(ARQUIVOS_RECEBIDOS!$F$2:$F$5010,ARQUIVOS_RECEBIDOS!$E$2:$E$5010=LD_01[[#This Row],[DOCUMENTO]])))</f>
        <v>R00.1</v>
      </c>
      <c r="K1329" s="12" cm="1">
        <f t="array" ref="K1329">_xlfn.UNIQUE(_xlfn._xlws.FILTER(ARQUIVOS[DATA RECEBIMENTO],(ARQUIVOS[DOCUMENTO]=LD_01[[#This Row],[DOCUMENTO]])*(ARQUIVOS[REVISÃO]=LD_01[[#This Row],[REVISÃO]])))</f>
        <v>46043</v>
      </c>
      <c r="L13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M1329" s="6" t="str">
        <f>LD_01[[#This Row],[PASTA]]&amp;"/"&amp;LD_01[[#This Row],[ARQUIVO]]</f>
        <v>MSV-163MS-647-650/32.TE/MSV-163MS-647-650-ACA-EXE-DE-G1-007-R00.1.pdf</v>
      </c>
    </row>
    <row r="1330" spans="1:13" ht="43.2" hidden="1" x14ac:dyDescent="0.3">
      <c r="A1330" s="6" t="s">
        <v>5885</v>
      </c>
      <c r="B1330" s="6" t="str">
        <f>VLOOKUP(LD_01[[#This Row],[DOCUMENTO]],_xlfn.SORTBY(ARQUIVOS_RECEBIDOS!$E$2:$F$5010,ARQUIVOS_RECEBIDOS!$F$2:$F$5010,-1),2,)</f>
        <v>R00.1</v>
      </c>
      <c r="C1330" s="15" t="s">
        <v>5988</v>
      </c>
      <c r="D1330" s="6" t="s">
        <v>5914</v>
      </c>
      <c r="E1330" s="8" t="s">
        <v>5928</v>
      </c>
      <c r="F1330" s="8" t="s">
        <v>4330</v>
      </c>
      <c r="G1330" s="6" t="str">
        <f>_xlfn.XLOOKUP(LD_01[[#This Row],[DISCIPLINA]],'CLASSES DE PROJETOS'!$F$3:$F$37,'CLASSES DE PROJETOS'!$C$3:$C$37)</f>
        <v>TE</v>
      </c>
      <c r="H1330" s="6" t="str">
        <f>_xlfn.TEXTJOIN("/",TRUE,"MSV-163MS-"&amp;LD_01[[#This Row],[TRECHO]],_xlfn.XLOOKUP(LD_01[[#This Row],[SIGLA]],'CLASSES DE PROJETOS'!$C$3:$C$37,'CLASSES DE PROJETOS'!$E$3:$E$37))</f>
        <v>MSV-163MS-647-650/32.TE</v>
      </c>
      <c r="I1330" s="6" t="str" cm="1">
        <f t="array" ref="I1330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J1330" s="6" t="str" cm="1">
        <f t="array" ref="J1330">_xlfn.TEXTJOIN(", ",TRUE,_xlfn.UNIQUE(_xlfn._xlws.FILTER(ARQUIVOS_RECEBIDOS!$F$2:$F$5010,ARQUIVOS_RECEBIDOS!$E$2:$E$5010=LD_01[[#This Row],[DOCUMENTO]])))</f>
        <v>R00.1</v>
      </c>
      <c r="K1330" s="12" cm="1">
        <f t="array" ref="K1330">_xlfn.UNIQUE(_xlfn._xlws.FILTER(ARQUIVOS[DATA RECEBIMENTO],(ARQUIVOS[DOCUMENTO]=LD_01[[#This Row],[DOCUMENTO]])*(ARQUIVOS[REVISÃO]=LD_01[[#This Row],[REVISÃO]])))</f>
        <v>46043</v>
      </c>
      <c r="L13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M1330" s="6" t="str">
        <f>LD_01[[#This Row],[PASTA]]&amp;"/"&amp;LD_01[[#This Row],[ARQUIVO]]</f>
        <v>MSV-163MS-647-650/32.TE/MSV-163MS-647-650-ACA-EXE-DE-G1-008-R00.1.pdf</v>
      </c>
    </row>
    <row r="1331" spans="1:13" ht="57.6" hidden="1" x14ac:dyDescent="0.3">
      <c r="A1331" s="6" t="s">
        <v>5886</v>
      </c>
      <c r="B1331" s="6" t="str">
        <f>VLOOKUP(LD_01[[#This Row],[DOCUMENTO]],_xlfn.SORTBY(ARQUIVOS_RECEBIDOS!$E$2:$F$5010,ARQUIVOS_RECEBIDOS!$F$2:$F$5010,-1),2,)</f>
        <v>R00.6</v>
      </c>
      <c r="C1331" s="15" t="s">
        <v>5988</v>
      </c>
      <c r="D1331" s="6" t="s">
        <v>5914</v>
      </c>
      <c r="E1331" s="8" t="s">
        <v>5929</v>
      </c>
      <c r="F1331" s="8" t="s">
        <v>4330</v>
      </c>
      <c r="G1331" s="6" t="str">
        <f>_xlfn.XLOOKUP(LD_01[[#This Row],[DISCIPLINA]],'CLASSES DE PROJETOS'!$F$3:$F$37,'CLASSES DE PROJETOS'!$C$3:$C$37)</f>
        <v>TE</v>
      </c>
      <c r="H1331" s="6" t="str">
        <f>_xlfn.TEXTJOIN("/",TRUE,"MSV-163MS-"&amp;LD_01[[#This Row],[TRECHO]],_xlfn.XLOOKUP(LD_01[[#This Row],[SIGLA]],'CLASSES DE PROJETOS'!$C$3:$C$37,'CLASSES DE PROJETOS'!$E$3:$E$37))</f>
        <v>MSV-163MS-647-650/32.TE</v>
      </c>
      <c r="I1331" s="6" t="str" cm="1">
        <f t="array" ref="I1331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J1331" s="6" t="str" cm="1">
        <f t="array" ref="J1331">_xlfn.TEXTJOIN(", ",TRUE,_xlfn.UNIQUE(_xlfn._xlws.FILTER(ARQUIVOS_RECEBIDOS!$F$2:$F$5010,ARQUIVOS_RECEBIDOS!$E$2:$E$5010=LD_01[[#This Row],[DOCUMENTO]])))</f>
        <v>R00.6</v>
      </c>
      <c r="K1331" s="12" cm="1">
        <f t="array" ref="K1331">_xlfn.UNIQUE(_xlfn._xlws.FILTER(ARQUIVOS[DATA RECEBIMENTO],(ARQUIVOS[DOCUMENTO]=LD_01[[#This Row],[DOCUMENTO]])*(ARQUIVOS[REVISÃO]=LD_01[[#This Row],[REVISÃO]])))</f>
        <v>46043</v>
      </c>
      <c r="L13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M1331" s="6" t="str">
        <f>LD_01[[#This Row],[PASTA]]&amp;"/"&amp;LD_01[[#This Row],[ARQUIVO]]</f>
        <v>MSV-163MS-647-650/32.TE/MSV-163MS-647-650-ACA-EXE-DE-G1-015-R00.6.pdf</v>
      </c>
    </row>
    <row r="1332" spans="1:13" ht="28.8" hidden="1" x14ac:dyDescent="0.3">
      <c r="A1332" s="6" t="s">
        <v>5887</v>
      </c>
      <c r="B1332" s="6" t="str">
        <f>VLOOKUP(LD_01[[#This Row],[DOCUMENTO]],_xlfn.SORTBY(ARQUIVOS_RECEBIDOS!$E$2:$F$5010,ARQUIVOS_RECEBIDOS!$F$2:$F$5010,-1),2,)</f>
        <v>R00.3</v>
      </c>
      <c r="C1332" s="15" t="s">
        <v>5988</v>
      </c>
      <c r="D1332" s="6" t="s">
        <v>5914</v>
      </c>
      <c r="E1332" s="8" t="s">
        <v>4933</v>
      </c>
      <c r="F1332" s="8" t="s">
        <v>4330</v>
      </c>
      <c r="G1332" s="6" t="str">
        <f>_xlfn.XLOOKUP(LD_01[[#This Row],[DISCIPLINA]],'CLASSES DE PROJETOS'!$F$3:$F$37,'CLASSES DE PROJETOS'!$C$3:$C$37)</f>
        <v>TE</v>
      </c>
      <c r="H1332" s="6" t="str">
        <f>_xlfn.TEXTJOIN("/",TRUE,"MSV-163MS-"&amp;LD_01[[#This Row],[TRECHO]],_xlfn.XLOOKUP(LD_01[[#This Row],[SIGLA]],'CLASSES DE PROJETOS'!$C$3:$C$37,'CLASSES DE PROJETOS'!$E$3:$E$37))</f>
        <v>MSV-163MS-647-650/32.TE</v>
      </c>
      <c r="I1332" s="6" t="str" cm="1">
        <f t="array" ref="I1332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J1332" s="6" t="str" cm="1">
        <f t="array" ref="J1332">_xlfn.TEXTJOIN(", ",TRUE,_xlfn.UNIQUE(_xlfn._xlws.FILTER(ARQUIVOS_RECEBIDOS!$F$2:$F$5010,ARQUIVOS_RECEBIDOS!$E$2:$E$5010=LD_01[[#This Row],[DOCUMENTO]])))</f>
        <v>R00.3</v>
      </c>
      <c r="K1332" s="12" cm="1">
        <f t="array" ref="K1332">_xlfn.UNIQUE(_xlfn._xlws.FILTER(ARQUIVOS[DATA RECEBIMENTO],(ARQUIVOS[DOCUMENTO]=LD_01[[#This Row],[DOCUMENTO]])*(ARQUIVOS[REVISÃO]=LD_01[[#This Row],[REVISÃO]])))</f>
        <v>46043</v>
      </c>
      <c r="L13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M1332" s="6" t="str">
        <f>LD_01[[#This Row],[PASTA]]&amp;"/"&amp;LD_01[[#This Row],[ARQUIVO]]</f>
        <v>MSV-163MS-647-650/32.TE/MSV-163MS-647-650-ACA-EXE-DE-G1-018-R00.3.pdf</v>
      </c>
    </row>
    <row r="1333" spans="1:13" ht="43.2" hidden="1" x14ac:dyDescent="0.3">
      <c r="A1333" s="6" t="s">
        <v>5888</v>
      </c>
      <c r="B1333" s="6" t="str">
        <f>VLOOKUP(LD_01[[#This Row],[DOCUMENTO]],_xlfn.SORTBY(ARQUIVOS_RECEBIDOS!$E$2:$F$5010,ARQUIVOS_RECEBIDOS!$F$2:$F$5010,-1),2,)</f>
        <v>R00.1</v>
      </c>
      <c r="C1333" s="15" t="s">
        <v>5988</v>
      </c>
      <c r="D1333" s="6" t="s">
        <v>5914</v>
      </c>
      <c r="E1333" s="8" t="s">
        <v>5930</v>
      </c>
      <c r="F1333" s="8" t="s">
        <v>4330</v>
      </c>
      <c r="G1333" s="6" t="str">
        <f>_xlfn.XLOOKUP(LD_01[[#This Row],[DISCIPLINA]],'CLASSES DE PROJETOS'!$F$3:$F$37,'CLASSES DE PROJETOS'!$C$3:$C$37)</f>
        <v>TE</v>
      </c>
      <c r="H1333" s="6" t="str">
        <f>_xlfn.TEXTJOIN("/",TRUE,"MSV-163MS-"&amp;LD_01[[#This Row],[TRECHO]],_xlfn.XLOOKUP(LD_01[[#This Row],[SIGLA]],'CLASSES DE PROJETOS'!$C$3:$C$37,'CLASSES DE PROJETOS'!$E$3:$E$37))</f>
        <v>MSV-163MS-647-650/32.TE</v>
      </c>
      <c r="I1333" s="6" t="str" cm="1">
        <f t="array" ref="I1333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J1333" s="6" t="str" cm="1">
        <f t="array" ref="J1333">_xlfn.TEXTJOIN(", ",TRUE,_xlfn.UNIQUE(_xlfn._xlws.FILTER(ARQUIVOS_RECEBIDOS!$F$2:$F$5010,ARQUIVOS_RECEBIDOS!$E$2:$E$5010=LD_01[[#This Row],[DOCUMENTO]])))</f>
        <v>R00.1</v>
      </c>
      <c r="K1333" s="12" cm="1">
        <f t="array" ref="K1333">_xlfn.UNIQUE(_xlfn._xlws.FILTER(ARQUIVOS[DATA RECEBIMENTO],(ARQUIVOS[DOCUMENTO]=LD_01[[#This Row],[DOCUMENTO]])*(ARQUIVOS[REVISÃO]=LD_01[[#This Row],[REVISÃO]])))</f>
        <v>46043</v>
      </c>
      <c r="L13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M1333" s="6" t="str">
        <f>LD_01[[#This Row],[PASTA]]&amp;"/"&amp;LD_01[[#This Row],[ARQUIVO]]</f>
        <v>MSV-163MS-647-650/32.TE/MSV-163MS-647-650-ACA-EXE-DE-G1-019-R00.1.pdf</v>
      </c>
    </row>
    <row r="1334" spans="1:13" ht="43.2" hidden="1" x14ac:dyDescent="0.3">
      <c r="A1334" s="6" t="s">
        <v>5889</v>
      </c>
      <c r="B1334" s="6" t="str">
        <f>VLOOKUP(LD_01[[#This Row],[DOCUMENTO]],_xlfn.SORTBY(ARQUIVOS_RECEBIDOS!$E$2:$F$5010,ARQUIVOS_RECEBIDOS!$F$2:$F$5010,-1),2,)</f>
        <v>R00.1</v>
      </c>
      <c r="C1334" s="15" t="s">
        <v>5988</v>
      </c>
      <c r="D1334" s="6" t="s">
        <v>5914</v>
      </c>
      <c r="E1334" s="8" t="s">
        <v>5930</v>
      </c>
      <c r="F1334" s="8" t="s">
        <v>4330</v>
      </c>
      <c r="G1334" s="6" t="str">
        <f>_xlfn.XLOOKUP(LD_01[[#This Row],[DISCIPLINA]],'CLASSES DE PROJETOS'!$F$3:$F$37,'CLASSES DE PROJETOS'!$C$3:$C$37)</f>
        <v>TE</v>
      </c>
      <c r="H1334" s="6" t="str">
        <f>_xlfn.TEXTJOIN("/",TRUE,"MSV-163MS-"&amp;LD_01[[#This Row],[TRECHO]],_xlfn.XLOOKUP(LD_01[[#This Row],[SIGLA]],'CLASSES DE PROJETOS'!$C$3:$C$37,'CLASSES DE PROJETOS'!$E$3:$E$37))</f>
        <v>MSV-163MS-647-650/32.TE</v>
      </c>
      <c r="I1334" s="6" t="str" cm="1">
        <f t="array" ref="I1334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J1334" s="6" t="str" cm="1">
        <f t="array" ref="J1334">_xlfn.TEXTJOIN(", ",TRUE,_xlfn.UNIQUE(_xlfn._xlws.FILTER(ARQUIVOS_RECEBIDOS!$F$2:$F$5010,ARQUIVOS_RECEBIDOS!$E$2:$E$5010=LD_01[[#This Row],[DOCUMENTO]])))</f>
        <v>R00.1</v>
      </c>
      <c r="K1334" s="12" cm="1">
        <f t="array" ref="K1334">_xlfn.UNIQUE(_xlfn._xlws.FILTER(ARQUIVOS[DATA RECEBIMENTO],(ARQUIVOS[DOCUMENTO]=LD_01[[#This Row],[DOCUMENTO]])*(ARQUIVOS[REVISÃO]=LD_01[[#This Row],[REVISÃO]])))</f>
        <v>46043</v>
      </c>
      <c r="L13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M1334" s="6" t="str">
        <f>LD_01[[#This Row],[PASTA]]&amp;"/"&amp;LD_01[[#This Row],[ARQUIVO]]</f>
        <v>MSV-163MS-647-650/32.TE/MSV-163MS-647-650-ACA-EXE-DE-G1-020-R00.1.pdf</v>
      </c>
    </row>
    <row r="1335" spans="1:13" ht="43.2" hidden="1" x14ac:dyDescent="0.3">
      <c r="A1335" s="6" t="s">
        <v>5890</v>
      </c>
      <c r="B1335" s="6" t="str">
        <f>VLOOKUP(LD_01[[#This Row],[DOCUMENTO]],_xlfn.SORTBY(ARQUIVOS_RECEBIDOS!$E$2:$F$5010,ARQUIVOS_RECEBIDOS!$F$2:$F$5010,-1),2,)</f>
        <v>R00.5</v>
      </c>
      <c r="C1335" s="15" t="s">
        <v>5988</v>
      </c>
      <c r="D1335" s="6" t="s">
        <v>5914</v>
      </c>
      <c r="E1335" s="8" t="s">
        <v>5931</v>
      </c>
      <c r="F1335" s="8" t="s">
        <v>4330</v>
      </c>
      <c r="G1335" s="6" t="str">
        <f>_xlfn.XLOOKUP(LD_01[[#This Row],[DISCIPLINA]],'CLASSES DE PROJETOS'!$F$3:$F$37,'CLASSES DE PROJETOS'!$C$3:$C$37)</f>
        <v>TE</v>
      </c>
      <c r="H1335" s="6" t="str">
        <f>_xlfn.TEXTJOIN("/",TRUE,"MSV-163MS-"&amp;LD_01[[#This Row],[TRECHO]],_xlfn.XLOOKUP(LD_01[[#This Row],[SIGLA]],'CLASSES DE PROJETOS'!$C$3:$C$37,'CLASSES DE PROJETOS'!$E$3:$E$37))</f>
        <v>MSV-163MS-647-650/32.TE</v>
      </c>
      <c r="I1335" s="6" t="str" cm="1">
        <f t="array" ref="I1335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J1335" s="6" t="str" cm="1">
        <f t="array" ref="J1335">_xlfn.TEXTJOIN(", ",TRUE,_xlfn.UNIQUE(_xlfn._xlws.FILTER(ARQUIVOS_RECEBIDOS!$F$2:$F$5010,ARQUIVOS_RECEBIDOS!$E$2:$E$5010=LD_01[[#This Row],[DOCUMENTO]])))</f>
        <v>R00.5</v>
      </c>
      <c r="K1335" s="12" cm="1">
        <f t="array" ref="K1335">_xlfn.UNIQUE(_xlfn._xlws.FILTER(ARQUIVOS[DATA RECEBIMENTO],(ARQUIVOS[DOCUMENTO]=LD_01[[#This Row],[DOCUMENTO]])*(ARQUIVOS[REVISÃO]=LD_01[[#This Row],[REVISÃO]])))</f>
        <v>46043</v>
      </c>
      <c r="L13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M1335" s="6" t="str">
        <f>LD_01[[#This Row],[PASTA]]&amp;"/"&amp;LD_01[[#This Row],[ARQUIVO]]</f>
        <v>MSV-163MS-647-650/32.TE/MSV-163MS-647-650-ACA-EXE-DE-G1-021-R00.5.pdf</v>
      </c>
    </row>
    <row r="1336" spans="1:13" ht="43.2" hidden="1" x14ac:dyDescent="0.3">
      <c r="A1336" s="6" t="s">
        <v>5891</v>
      </c>
      <c r="B1336" s="6" t="str">
        <f>VLOOKUP(LD_01[[#This Row],[DOCUMENTO]],_xlfn.SORTBY(ARQUIVOS_RECEBIDOS!$E$2:$F$5010,ARQUIVOS_RECEBIDOS!$F$2:$F$5010,-1),2,)</f>
        <v>R00.5</v>
      </c>
      <c r="C1336" s="15" t="s">
        <v>5988</v>
      </c>
      <c r="D1336" s="6" t="s">
        <v>5914</v>
      </c>
      <c r="E1336" s="8" t="s">
        <v>5931</v>
      </c>
      <c r="F1336" s="8" t="s">
        <v>4330</v>
      </c>
      <c r="G1336" s="6" t="str">
        <f>_xlfn.XLOOKUP(LD_01[[#This Row],[DISCIPLINA]],'CLASSES DE PROJETOS'!$F$3:$F$37,'CLASSES DE PROJETOS'!$C$3:$C$37)</f>
        <v>TE</v>
      </c>
      <c r="H1336" s="6" t="str">
        <f>_xlfn.TEXTJOIN("/",TRUE,"MSV-163MS-"&amp;LD_01[[#This Row],[TRECHO]],_xlfn.XLOOKUP(LD_01[[#This Row],[SIGLA]],'CLASSES DE PROJETOS'!$C$3:$C$37,'CLASSES DE PROJETOS'!$E$3:$E$37))</f>
        <v>MSV-163MS-647-650/32.TE</v>
      </c>
      <c r="I1336" s="6" t="str" cm="1">
        <f t="array" ref="I1336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J1336" s="6" t="str" cm="1">
        <f t="array" ref="J1336">_xlfn.TEXTJOIN(", ",TRUE,_xlfn.UNIQUE(_xlfn._xlws.FILTER(ARQUIVOS_RECEBIDOS!$F$2:$F$5010,ARQUIVOS_RECEBIDOS!$E$2:$E$5010=LD_01[[#This Row],[DOCUMENTO]])))</f>
        <v>R00.5</v>
      </c>
      <c r="K1336" s="12" cm="1">
        <f t="array" ref="K1336">_xlfn.UNIQUE(_xlfn._xlws.FILTER(ARQUIVOS[DATA RECEBIMENTO],(ARQUIVOS[DOCUMENTO]=LD_01[[#This Row],[DOCUMENTO]])*(ARQUIVOS[REVISÃO]=LD_01[[#This Row],[REVISÃO]])))</f>
        <v>46043</v>
      </c>
      <c r="L13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M1336" s="6" t="str">
        <f>LD_01[[#This Row],[PASTA]]&amp;"/"&amp;LD_01[[#This Row],[ARQUIVO]]</f>
        <v>MSV-163MS-647-650/32.TE/MSV-163MS-647-650-ACA-EXE-DE-G1-022-R00.5.pdf</v>
      </c>
    </row>
    <row r="1337" spans="1:13" ht="43.2" hidden="1" x14ac:dyDescent="0.3">
      <c r="A1337" s="6" t="s">
        <v>5892</v>
      </c>
      <c r="B1337" s="6" t="str">
        <f>VLOOKUP(LD_01[[#This Row],[DOCUMENTO]],_xlfn.SORTBY(ARQUIVOS_RECEBIDOS!$E$2:$F$5010,ARQUIVOS_RECEBIDOS!$F$2:$F$5010,-1),2,)</f>
        <v>R00.5</v>
      </c>
      <c r="C1337" s="15" t="s">
        <v>5988</v>
      </c>
      <c r="D1337" s="6" t="s">
        <v>5914</v>
      </c>
      <c r="E1337" s="8" t="s">
        <v>5931</v>
      </c>
      <c r="F1337" s="8" t="s">
        <v>4330</v>
      </c>
      <c r="G1337" s="6" t="str">
        <f>_xlfn.XLOOKUP(LD_01[[#This Row],[DISCIPLINA]],'CLASSES DE PROJETOS'!$F$3:$F$37,'CLASSES DE PROJETOS'!$C$3:$C$37)</f>
        <v>TE</v>
      </c>
      <c r="H1337" s="6" t="str">
        <f>_xlfn.TEXTJOIN("/",TRUE,"MSV-163MS-"&amp;LD_01[[#This Row],[TRECHO]],_xlfn.XLOOKUP(LD_01[[#This Row],[SIGLA]],'CLASSES DE PROJETOS'!$C$3:$C$37,'CLASSES DE PROJETOS'!$E$3:$E$37))</f>
        <v>MSV-163MS-647-650/32.TE</v>
      </c>
      <c r="I1337" s="6" t="str" cm="1">
        <f t="array" ref="I1337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J1337" s="6" t="str" cm="1">
        <f t="array" ref="J1337">_xlfn.TEXTJOIN(", ",TRUE,_xlfn.UNIQUE(_xlfn._xlws.FILTER(ARQUIVOS_RECEBIDOS!$F$2:$F$5010,ARQUIVOS_RECEBIDOS!$E$2:$E$5010=LD_01[[#This Row],[DOCUMENTO]])))</f>
        <v>R00.5</v>
      </c>
      <c r="K1337" s="12" cm="1">
        <f t="array" ref="K1337">_xlfn.UNIQUE(_xlfn._xlws.FILTER(ARQUIVOS[DATA RECEBIMENTO],(ARQUIVOS[DOCUMENTO]=LD_01[[#This Row],[DOCUMENTO]])*(ARQUIVOS[REVISÃO]=LD_01[[#This Row],[REVISÃO]])))</f>
        <v>46043</v>
      </c>
      <c r="L13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M1337" s="6" t="str">
        <f>LD_01[[#This Row],[PASTA]]&amp;"/"&amp;LD_01[[#This Row],[ARQUIVO]]</f>
        <v>MSV-163MS-647-650/32.TE/MSV-163MS-647-650-ACA-EXE-DE-G1-023-R00.5.pdf</v>
      </c>
    </row>
    <row r="1338" spans="1:13" ht="43.2" hidden="1" x14ac:dyDescent="0.3">
      <c r="A1338" s="6" t="s">
        <v>5893</v>
      </c>
      <c r="B1338" s="6" t="str">
        <f>VLOOKUP(LD_01[[#This Row],[DOCUMENTO]],_xlfn.SORTBY(ARQUIVOS_RECEBIDOS!$E$2:$F$5010,ARQUIVOS_RECEBIDOS!$F$2:$F$5010,-1),2,)</f>
        <v>R00.6</v>
      </c>
      <c r="C1338" s="15" t="s">
        <v>5988</v>
      </c>
      <c r="D1338" s="6" t="s">
        <v>5914</v>
      </c>
      <c r="E1338" s="8" t="s">
        <v>5931</v>
      </c>
      <c r="F1338" s="8" t="s">
        <v>4330</v>
      </c>
      <c r="G1338" s="6" t="str">
        <f>_xlfn.XLOOKUP(LD_01[[#This Row],[DISCIPLINA]],'CLASSES DE PROJETOS'!$F$3:$F$37,'CLASSES DE PROJETOS'!$C$3:$C$37)</f>
        <v>TE</v>
      </c>
      <c r="H1338" s="6" t="str">
        <f>_xlfn.TEXTJOIN("/",TRUE,"MSV-163MS-"&amp;LD_01[[#This Row],[TRECHO]],_xlfn.XLOOKUP(LD_01[[#This Row],[SIGLA]],'CLASSES DE PROJETOS'!$C$3:$C$37,'CLASSES DE PROJETOS'!$E$3:$E$37))</f>
        <v>MSV-163MS-647-650/32.TE</v>
      </c>
      <c r="I1338" s="6" t="str" cm="1">
        <f t="array" ref="I1338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J1338" s="6" t="str" cm="1">
        <f t="array" ref="J1338">_xlfn.TEXTJOIN(", ",TRUE,_xlfn.UNIQUE(_xlfn._xlws.FILTER(ARQUIVOS_RECEBIDOS!$F$2:$F$5010,ARQUIVOS_RECEBIDOS!$E$2:$E$5010=LD_01[[#This Row],[DOCUMENTO]])))</f>
        <v>R00.6</v>
      </c>
      <c r="K1338" s="12" cm="1">
        <f t="array" ref="K1338">_xlfn.UNIQUE(_xlfn._xlws.FILTER(ARQUIVOS[DATA RECEBIMENTO],(ARQUIVOS[DOCUMENTO]=LD_01[[#This Row],[DOCUMENTO]])*(ARQUIVOS[REVISÃO]=LD_01[[#This Row],[REVISÃO]])))</f>
        <v>46043</v>
      </c>
      <c r="L13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M1338" s="6" t="str">
        <f>LD_01[[#This Row],[PASTA]]&amp;"/"&amp;LD_01[[#This Row],[ARQUIVO]]</f>
        <v>MSV-163MS-647-650/32.TE/MSV-163MS-647-650-ACA-EXE-DE-G1-024-R00.6.pdf</v>
      </c>
    </row>
    <row r="1339" spans="1:13" ht="43.2" hidden="1" x14ac:dyDescent="0.3">
      <c r="A1339" s="6" t="s">
        <v>5894</v>
      </c>
      <c r="B1339" s="6" t="str">
        <f>VLOOKUP(LD_01[[#This Row],[DOCUMENTO]],_xlfn.SORTBY(ARQUIVOS_RECEBIDOS!$E$2:$F$5010,ARQUIVOS_RECEBIDOS!$F$2:$F$5010,-1),2,)</f>
        <v>R00.5</v>
      </c>
      <c r="C1339" s="15" t="s">
        <v>5988</v>
      </c>
      <c r="D1339" s="6" t="s">
        <v>5914</v>
      </c>
      <c r="E1339" s="8" t="s">
        <v>5931</v>
      </c>
      <c r="F1339" s="8" t="s">
        <v>4330</v>
      </c>
      <c r="G1339" s="6" t="str">
        <f>_xlfn.XLOOKUP(LD_01[[#This Row],[DISCIPLINA]],'CLASSES DE PROJETOS'!$F$3:$F$37,'CLASSES DE PROJETOS'!$C$3:$C$37)</f>
        <v>TE</v>
      </c>
      <c r="H1339" s="6" t="str">
        <f>_xlfn.TEXTJOIN("/",TRUE,"MSV-163MS-"&amp;LD_01[[#This Row],[TRECHO]],_xlfn.XLOOKUP(LD_01[[#This Row],[SIGLA]],'CLASSES DE PROJETOS'!$C$3:$C$37,'CLASSES DE PROJETOS'!$E$3:$E$37))</f>
        <v>MSV-163MS-647-650/32.TE</v>
      </c>
      <c r="I1339" s="6" t="str" cm="1">
        <f t="array" ref="I1339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J1339" s="6" t="str" cm="1">
        <f t="array" ref="J1339">_xlfn.TEXTJOIN(", ",TRUE,_xlfn.UNIQUE(_xlfn._xlws.FILTER(ARQUIVOS_RECEBIDOS!$F$2:$F$5010,ARQUIVOS_RECEBIDOS!$E$2:$E$5010=LD_01[[#This Row],[DOCUMENTO]])))</f>
        <v>R00.5</v>
      </c>
      <c r="K1339" s="12" cm="1">
        <f t="array" ref="K1339">_xlfn.UNIQUE(_xlfn._xlws.FILTER(ARQUIVOS[DATA RECEBIMENTO],(ARQUIVOS[DOCUMENTO]=LD_01[[#This Row],[DOCUMENTO]])*(ARQUIVOS[REVISÃO]=LD_01[[#This Row],[REVISÃO]])))</f>
        <v>46043</v>
      </c>
      <c r="L13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M1339" s="6" t="str">
        <f>LD_01[[#This Row],[PASTA]]&amp;"/"&amp;LD_01[[#This Row],[ARQUIVO]]</f>
        <v>MSV-163MS-647-650/32.TE/MSV-163MS-647-650-ACA-EXE-DE-G1-025-R00.5.pdf</v>
      </c>
    </row>
    <row r="1340" spans="1:13" ht="43.2" hidden="1" x14ac:dyDescent="0.3">
      <c r="A1340" s="6" t="s">
        <v>5895</v>
      </c>
      <c r="B1340" s="6" t="str">
        <f>VLOOKUP(LD_01[[#This Row],[DOCUMENTO]],_xlfn.SORTBY(ARQUIVOS_RECEBIDOS!$E$2:$F$5010,ARQUIVOS_RECEBIDOS!$F$2:$F$5010,-1),2,)</f>
        <v>R00.5</v>
      </c>
      <c r="C1340" s="15" t="s">
        <v>5988</v>
      </c>
      <c r="D1340" s="6" t="s">
        <v>5914</v>
      </c>
      <c r="E1340" s="8" t="s">
        <v>5931</v>
      </c>
      <c r="F1340" s="8" t="s">
        <v>4330</v>
      </c>
      <c r="G1340" s="6" t="str">
        <f>_xlfn.XLOOKUP(LD_01[[#This Row],[DISCIPLINA]],'CLASSES DE PROJETOS'!$F$3:$F$37,'CLASSES DE PROJETOS'!$C$3:$C$37)</f>
        <v>TE</v>
      </c>
      <c r="H1340" s="6" t="str">
        <f>_xlfn.TEXTJOIN("/",TRUE,"MSV-163MS-"&amp;LD_01[[#This Row],[TRECHO]],_xlfn.XLOOKUP(LD_01[[#This Row],[SIGLA]],'CLASSES DE PROJETOS'!$C$3:$C$37,'CLASSES DE PROJETOS'!$E$3:$E$37))</f>
        <v>MSV-163MS-647-650/32.TE</v>
      </c>
      <c r="I1340" s="6" t="str" cm="1">
        <f t="array" ref="I1340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J1340" s="6" t="str" cm="1">
        <f t="array" ref="J1340">_xlfn.TEXTJOIN(", ",TRUE,_xlfn.UNIQUE(_xlfn._xlws.FILTER(ARQUIVOS_RECEBIDOS!$F$2:$F$5010,ARQUIVOS_RECEBIDOS!$E$2:$E$5010=LD_01[[#This Row],[DOCUMENTO]])))</f>
        <v>R00.5</v>
      </c>
      <c r="K1340" s="12" cm="1">
        <f t="array" ref="K1340">_xlfn.UNIQUE(_xlfn._xlws.FILTER(ARQUIVOS[DATA RECEBIMENTO],(ARQUIVOS[DOCUMENTO]=LD_01[[#This Row],[DOCUMENTO]])*(ARQUIVOS[REVISÃO]=LD_01[[#This Row],[REVISÃO]])))</f>
        <v>46043</v>
      </c>
      <c r="L13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M1340" s="6" t="str">
        <f>LD_01[[#This Row],[PASTA]]&amp;"/"&amp;LD_01[[#This Row],[ARQUIVO]]</f>
        <v>MSV-163MS-647-650/32.TE/MSV-163MS-647-650-ACA-EXE-DE-G1-026-R00.5.pdf</v>
      </c>
    </row>
    <row r="1341" spans="1:13" ht="43.2" hidden="1" x14ac:dyDescent="0.3">
      <c r="A1341" s="6" t="s">
        <v>5896</v>
      </c>
      <c r="B1341" s="6" t="str">
        <f>VLOOKUP(LD_01[[#This Row],[DOCUMENTO]],_xlfn.SORTBY(ARQUIVOS_RECEBIDOS!$E$2:$F$5010,ARQUIVOS_RECEBIDOS!$F$2:$F$5010,-1),2,)</f>
        <v>R00.5</v>
      </c>
      <c r="C1341" s="15" t="s">
        <v>5988</v>
      </c>
      <c r="D1341" s="6" t="s">
        <v>5914</v>
      </c>
      <c r="E1341" s="8" t="s">
        <v>5931</v>
      </c>
      <c r="F1341" s="8" t="s">
        <v>4330</v>
      </c>
      <c r="G1341" s="6" t="str">
        <f>_xlfn.XLOOKUP(LD_01[[#This Row],[DISCIPLINA]],'CLASSES DE PROJETOS'!$F$3:$F$37,'CLASSES DE PROJETOS'!$C$3:$C$37)</f>
        <v>TE</v>
      </c>
      <c r="H1341" s="6" t="str">
        <f>_xlfn.TEXTJOIN("/",TRUE,"MSV-163MS-"&amp;LD_01[[#This Row],[TRECHO]],_xlfn.XLOOKUP(LD_01[[#This Row],[SIGLA]],'CLASSES DE PROJETOS'!$C$3:$C$37,'CLASSES DE PROJETOS'!$E$3:$E$37))</f>
        <v>MSV-163MS-647-650/32.TE</v>
      </c>
      <c r="I1341" s="6" t="str" cm="1">
        <f t="array" ref="I1341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J1341" s="6" t="str" cm="1">
        <f t="array" ref="J1341">_xlfn.TEXTJOIN(", ",TRUE,_xlfn.UNIQUE(_xlfn._xlws.FILTER(ARQUIVOS_RECEBIDOS!$F$2:$F$5010,ARQUIVOS_RECEBIDOS!$E$2:$E$5010=LD_01[[#This Row],[DOCUMENTO]])))</f>
        <v>R00.5</v>
      </c>
      <c r="K1341" s="12" cm="1">
        <f t="array" ref="K1341">_xlfn.UNIQUE(_xlfn._xlws.FILTER(ARQUIVOS[DATA RECEBIMENTO],(ARQUIVOS[DOCUMENTO]=LD_01[[#This Row],[DOCUMENTO]])*(ARQUIVOS[REVISÃO]=LD_01[[#This Row],[REVISÃO]])))</f>
        <v>46043</v>
      </c>
      <c r="L13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M1341" s="6" t="str">
        <f>LD_01[[#This Row],[PASTA]]&amp;"/"&amp;LD_01[[#This Row],[ARQUIVO]]</f>
        <v>MSV-163MS-647-650/32.TE/MSV-163MS-647-650-ACA-EXE-DE-G1-027-R00.5.pdf</v>
      </c>
    </row>
    <row r="1342" spans="1:13" ht="28.8" hidden="1" x14ac:dyDescent="0.3">
      <c r="A1342" s="6" t="s">
        <v>5755</v>
      </c>
      <c r="B1342" s="6" t="str">
        <f>VLOOKUP(LD_01[[#This Row],[DOCUMENTO]],_xlfn.SORTBY(ARQUIVOS_RECEBIDOS!$E$2:$F$5010,ARQUIVOS_RECEBIDOS!$F$2:$F$5010,-1),2,)</f>
        <v>R00.2</v>
      </c>
      <c r="C1342" s="15" t="s">
        <v>5988</v>
      </c>
      <c r="D1342" s="6" t="s">
        <v>5914</v>
      </c>
      <c r="E1342" s="8" t="s">
        <v>5932</v>
      </c>
      <c r="F1342" s="8" t="s">
        <v>4142</v>
      </c>
      <c r="G1342" s="6" t="str">
        <f>_xlfn.XLOOKUP(LD_01[[#This Row],[DISCIPLINA]],'CLASSES DE PROJETOS'!$F$3:$F$37,'CLASSES DE PROJETOS'!$C$3:$C$37)</f>
        <v>DR</v>
      </c>
      <c r="H1342" s="6" t="str">
        <f>_xlfn.TEXTJOIN("/",TRUE,"MSV-163MS-"&amp;LD_01[[#This Row],[TRECHO]],_xlfn.XLOOKUP(LD_01[[#This Row],[SIGLA]],'CLASSES DE PROJETOS'!$C$3:$C$37,'CLASSES DE PROJETOS'!$E$3:$E$37))</f>
        <v>MSV-163MS-647-650/10.DR</v>
      </c>
      <c r="I1342" s="6" t="str" cm="1">
        <f t="array" ref="I1342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J1342" s="6" t="str" cm="1">
        <f t="array" ref="J1342">_xlfn.TEXTJOIN(", ",TRUE,_xlfn.UNIQUE(_xlfn._xlws.FILTER(ARQUIVOS_RECEBIDOS!$F$2:$F$5010,ARQUIVOS_RECEBIDOS!$E$2:$E$5010=LD_01[[#This Row],[DOCUMENTO]])))</f>
        <v>R00.2</v>
      </c>
      <c r="K1342" s="12" cm="1">
        <f t="array" ref="K1342">_xlfn.UNIQUE(_xlfn._xlws.FILTER(ARQUIVOS[DATA RECEBIMENTO],(ARQUIVOS[DOCUMENTO]=LD_01[[#This Row],[DOCUMENTO]])*(ARQUIVOS[REVISÃO]=LD_01[[#This Row],[REVISÃO]])))</f>
        <v>46043</v>
      </c>
      <c r="L13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M1342" s="6" t="str">
        <f>LD_01[[#This Row],[PASTA]]&amp;"/"&amp;LD_01[[#This Row],[ARQUIVO]]</f>
        <v>MSV-163MS-647-650/10.DR/MSV-163MS-647-650-ACA-EXE-DE-H1-001-R00.2.pdf</v>
      </c>
    </row>
    <row r="1343" spans="1:13" ht="28.8" hidden="1" x14ac:dyDescent="0.3">
      <c r="A1343" s="6" t="s">
        <v>5756</v>
      </c>
      <c r="B1343" s="6" t="str">
        <f>VLOOKUP(LD_01[[#This Row],[DOCUMENTO]],_xlfn.SORTBY(ARQUIVOS_RECEBIDOS!$E$2:$F$5010,ARQUIVOS_RECEBIDOS!$F$2:$F$5010,-1),2,)</f>
        <v>R00.4</v>
      </c>
      <c r="C1343" s="15" t="s">
        <v>5988</v>
      </c>
      <c r="D1343" s="6" t="s">
        <v>5914</v>
      </c>
      <c r="E1343" s="8" t="s">
        <v>5933</v>
      </c>
      <c r="F1343" s="8" t="s">
        <v>4142</v>
      </c>
      <c r="G1343" s="6" t="str">
        <f>_xlfn.XLOOKUP(LD_01[[#This Row],[DISCIPLINA]],'CLASSES DE PROJETOS'!$F$3:$F$37,'CLASSES DE PROJETOS'!$C$3:$C$37)</f>
        <v>DR</v>
      </c>
      <c r="H1343" s="6" t="str">
        <f>_xlfn.TEXTJOIN("/",TRUE,"MSV-163MS-"&amp;LD_01[[#This Row],[TRECHO]],_xlfn.XLOOKUP(LD_01[[#This Row],[SIGLA]],'CLASSES DE PROJETOS'!$C$3:$C$37,'CLASSES DE PROJETOS'!$E$3:$E$37))</f>
        <v>MSV-163MS-647-650/10.DR</v>
      </c>
      <c r="I1343" s="6" t="str" cm="1">
        <f t="array" ref="I1343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J1343" s="6" t="str" cm="1">
        <f t="array" ref="J1343">_xlfn.TEXTJOIN(", ",TRUE,_xlfn.UNIQUE(_xlfn._xlws.FILTER(ARQUIVOS_RECEBIDOS!$F$2:$F$5010,ARQUIVOS_RECEBIDOS!$E$2:$E$5010=LD_01[[#This Row],[DOCUMENTO]])))</f>
        <v>R00.4</v>
      </c>
      <c r="K1343" s="12" cm="1">
        <f t="array" ref="K1343">_xlfn.UNIQUE(_xlfn._xlws.FILTER(ARQUIVOS[DATA RECEBIMENTO],(ARQUIVOS[DOCUMENTO]=LD_01[[#This Row],[DOCUMENTO]])*(ARQUIVOS[REVISÃO]=LD_01[[#This Row],[REVISÃO]])))</f>
        <v>46043</v>
      </c>
      <c r="L13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M1343" s="6" t="str">
        <f>LD_01[[#This Row],[PASTA]]&amp;"/"&amp;LD_01[[#This Row],[ARQUIVO]]</f>
        <v>MSV-163MS-647-650/10.DR/MSV-163MS-647-650-ACA-EXE-DE-H2-001-R00.4.pdf</v>
      </c>
    </row>
    <row r="1344" spans="1:13" ht="28.8" hidden="1" x14ac:dyDescent="0.3">
      <c r="A1344" s="6" t="s">
        <v>5757</v>
      </c>
      <c r="B1344" s="6" t="str">
        <f>VLOOKUP(LD_01[[#This Row],[DOCUMENTO]],_xlfn.SORTBY(ARQUIVOS_RECEBIDOS!$E$2:$F$5010,ARQUIVOS_RECEBIDOS!$F$2:$F$5010,-1),2,)</f>
        <v>R00.4</v>
      </c>
      <c r="C1344" s="15" t="s">
        <v>5988</v>
      </c>
      <c r="D1344" s="6" t="s">
        <v>5914</v>
      </c>
      <c r="E1344" s="8" t="s">
        <v>5933</v>
      </c>
      <c r="F1344" s="8" t="s">
        <v>4142</v>
      </c>
      <c r="G1344" s="6" t="str">
        <f>_xlfn.XLOOKUP(LD_01[[#This Row],[DISCIPLINA]],'CLASSES DE PROJETOS'!$F$3:$F$37,'CLASSES DE PROJETOS'!$C$3:$C$37)</f>
        <v>DR</v>
      </c>
      <c r="H1344" s="6" t="str">
        <f>_xlfn.TEXTJOIN("/",TRUE,"MSV-163MS-"&amp;LD_01[[#This Row],[TRECHO]],_xlfn.XLOOKUP(LD_01[[#This Row],[SIGLA]],'CLASSES DE PROJETOS'!$C$3:$C$37,'CLASSES DE PROJETOS'!$E$3:$E$37))</f>
        <v>MSV-163MS-647-650/10.DR</v>
      </c>
      <c r="I1344" s="6" t="str" cm="1">
        <f t="array" ref="I1344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J1344" s="6" t="str" cm="1">
        <f t="array" ref="J1344">_xlfn.TEXTJOIN(", ",TRUE,_xlfn.UNIQUE(_xlfn._xlws.FILTER(ARQUIVOS_RECEBIDOS!$F$2:$F$5010,ARQUIVOS_RECEBIDOS!$E$2:$E$5010=LD_01[[#This Row],[DOCUMENTO]])))</f>
        <v>R00.4</v>
      </c>
      <c r="K1344" s="12" cm="1">
        <f t="array" ref="K1344">_xlfn.UNIQUE(_xlfn._xlws.FILTER(ARQUIVOS[DATA RECEBIMENTO],(ARQUIVOS[DOCUMENTO]=LD_01[[#This Row],[DOCUMENTO]])*(ARQUIVOS[REVISÃO]=LD_01[[#This Row],[REVISÃO]])))</f>
        <v>46043</v>
      </c>
      <c r="L13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M1344" s="6" t="str">
        <f>LD_01[[#This Row],[PASTA]]&amp;"/"&amp;LD_01[[#This Row],[ARQUIVO]]</f>
        <v>MSV-163MS-647-650/10.DR/MSV-163MS-647-650-ACA-EXE-DE-H2-002-R00.4.pdf</v>
      </c>
    </row>
    <row r="1345" spans="1:13" ht="28.8" hidden="1" x14ac:dyDescent="0.3">
      <c r="A1345" s="6" t="s">
        <v>5758</v>
      </c>
      <c r="B1345" s="6" t="str">
        <f>VLOOKUP(LD_01[[#This Row],[DOCUMENTO]],_xlfn.SORTBY(ARQUIVOS_RECEBIDOS!$E$2:$F$5010,ARQUIVOS_RECEBIDOS!$F$2:$F$5010,-1),2,)</f>
        <v>R00.4</v>
      </c>
      <c r="C1345" s="15" t="s">
        <v>5988</v>
      </c>
      <c r="D1345" s="6" t="s">
        <v>5914</v>
      </c>
      <c r="E1345" s="8" t="s">
        <v>5933</v>
      </c>
      <c r="F1345" s="8" t="s">
        <v>4142</v>
      </c>
      <c r="G1345" s="6" t="str">
        <f>_xlfn.XLOOKUP(LD_01[[#This Row],[DISCIPLINA]],'CLASSES DE PROJETOS'!$F$3:$F$37,'CLASSES DE PROJETOS'!$C$3:$C$37)</f>
        <v>DR</v>
      </c>
      <c r="H1345" s="6" t="str">
        <f>_xlfn.TEXTJOIN("/",TRUE,"MSV-163MS-"&amp;LD_01[[#This Row],[TRECHO]],_xlfn.XLOOKUP(LD_01[[#This Row],[SIGLA]],'CLASSES DE PROJETOS'!$C$3:$C$37,'CLASSES DE PROJETOS'!$E$3:$E$37))</f>
        <v>MSV-163MS-647-650/10.DR</v>
      </c>
      <c r="I1345" s="6" t="str" cm="1">
        <f t="array" ref="I1345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J1345" s="6" t="str" cm="1">
        <f t="array" ref="J1345">_xlfn.TEXTJOIN(", ",TRUE,_xlfn.UNIQUE(_xlfn._xlws.FILTER(ARQUIVOS_RECEBIDOS!$F$2:$F$5010,ARQUIVOS_RECEBIDOS!$E$2:$E$5010=LD_01[[#This Row],[DOCUMENTO]])))</f>
        <v>R00.4</v>
      </c>
      <c r="K1345" s="12" cm="1">
        <f t="array" ref="K1345">_xlfn.UNIQUE(_xlfn._xlws.FILTER(ARQUIVOS[DATA RECEBIMENTO],(ARQUIVOS[DOCUMENTO]=LD_01[[#This Row],[DOCUMENTO]])*(ARQUIVOS[REVISÃO]=LD_01[[#This Row],[REVISÃO]])))</f>
        <v>46043</v>
      </c>
      <c r="L13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M1345" s="6" t="str">
        <f>LD_01[[#This Row],[PASTA]]&amp;"/"&amp;LD_01[[#This Row],[ARQUIVO]]</f>
        <v>MSV-163MS-647-650/10.DR/MSV-163MS-647-650-ACA-EXE-DE-H2-003-R00.4.pdf</v>
      </c>
    </row>
    <row r="1346" spans="1:13" ht="28.8" hidden="1" x14ac:dyDescent="0.3">
      <c r="A1346" s="6" t="s">
        <v>5759</v>
      </c>
      <c r="B1346" s="6" t="str">
        <f>VLOOKUP(LD_01[[#This Row],[DOCUMENTO]],_xlfn.SORTBY(ARQUIVOS_RECEBIDOS!$E$2:$F$5010,ARQUIVOS_RECEBIDOS!$F$2:$F$5010,-1),2,)</f>
        <v>R00.4</v>
      </c>
      <c r="C1346" s="15" t="s">
        <v>5988</v>
      </c>
      <c r="D1346" s="6" t="s">
        <v>5914</v>
      </c>
      <c r="E1346" s="8" t="s">
        <v>5933</v>
      </c>
      <c r="F1346" s="8" t="s">
        <v>4142</v>
      </c>
      <c r="G1346" s="6" t="str">
        <f>_xlfn.XLOOKUP(LD_01[[#This Row],[DISCIPLINA]],'CLASSES DE PROJETOS'!$F$3:$F$37,'CLASSES DE PROJETOS'!$C$3:$C$37)</f>
        <v>DR</v>
      </c>
      <c r="H1346" s="6" t="str">
        <f>_xlfn.TEXTJOIN("/",TRUE,"MSV-163MS-"&amp;LD_01[[#This Row],[TRECHO]],_xlfn.XLOOKUP(LD_01[[#This Row],[SIGLA]],'CLASSES DE PROJETOS'!$C$3:$C$37,'CLASSES DE PROJETOS'!$E$3:$E$37))</f>
        <v>MSV-163MS-647-650/10.DR</v>
      </c>
      <c r="I1346" s="6" t="str" cm="1">
        <f t="array" ref="I1346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J1346" s="6" t="str" cm="1">
        <f t="array" ref="J1346">_xlfn.TEXTJOIN(", ",TRUE,_xlfn.UNIQUE(_xlfn._xlws.FILTER(ARQUIVOS_RECEBIDOS!$F$2:$F$5010,ARQUIVOS_RECEBIDOS!$E$2:$E$5010=LD_01[[#This Row],[DOCUMENTO]])))</f>
        <v>R00.4</v>
      </c>
      <c r="K1346" s="12" cm="1">
        <f t="array" ref="K1346">_xlfn.UNIQUE(_xlfn._xlws.FILTER(ARQUIVOS[DATA RECEBIMENTO],(ARQUIVOS[DOCUMENTO]=LD_01[[#This Row],[DOCUMENTO]])*(ARQUIVOS[REVISÃO]=LD_01[[#This Row],[REVISÃO]])))</f>
        <v>46043</v>
      </c>
      <c r="L13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M1346" s="6" t="str">
        <f>LD_01[[#This Row],[PASTA]]&amp;"/"&amp;LD_01[[#This Row],[ARQUIVO]]</f>
        <v>MSV-163MS-647-650/10.DR/MSV-163MS-647-650-ACA-EXE-DE-H2-004-R00.4.pdf</v>
      </c>
    </row>
    <row r="1347" spans="1:13" ht="28.8" hidden="1" x14ac:dyDescent="0.3">
      <c r="A1347" s="6" t="s">
        <v>5760</v>
      </c>
      <c r="B1347" s="6" t="str">
        <f>VLOOKUP(LD_01[[#This Row],[DOCUMENTO]],_xlfn.SORTBY(ARQUIVOS_RECEBIDOS!$E$2:$F$5010,ARQUIVOS_RECEBIDOS!$F$2:$F$5010,-1),2,)</f>
        <v>R00.4</v>
      </c>
      <c r="C1347" s="15" t="s">
        <v>5988</v>
      </c>
      <c r="D1347" s="6" t="s">
        <v>5914</v>
      </c>
      <c r="E1347" s="8" t="s">
        <v>5933</v>
      </c>
      <c r="F1347" s="8" t="s">
        <v>4142</v>
      </c>
      <c r="G1347" s="6" t="str">
        <f>_xlfn.XLOOKUP(LD_01[[#This Row],[DISCIPLINA]],'CLASSES DE PROJETOS'!$F$3:$F$37,'CLASSES DE PROJETOS'!$C$3:$C$37)</f>
        <v>DR</v>
      </c>
      <c r="H1347" s="6" t="str">
        <f>_xlfn.TEXTJOIN("/",TRUE,"MSV-163MS-"&amp;LD_01[[#This Row],[TRECHO]],_xlfn.XLOOKUP(LD_01[[#This Row],[SIGLA]],'CLASSES DE PROJETOS'!$C$3:$C$37,'CLASSES DE PROJETOS'!$E$3:$E$37))</f>
        <v>MSV-163MS-647-650/10.DR</v>
      </c>
      <c r="I1347" s="6" t="str" cm="1">
        <f t="array" ref="I1347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J1347" s="6" t="str" cm="1">
        <f t="array" ref="J1347">_xlfn.TEXTJOIN(", ",TRUE,_xlfn.UNIQUE(_xlfn._xlws.FILTER(ARQUIVOS_RECEBIDOS!$F$2:$F$5010,ARQUIVOS_RECEBIDOS!$E$2:$E$5010=LD_01[[#This Row],[DOCUMENTO]])))</f>
        <v>R00.4</v>
      </c>
      <c r="K1347" s="12" cm="1">
        <f t="array" ref="K1347">_xlfn.UNIQUE(_xlfn._xlws.FILTER(ARQUIVOS[DATA RECEBIMENTO],(ARQUIVOS[DOCUMENTO]=LD_01[[#This Row],[DOCUMENTO]])*(ARQUIVOS[REVISÃO]=LD_01[[#This Row],[REVISÃO]])))</f>
        <v>46043</v>
      </c>
      <c r="L13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M1347" s="6" t="str">
        <f>LD_01[[#This Row],[PASTA]]&amp;"/"&amp;LD_01[[#This Row],[ARQUIVO]]</f>
        <v>MSV-163MS-647-650/10.DR/MSV-163MS-647-650-ACA-EXE-DE-H2-005-R00.4.pdf</v>
      </c>
    </row>
    <row r="1348" spans="1:13" ht="28.8" hidden="1" x14ac:dyDescent="0.3">
      <c r="A1348" s="6" t="s">
        <v>5761</v>
      </c>
      <c r="B1348" s="6" t="str">
        <f>VLOOKUP(LD_01[[#This Row],[DOCUMENTO]],_xlfn.SORTBY(ARQUIVOS_RECEBIDOS!$E$2:$F$5010,ARQUIVOS_RECEBIDOS!$F$2:$F$5010,-1),2,)</f>
        <v>R00.4</v>
      </c>
      <c r="C1348" s="15" t="s">
        <v>5988</v>
      </c>
      <c r="D1348" s="6" t="s">
        <v>5914</v>
      </c>
      <c r="E1348" s="8" t="s">
        <v>5933</v>
      </c>
      <c r="F1348" s="8" t="s">
        <v>4142</v>
      </c>
      <c r="G1348" s="6" t="str">
        <f>_xlfn.XLOOKUP(LD_01[[#This Row],[DISCIPLINA]],'CLASSES DE PROJETOS'!$F$3:$F$37,'CLASSES DE PROJETOS'!$C$3:$C$37)</f>
        <v>DR</v>
      </c>
      <c r="H1348" s="6" t="str">
        <f>_xlfn.TEXTJOIN("/",TRUE,"MSV-163MS-"&amp;LD_01[[#This Row],[TRECHO]],_xlfn.XLOOKUP(LD_01[[#This Row],[SIGLA]],'CLASSES DE PROJETOS'!$C$3:$C$37,'CLASSES DE PROJETOS'!$E$3:$E$37))</f>
        <v>MSV-163MS-647-650/10.DR</v>
      </c>
      <c r="I1348" s="6" t="str" cm="1">
        <f t="array" ref="I1348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J1348" s="6" t="str" cm="1">
        <f t="array" ref="J1348">_xlfn.TEXTJOIN(", ",TRUE,_xlfn.UNIQUE(_xlfn._xlws.FILTER(ARQUIVOS_RECEBIDOS!$F$2:$F$5010,ARQUIVOS_RECEBIDOS!$E$2:$E$5010=LD_01[[#This Row],[DOCUMENTO]])))</f>
        <v>R00.4</v>
      </c>
      <c r="K1348" s="12" cm="1">
        <f t="array" ref="K1348">_xlfn.UNIQUE(_xlfn._xlws.FILTER(ARQUIVOS[DATA RECEBIMENTO],(ARQUIVOS[DOCUMENTO]=LD_01[[#This Row],[DOCUMENTO]])*(ARQUIVOS[REVISÃO]=LD_01[[#This Row],[REVISÃO]])))</f>
        <v>46043</v>
      </c>
      <c r="L13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M1348" s="6" t="str">
        <f>LD_01[[#This Row],[PASTA]]&amp;"/"&amp;LD_01[[#This Row],[ARQUIVO]]</f>
        <v>MSV-163MS-647-650/10.DR/MSV-163MS-647-650-ACA-EXE-DE-H2-006-R00.4.pdf</v>
      </c>
    </row>
    <row r="1349" spans="1:13" ht="28.8" hidden="1" x14ac:dyDescent="0.3">
      <c r="A1349" s="6" t="s">
        <v>5762</v>
      </c>
      <c r="B1349" s="6" t="str">
        <f>VLOOKUP(LD_01[[#This Row],[DOCUMENTO]],_xlfn.SORTBY(ARQUIVOS_RECEBIDOS!$E$2:$F$5010,ARQUIVOS_RECEBIDOS!$F$2:$F$5010,-1),2,)</f>
        <v>R00.4</v>
      </c>
      <c r="C1349" s="15" t="s">
        <v>5988</v>
      </c>
      <c r="D1349" s="6" t="s">
        <v>5914</v>
      </c>
      <c r="E1349" s="8" t="s">
        <v>5934</v>
      </c>
      <c r="F1349" s="8" t="s">
        <v>4142</v>
      </c>
      <c r="G1349" s="6" t="str">
        <f>_xlfn.XLOOKUP(LD_01[[#This Row],[DISCIPLINA]],'CLASSES DE PROJETOS'!$F$3:$F$37,'CLASSES DE PROJETOS'!$C$3:$C$37)</f>
        <v>DR</v>
      </c>
      <c r="H1349" s="6" t="str">
        <f>_xlfn.TEXTJOIN("/",TRUE,"MSV-163MS-"&amp;LD_01[[#This Row],[TRECHO]],_xlfn.XLOOKUP(LD_01[[#This Row],[SIGLA]],'CLASSES DE PROJETOS'!$C$3:$C$37,'CLASSES DE PROJETOS'!$E$3:$E$37))</f>
        <v>MSV-163MS-647-650/10.DR</v>
      </c>
      <c r="I1349" s="6" t="str" cm="1">
        <f t="array" ref="I1349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J1349" s="6" t="str" cm="1">
        <f t="array" ref="J1349">_xlfn.TEXTJOIN(", ",TRUE,_xlfn.UNIQUE(_xlfn._xlws.FILTER(ARQUIVOS_RECEBIDOS!$F$2:$F$5010,ARQUIVOS_RECEBIDOS!$E$2:$E$5010=LD_01[[#This Row],[DOCUMENTO]])))</f>
        <v>R00.4</v>
      </c>
      <c r="K1349" s="12" cm="1">
        <f t="array" ref="K1349">_xlfn.UNIQUE(_xlfn._xlws.FILTER(ARQUIVOS[DATA RECEBIMENTO],(ARQUIVOS[DOCUMENTO]=LD_01[[#This Row],[DOCUMENTO]])*(ARQUIVOS[REVISÃO]=LD_01[[#This Row],[REVISÃO]])))</f>
        <v>46043</v>
      </c>
      <c r="L13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M1349" s="6" t="str">
        <f>LD_01[[#This Row],[PASTA]]&amp;"/"&amp;LD_01[[#This Row],[ARQUIVO]]</f>
        <v>MSV-163MS-647-650/10.DR/MSV-163MS-647-650-ACA-EXE-DE-H2-007-R00.4.pdf</v>
      </c>
    </row>
    <row r="1350" spans="1:13" ht="28.8" hidden="1" x14ac:dyDescent="0.3">
      <c r="A1350" s="6" t="s">
        <v>5851</v>
      </c>
      <c r="B1350" s="6" t="str">
        <f>VLOOKUP(LD_01[[#This Row],[DOCUMENTO]],_xlfn.SORTBY(ARQUIVOS_RECEBIDOS!$E$2:$F$5010,ARQUIVOS_RECEBIDOS!$F$2:$F$5010,-1),2,)</f>
        <v>R00.3</v>
      </c>
      <c r="C1350" s="15" t="s">
        <v>5988</v>
      </c>
      <c r="D1350" s="6" t="s">
        <v>5914</v>
      </c>
      <c r="E1350" s="8" t="s">
        <v>5935</v>
      </c>
      <c r="F1350" s="8" t="s">
        <v>4143</v>
      </c>
      <c r="G1350" s="6" t="str">
        <f>_xlfn.XLOOKUP(LD_01[[#This Row],[DISCIPLINA]],'CLASSES DE PROJETOS'!$F$3:$F$37,'CLASSES DE PROJETOS'!$C$3:$C$37)</f>
        <v>PV</v>
      </c>
      <c r="H1350" s="6" t="str">
        <f>_xlfn.TEXTJOIN("/",TRUE,"MSV-163MS-"&amp;LD_01[[#This Row],[TRECHO]],_xlfn.XLOOKUP(LD_01[[#This Row],[SIGLA]],'CLASSES DE PROJETOS'!$C$3:$C$37,'CLASSES DE PROJETOS'!$E$3:$E$37))</f>
        <v>MSV-163MS-647-650/28.PV</v>
      </c>
      <c r="I1350" s="6" t="str" cm="1">
        <f t="array" ref="I1350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J1350" s="6" t="str" cm="1">
        <f t="array" ref="J1350">_xlfn.TEXTJOIN(", ",TRUE,_xlfn.UNIQUE(_xlfn._xlws.FILTER(ARQUIVOS_RECEBIDOS!$F$2:$F$5010,ARQUIVOS_RECEBIDOS!$E$2:$E$5010=LD_01[[#This Row],[DOCUMENTO]])))</f>
        <v>R00.3</v>
      </c>
      <c r="K1350" s="12" cm="1">
        <f t="array" ref="K1350">_xlfn.UNIQUE(_xlfn._xlws.FILTER(ARQUIVOS[DATA RECEBIMENTO],(ARQUIVOS[DOCUMENTO]=LD_01[[#This Row],[DOCUMENTO]])*(ARQUIVOS[REVISÃO]=LD_01[[#This Row],[REVISÃO]])))</f>
        <v>46043</v>
      </c>
      <c r="L13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M1350" s="6" t="str">
        <f>LD_01[[#This Row],[PASTA]]&amp;"/"&amp;LD_01[[#This Row],[ARQUIVO]]</f>
        <v>MSV-163MS-647-650/28.PV/MSV-163MS-647-650-ACA-EXE-DE-I2-001-R00.3.pdf</v>
      </c>
    </row>
    <row r="1351" spans="1:13" ht="28.8" hidden="1" x14ac:dyDescent="0.3">
      <c r="A1351" s="6" t="s">
        <v>5852</v>
      </c>
      <c r="B1351" s="6" t="str">
        <f>VLOOKUP(LD_01[[#This Row],[DOCUMENTO]],_xlfn.SORTBY(ARQUIVOS_RECEBIDOS!$E$2:$F$5010,ARQUIVOS_RECEBIDOS!$F$2:$F$5010,-1),2,)</f>
        <v>R00.3</v>
      </c>
      <c r="C1351" s="15" t="s">
        <v>5988</v>
      </c>
      <c r="D1351" s="6" t="s">
        <v>5914</v>
      </c>
      <c r="E1351" s="8" t="s">
        <v>5935</v>
      </c>
      <c r="F1351" s="8" t="s">
        <v>4143</v>
      </c>
      <c r="G1351" s="6" t="str">
        <f>_xlfn.XLOOKUP(LD_01[[#This Row],[DISCIPLINA]],'CLASSES DE PROJETOS'!$F$3:$F$37,'CLASSES DE PROJETOS'!$C$3:$C$37)</f>
        <v>PV</v>
      </c>
      <c r="H1351" s="6" t="str">
        <f>_xlfn.TEXTJOIN("/",TRUE,"MSV-163MS-"&amp;LD_01[[#This Row],[TRECHO]],_xlfn.XLOOKUP(LD_01[[#This Row],[SIGLA]],'CLASSES DE PROJETOS'!$C$3:$C$37,'CLASSES DE PROJETOS'!$E$3:$E$37))</f>
        <v>MSV-163MS-647-650/28.PV</v>
      </c>
      <c r="I1351" s="6" t="str" cm="1">
        <f t="array" ref="I1351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J1351" s="6" t="str" cm="1">
        <f t="array" ref="J1351">_xlfn.TEXTJOIN(", ",TRUE,_xlfn.UNIQUE(_xlfn._xlws.FILTER(ARQUIVOS_RECEBIDOS!$F$2:$F$5010,ARQUIVOS_RECEBIDOS!$E$2:$E$5010=LD_01[[#This Row],[DOCUMENTO]])))</f>
        <v>R00.3</v>
      </c>
      <c r="K1351" s="12" cm="1">
        <f t="array" ref="K1351">_xlfn.UNIQUE(_xlfn._xlws.FILTER(ARQUIVOS[DATA RECEBIMENTO],(ARQUIVOS[DOCUMENTO]=LD_01[[#This Row],[DOCUMENTO]])*(ARQUIVOS[REVISÃO]=LD_01[[#This Row],[REVISÃO]])))</f>
        <v>46043</v>
      </c>
      <c r="L13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M1351" s="6" t="str">
        <f>LD_01[[#This Row],[PASTA]]&amp;"/"&amp;LD_01[[#This Row],[ARQUIVO]]</f>
        <v>MSV-163MS-647-650/28.PV/MSV-163MS-647-650-ACA-EXE-DE-I2-002-R00.3.pdf</v>
      </c>
    </row>
    <row r="1352" spans="1:13" ht="28.8" hidden="1" x14ac:dyDescent="0.3">
      <c r="A1352" s="6" t="s">
        <v>5853</v>
      </c>
      <c r="B1352" s="6" t="str">
        <f>VLOOKUP(LD_01[[#This Row],[DOCUMENTO]],_xlfn.SORTBY(ARQUIVOS_RECEBIDOS!$E$2:$F$5010,ARQUIVOS_RECEBIDOS!$F$2:$F$5010,-1),2,)</f>
        <v>R00.3</v>
      </c>
      <c r="C1352" s="15" t="s">
        <v>5988</v>
      </c>
      <c r="D1352" s="6" t="s">
        <v>5914</v>
      </c>
      <c r="E1352" s="8" t="s">
        <v>5935</v>
      </c>
      <c r="F1352" s="8" t="s">
        <v>4143</v>
      </c>
      <c r="G1352" s="6" t="str">
        <f>_xlfn.XLOOKUP(LD_01[[#This Row],[DISCIPLINA]],'CLASSES DE PROJETOS'!$F$3:$F$37,'CLASSES DE PROJETOS'!$C$3:$C$37)</f>
        <v>PV</v>
      </c>
      <c r="H1352" s="6" t="str">
        <f>_xlfn.TEXTJOIN("/",TRUE,"MSV-163MS-"&amp;LD_01[[#This Row],[TRECHO]],_xlfn.XLOOKUP(LD_01[[#This Row],[SIGLA]],'CLASSES DE PROJETOS'!$C$3:$C$37,'CLASSES DE PROJETOS'!$E$3:$E$37))</f>
        <v>MSV-163MS-647-650/28.PV</v>
      </c>
      <c r="I1352" s="6" t="str" cm="1">
        <f t="array" ref="I1352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J1352" s="6" t="str" cm="1">
        <f t="array" ref="J1352">_xlfn.TEXTJOIN(", ",TRUE,_xlfn.UNIQUE(_xlfn._xlws.FILTER(ARQUIVOS_RECEBIDOS!$F$2:$F$5010,ARQUIVOS_RECEBIDOS!$E$2:$E$5010=LD_01[[#This Row],[DOCUMENTO]])))</f>
        <v>R00.3</v>
      </c>
      <c r="K1352" s="12" cm="1">
        <f t="array" ref="K1352">_xlfn.UNIQUE(_xlfn._xlws.FILTER(ARQUIVOS[DATA RECEBIMENTO],(ARQUIVOS[DOCUMENTO]=LD_01[[#This Row],[DOCUMENTO]])*(ARQUIVOS[REVISÃO]=LD_01[[#This Row],[REVISÃO]])))</f>
        <v>46043</v>
      </c>
      <c r="L13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M1352" s="6" t="str">
        <f>LD_01[[#This Row],[PASTA]]&amp;"/"&amp;LD_01[[#This Row],[ARQUIVO]]</f>
        <v>MSV-163MS-647-650/28.PV/MSV-163MS-647-650-ACA-EXE-DE-I2-003-R00.3.pdf</v>
      </c>
    </row>
    <row r="1353" spans="1:13" ht="28.8" hidden="1" x14ac:dyDescent="0.3">
      <c r="A1353" s="6" t="s">
        <v>5854</v>
      </c>
      <c r="B1353" s="6" t="str">
        <f>VLOOKUP(LD_01[[#This Row],[DOCUMENTO]],_xlfn.SORTBY(ARQUIVOS_RECEBIDOS!$E$2:$F$5010,ARQUIVOS_RECEBIDOS!$F$2:$F$5010,-1),2,)</f>
        <v>R00.3</v>
      </c>
      <c r="C1353" s="15" t="s">
        <v>5988</v>
      </c>
      <c r="D1353" s="6" t="s">
        <v>5914</v>
      </c>
      <c r="E1353" s="8" t="s">
        <v>5935</v>
      </c>
      <c r="F1353" s="8" t="s">
        <v>4143</v>
      </c>
      <c r="G1353" s="6" t="str">
        <f>_xlfn.XLOOKUP(LD_01[[#This Row],[DISCIPLINA]],'CLASSES DE PROJETOS'!$F$3:$F$37,'CLASSES DE PROJETOS'!$C$3:$C$37)</f>
        <v>PV</v>
      </c>
      <c r="H1353" s="6" t="str">
        <f>_xlfn.TEXTJOIN("/",TRUE,"MSV-163MS-"&amp;LD_01[[#This Row],[TRECHO]],_xlfn.XLOOKUP(LD_01[[#This Row],[SIGLA]],'CLASSES DE PROJETOS'!$C$3:$C$37,'CLASSES DE PROJETOS'!$E$3:$E$37))</f>
        <v>MSV-163MS-647-650/28.PV</v>
      </c>
      <c r="I1353" s="6" t="str" cm="1">
        <f t="array" ref="I1353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J1353" s="6" t="str" cm="1">
        <f t="array" ref="J1353">_xlfn.TEXTJOIN(", ",TRUE,_xlfn.UNIQUE(_xlfn._xlws.FILTER(ARQUIVOS_RECEBIDOS!$F$2:$F$5010,ARQUIVOS_RECEBIDOS!$E$2:$E$5010=LD_01[[#This Row],[DOCUMENTO]])))</f>
        <v>R00.3</v>
      </c>
      <c r="K1353" s="12" cm="1">
        <f t="array" ref="K1353">_xlfn.UNIQUE(_xlfn._xlws.FILTER(ARQUIVOS[DATA RECEBIMENTO],(ARQUIVOS[DOCUMENTO]=LD_01[[#This Row],[DOCUMENTO]])*(ARQUIVOS[REVISÃO]=LD_01[[#This Row],[REVISÃO]])))</f>
        <v>46043</v>
      </c>
      <c r="L13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M1353" s="6" t="str">
        <f>LD_01[[#This Row],[PASTA]]&amp;"/"&amp;LD_01[[#This Row],[ARQUIVO]]</f>
        <v>MSV-163MS-647-650/28.PV/MSV-163MS-647-650-ACA-EXE-DE-I2-004-R00.3.pdf</v>
      </c>
    </row>
    <row r="1354" spans="1:13" ht="28.8" hidden="1" x14ac:dyDescent="0.3">
      <c r="A1354" s="6" t="s">
        <v>5855</v>
      </c>
      <c r="B1354" s="6" t="str">
        <f>VLOOKUP(LD_01[[#This Row],[DOCUMENTO]],_xlfn.SORTBY(ARQUIVOS_RECEBIDOS!$E$2:$F$5010,ARQUIVOS_RECEBIDOS!$F$2:$F$5010,-1),2,)</f>
        <v>R00.3</v>
      </c>
      <c r="C1354" s="15" t="s">
        <v>5988</v>
      </c>
      <c r="D1354" s="6" t="s">
        <v>5914</v>
      </c>
      <c r="E1354" s="8" t="s">
        <v>5935</v>
      </c>
      <c r="F1354" s="8" t="s">
        <v>4143</v>
      </c>
      <c r="G1354" s="6" t="str">
        <f>_xlfn.XLOOKUP(LD_01[[#This Row],[DISCIPLINA]],'CLASSES DE PROJETOS'!$F$3:$F$37,'CLASSES DE PROJETOS'!$C$3:$C$37)</f>
        <v>PV</v>
      </c>
      <c r="H1354" s="6" t="str">
        <f>_xlfn.TEXTJOIN("/",TRUE,"MSV-163MS-"&amp;LD_01[[#This Row],[TRECHO]],_xlfn.XLOOKUP(LD_01[[#This Row],[SIGLA]],'CLASSES DE PROJETOS'!$C$3:$C$37,'CLASSES DE PROJETOS'!$E$3:$E$37))</f>
        <v>MSV-163MS-647-650/28.PV</v>
      </c>
      <c r="I1354" s="6" t="str" cm="1">
        <f t="array" ref="I1354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J1354" s="6" t="str" cm="1">
        <f t="array" ref="J1354">_xlfn.TEXTJOIN(", ",TRUE,_xlfn.UNIQUE(_xlfn._xlws.FILTER(ARQUIVOS_RECEBIDOS!$F$2:$F$5010,ARQUIVOS_RECEBIDOS!$E$2:$E$5010=LD_01[[#This Row],[DOCUMENTO]])))</f>
        <v>R00.3</v>
      </c>
      <c r="K1354" s="12" cm="1">
        <f t="array" ref="K1354">_xlfn.UNIQUE(_xlfn._xlws.FILTER(ARQUIVOS[DATA RECEBIMENTO],(ARQUIVOS[DOCUMENTO]=LD_01[[#This Row],[DOCUMENTO]])*(ARQUIVOS[REVISÃO]=LD_01[[#This Row],[REVISÃO]])))</f>
        <v>46043</v>
      </c>
      <c r="L13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M1354" s="6" t="str">
        <f>LD_01[[#This Row],[PASTA]]&amp;"/"&amp;LD_01[[#This Row],[ARQUIVO]]</f>
        <v>MSV-163MS-647-650/28.PV/MSV-163MS-647-650-ACA-EXE-DE-I2-005-R00.3.pdf</v>
      </c>
    </row>
    <row r="1355" spans="1:13" ht="28.8" hidden="1" x14ac:dyDescent="0.3">
      <c r="A1355" s="6" t="s">
        <v>5856</v>
      </c>
      <c r="B1355" s="6" t="str">
        <f>VLOOKUP(LD_01[[#This Row],[DOCUMENTO]],_xlfn.SORTBY(ARQUIVOS_RECEBIDOS!$E$2:$F$5010,ARQUIVOS_RECEBIDOS!$F$2:$F$5010,-1),2,)</f>
        <v>R00.3</v>
      </c>
      <c r="C1355" s="15" t="s">
        <v>5988</v>
      </c>
      <c r="D1355" s="6" t="s">
        <v>5914</v>
      </c>
      <c r="E1355" s="8" t="s">
        <v>5935</v>
      </c>
      <c r="F1355" s="8" t="s">
        <v>4143</v>
      </c>
      <c r="G1355" s="6" t="str">
        <f>_xlfn.XLOOKUP(LD_01[[#This Row],[DISCIPLINA]],'CLASSES DE PROJETOS'!$F$3:$F$37,'CLASSES DE PROJETOS'!$C$3:$C$37)</f>
        <v>PV</v>
      </c>
      <c r="H1355" s="6" t="str">
        <f>_xlfn.TEXTJOIN("/",TRUE,"MSV-163MS-"&amp;LD_01[[#This Row],[TRECHO]],_xlfn.XLOOKUP(LD_01[[#This Row],[SIGLA]],'CLASSES DE PROJETOS'!$C$3:$C$37,'CLASSES DE PROJETOS'!$E$3:$E$37))</f>
        <v>MSV-163MS-647-650/28.PV</v>
      </c>
      <c r="I1355" s="6" t="str" cm="1">
        <f t="array" ref="I1355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J1355" s="6" t="str" cm="1">
        <f t="array" ref="J1355">_xlfn.TEXTJOIN(", ",TRUE,_xlfn.UNIQUE(_xlfn._xlws.FILTER(ARQUIVOS_RECEBIDOS!$F$2:$F$5010,ARQUIVOS_RECEBIDOS!$E$2:$E$5010=LD_01[[#This Row],[DOCUMENTO]])))</f>
        <v>R00.3</v>
      </c>
      <c r="K1355" s="12" cm="1">
        <f t="array" ref="K1355">_xlfn.UNIQUE(_xlfn._xlws.FILTER(ARQUIVOS[DATA RECEBIMENTO],(ARQUIVOS[DOCUMENTO]=LD_01[[#This Row],[DOCUMENTO]])*(ARQUIVOS[REVISÃO]=LD_01[[#This Row],[REVISÃO]])))</f>
        <v>46043</v>
      </c>
      <c r="L13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M1355" s="6" t="str">
        <f>LD_01[[#This Row],[PASTA]]&amp;"/"&amp;LD_01[[#This Row],[ARQUIVO]]</f>
        <v>MSV-163MS-647-650/28.PV/MSV-163MS-647-650-ACA-EXE-DE-I2-006-R00.3.pdf</v>
      </c>
    </row>
    <row r="1356" spans="1:13" ht="28.8" hidden="1" x14ac:dyDescent="0.3">
      <c r="A1356" s="6" t="s">
        <v>5857</v>
      </c>
      <c r="B1356" s="6" t="str">
        <f>VLOOKUP(LD_01[[#This Row],[DOCUMENTO]],_xlfn.SORTBY(ARQUIVOS_RECEBIDOS!$E$2:$F$5010,ARQUIVOS_RECEBIDOS!$F$2:$F$5010,-1),2,)</f>
        <v>R00.3</v>
      </c>
      <c r="C1356" s="15" t="s">
        <v>5988</v>
      </c>
      <c r="D1356" s="6" t="s">
        <v>5914</v>
      </c>
      <c r="E1356" s="8" t="s">
        <v>5936</v>
      </c>
      <c r="F1356" s="8" t="s">
        <v>4143</v>
      </c>
      <c r="G1356" s="6" t="str">
        <f>_xlfn.XLOOKUP(LD_01[[#This Row],[DISCIPLINA]],'CLASSES DE PROJETOS'!$F$3:$F$37,'CLASSES DE PROJETOS'!$C$3:$C$37)</f>
        <v>PV</v>
      </c>
      <c r="H1356" s="6" t="str">
        <f>_xlfn.TEXTJOIN("/",TRUE,"MSV-163MS-"&amp;LD_01[[#This Row],[TRECHO]],_xlfn.XLOOKUP(LD_01[[#This Row],[SIGLA]],'CLASSES DE PROJETOS'!$C$3:$C$37,'CLASSES DE PROJETOS'!$E$3:$E$37))</f>
        <v>MSV-163MS-647-650/28.PV</v>
      </c>
      <c r="I1356" s="6" t="str" cm="1">
        <f t="array" ref="I1356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J1356" s="6" t="str" cm="1">
        <f t="array" ref="J1356">_xlfn.TEXTJOIN(", ",TRUE,_xlfn.UNIQUE(_xlfn._xlws.FILTER(ARQUIVOS_RECEBIDOS!$F$2:$F$5010,ARQUIVOS_RECEBIDOS!$E$2:$E$5010=LD_01[[#This Row],[DOCUMENTO]])))</f>
        <v>R00.3</v>
      </c>
      <c r="K1356" s="12" cm="1">
        <f t="array" ref="K1356">_xlfn.UNIQUE(_xlfn._xlws.FILTER(ARQUIVOS[DATA RECEBIMENTO],(ARQUIVOS[DOCUMENTO]=LD_01[[#This Row],[DOCUMENTO]])*(ARQUIVOS[REVISÃO]=LD_01[[#This Row],[REVISÃO]])))</f>
        <v>46043</v>
      </c>
      <c r="L13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M1356" s="6" t="str">
        <f>LD_01[[#This Row],[PASTA]]&amp;"/"&amp;LD_01[[#This Row],[ARQUIVO]]</f>
        <v>MSV-163MS-647-650/28.PV/MSV-163MS-647-650-ACA-EXE-DE-I2-007-R00.3.pdf</v>
      </c>
    </row>
    <row r="1357" spans="1:13" ht="28.8" hidden="1" x14ac:dyDescent="0.3">
      <c r="A1357" s="6" t="s">
        <v>5858</v>
      </c>
      <c r="B1357" s="6" t="str">
        <f>VLOOKUP(LD_01[[#This Row],[DOCUMENTO]],_xlfn.SORTBY(ARQUIVOS_RECEBIDOS!$E$2:$F$5010,ARQUIVOS_RECEBIDOS!$F$2:$F$5010,-1),2,)</f>
        <v>R00.3</v>
      </c>
      <c r="C1357" s="15" t="s">
        <v>5988</v>
      </c>
      <c r="D1357" s="6" t="s">
        <v>5914</v>
      </c>
      <c r="E1357" s="8" t="s">
        <v>5936</v>
      </c>
      <c r="F1357" s="8" t="s">
        <v>4143</v>
      </c>
      <c r="G1357" s="6" t="str">
        <f>_xlfn.XLOOKUP(LD_01[[#This Row],[DISCIPLINA]],'CLASSES DE PROJETOS'!$F$3:$F$37,'CLASSES DE PROJETOS'!$C$3:$C$37)</f>
        <v>PV</v>
      </c>
      <c r="H1357" s="6" t="str">
        <f>_xlfn.TEXTJOIN("/",TRUE,"MSV-163MS-"&amp;LD_01[[#This Row],[TRECHO]],_xlfn.XLOOKUP(LD_01[[#This Row],[SIGLA]],'CLASSES DE PROJETOS'!$C$3:$C$37,'CLASSES DE PROJETOS'!$E$3:$E$37))</f>
        <v>MSV-163MS-647-650/28.PV</v>
      </c>
      <c r="I1357" s="6" t="str" cm="1">
        <f t="array" ref="I1357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J1357" s="6" t="str" cm="1">
        <f t="array" ref="J1357">_xlfn.TEXTJOIN(", ",TRUE,_xlfn.UNIQUE(_xlfn._xlws.FILTER(ARQUIVOS_RECEBIDOS!$F$2:$F$5010,ARQUIVOS_RECEBIDOS!$E$2:$E$5010=LD_01[[#This Row],[DOCUMENTO]])))</f>
        <v>R00.3</v>
      </c>
      <c r="K1357" s="12" cm="1">
        <f t="array" ref="K1357">_xlfn.UNIQUE(_xlfn._xlws.FILTER(ARQUIVOS[DATA RECEBIMENTO],(ARQUIVOS[DOCUMENTO]=LD_01[[#This Row],[DOCUMENTO]])*(ARQUIVOS[REVISÃO]=LD_01[[#This Row],[REVISÃO]])))</f>
        <v>46043</v>
      </c>
      <c r="L13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M1357" s="6" t="str">
        <f>LD_01[[#This Row],[PASTA]]&amp;"/"&amp;LD_01[[#This Row],[ARQUIVO]]</f>
        <v>MSV-163MS-647-650/28.PV/MSV-163MS-647-650-ACA-EXE-DE-I2-008-R00.3.pdf</v>
      </c>
    </row>
    <row r="1358" spans="1:13" ht="28.8" hidden="1" x14ac:dyDescent="0.3">
      <c r="A1358" s="6" t="s">
        <v>5859</v>
      </c>
      <c r="B1358" s="6" t="str">
        <f>VLOOKUP(LD_01[[#This Row],[DOCUMENTO]],_xlfn.SORTBY(ARQUIVOS_RECEBIDOS!$E$2:$F$5010,ARQUIVOS_RECEBIDOS!$F$2:$F$5010,-1),2,)</f>
        <v>R00.3</v>
      </c>
      <c r="C1358" s="15" t="s">
        <v>5988</v>
      </c>
      <c r="D1358" s="6" t="s">
        <v>5914</v>
      </c>
      <c r="E1358" s="8" t="s">
        <v>5936</v>
      </c>
      <c r="F1358" s="8" t="s">
        <v>4143</v>
      </c>
      <c r="G1358" s="6" t="str">
        <f>_xlfn.XLOOKUP(LD_01[[#This Row],[DISCIPLINA]],'CLASSES DE PROJETOS'!$F$3:$F$37,'CLASSES DE PROJETOS'!$C$3:$C$37)</f>
        <v>PV</v>
      </c>
      <c r="H1358" s="6" t="str">
        <f>_xlfn.TEXTJOIN("/",TRUE,"MSV-163MS-"&amp;LD_01[[#This Row],[TRECHO]],_xlfn.XLOOKUP(LD_01[[#This Row],[SIGLA]],'CLASSES DE PROJETOS'!$C$3:$C$37,'CLASSES DE PROJETOS'!$E$3:$E$37))</f>
        <v>MSV-163MS-647-650/28.PV</v>
      </c>
      <c r="I1358" s="6" t="str" cm="1">
        <f t="array" ref="I1358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J1358" s="6" t="str" cm="1">
        <f t="array" ref="J1358">_xlfn.TEXTJOIN(", ",TRUE,_xlfn.UNIQUE(_xlfn._xlws.FILTER(ARQUIVOS_RECEBIDOS!$F$2:$F$5010,ARQUIVOS_RECEBIDOS!$E$2:$E$5010=LD_01[[#This Row],[DOCUMENTO]])))</f>
        <v>R00.3</v>
      </c>
      <c r="K1358" s="12" cm="1">
        <f t="array" ref="K1358">_xlfn.UNIQUE(_xlfn._xlws.FILTER(ARQUIVOS[DATA RECEBIMENTO],(ARQUIVOS[DOCUMENTO]=LD_01[[#This Row],[DOCUMENTO]])*(ARQUIVOS[REVISÃO]=LD_01[[#This Row],[REVISÃO]])))</f>
        <v>46043</v>
      </c>
      <c r="L13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M1358" s="6" t="str">
        <f>LD_01[[#This Row],[PASTA]]&amp;"/"&amp;LD_01[[#This Row],[ARQUIVO]]</f>
        <v>MSV-163MS-647-650/28.PV/MSV-163MS-647-650-ACA-EXE-DE-I2-009-R00.3.pdf</v>
      </c>
    </row>
    <row r="1359" spans="1:13" ht="28.8" hidden="1" x14ac:dyDescent="0.3">
      <c r="A1359" s="6" t="s">
        <v>5860</v>
      </c>
      <c r="B1359" s="6" t="str">
        <f>VLOOKUP(LD_01[[#This Row],[DOCUMENTO]],_xlfn.SORTBY(ARQUIVOS_RECEBIDOS!$E$2:$F$5010,ARQUIVOS_RECEBIDOS!$F$2:$F$5010,-1),2,)</f>
        <v>R00.3</v>
      </c>
      <c r="C1359" s="15" t="s">
        <v>5988</v>
      </c>
      <c r="D1359" s="6" t="s">
        <v>5914</v>
      </c>
      <c r="E1359" s="8" t="s">
        <v>5936</v>
      </c>
      <c r="F1359" s="8" t="s">
        <v>4143</v>
      </c>
      <c r="G1359" s="6" t="str">
        <f>_xlfn.XLOOKUP(LD_01[[#This Row],[DISCIPLINA]],'CLASSES DE PROJETOS'!$F$3:$F$37,'CLASSES DE PROJETOS'!$C$3:$C$37)</f>
        <v>PV</v>
      </c>
      <c r="H1359" s="6" t="str">
        <f>_xlfn.TEXTJOIN("/",TRUE,"MSV-163MS-"&amp;LD_01[[#This Row],[TRECHO]],_xlfn.XLOOKUP(LD_01[[#This Row],[SIGLA]],'CLASSES DE PROJETOS'!$C$3:$C$37,'CLASSES DE PROJETOS'!$E$3:$E$37))</f>
        <v>MSV-163MS-647-650/28.PV</v>
      </c>
      <c r="I1359" s="6" t="str" cm="1">
        <f t="array" ref="I1359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J1359" s="6" t="str" cm="1">
        <f t="array" ref="J1359">_xlfn.TEXTJOIN(", ",TRUE,_xlfn.UNIQUE(_xlfn._xlws.FILTER(ARQUIVOS_RECEBIDOS!$F$2:$F$5010,ARQUIVOS_RECEBIDOS!$E$2:$E$5010=LD_01[[#This Row],[DOCUMENTO]])))</f>
        <v>R00.3</v>
      </c>
      <c r="K1359" s="12" cm="1">
        <f t="array" ref="K1359">_xlfn.UNIQUE(_xlfn._xlws.FILTER(ARQUIVOS[DATA RECEBIMENTO],(ARQUIVOS[DOCUMENTO]=LD_01[[#This Row],[DOCUMENTO]])*(ARQUIVOS[REVISÃO]=LD_01[[#This Row],[REVISÃO]])))</f>
        <v>46043</v>
      </c>
      <c r="L13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M1359" s="6" t="str">
        <f>LD_01[[#This Row],[PASTA]]&amp;"/"&amp;LD_01[[#This Row],[ARQUIVO]]</f>
        <v>MSV-163MS-647-650/28.PV/MSV-163MS-647-650-ACA-EXE-DE-I2-010-R00.3.pdf</v>
      </c>
    </row>
    <row r="1360" spans="1:13" ht="28.8" hidden="1" x14ac:dyDescent="0.3">
      <c r="A1360" s="6" t="s">
        <v>5861</v>
      </c>
      <c r="B1360" s="6" t="str">
        <f>VLOOKUP(LD_01[[#This Row],[DOCUMENTO]],_xlfn.SORTBY(ARQUIVOS_RECEBIDOS!$E$2:$F$5010,ARQUIVOS_RECEBIDOS!$F$2:$F$5010,-1),2,)</f>
        <v>R00.3</v>
      </c>
      <c r="C1360" s="15" t="s">
        <v>5988</v>
      </c>
      <c r="D1360" s="6" t="s">
        <v>5914</v>
      </c>
      <c r="E1360" s="8" t="s">
        <v>5936</v>
      </c>
      <c r="F1360" s="8" t="s">
        <v>4143</v>
      </c>
      <c r="G1360" s="6" t="str">
        <f>_xlfn.XLOOKUP(LD_01[[#This Row],[DISCIPLINA]],'CLASSES DE PROJETOS'!$F$3:$F$37,'CLASSES DE PROJETOS'!$C$3:$C$37)</f>
        <v>PV</v>
      </c>
      <c r="H1360" s="6" t="str">
        <f>_xlfn.TEXTJOIN("/",TRUE,"MSV-163MS-"&amp;LD_01[[#This Row],[TRECHO]],_xlfn.XLOOKUP(LD_01[[#This Row],[SIGLA]],'CLASSES DE PROJETOS'!$C$3:$C$37,'CLASSES DE PROJETOS'!$E$3:$E$37))</f>
        <v>MSV-163MS-647-650/28.PV</v>
      </c>
      <c r="I1360" s="6" t="str" cm="1">
        <f t="array" ref="I1360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J1360" s="6" t="str" cm="1">
        <f t="array" ref="J1360">_xlfn.TEXTJOIN(", ",TRUE,_xlfn.UNIQUE(_xlfn._xlws.FILTER(ARQUIVOS_RECEBIDOS!$F$2:$F$5010,ARQUIVOS_RECEBIDOS!$E$2:$E$5010=LD_01[[#This Row],[DOCUMENTO]])))</f>
        <v>R00.3</v>
      </c>
      <c r="K1360" s="12" cm="1">
        <f t="array" ref="K1360">_xlfn.UNIQUE(_xlfn._xlws.FILTER(ARQUIVOS[DATA RECEBIMENTO],(ARQUIVOS[DOCUMENTO]=LD_01[[#This Row],[DOCUMENTO]])*(ARQUIVOS[REVISÃO]=LD_01[[#This Row],[REVISÃO]])))</f>
        <v>46043</v>
      </c>
      <c r="L13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M1360" s="6" t="str">
        <f>LD_01[[#This Row],[PASTA]]&amp;"/"&amp;LD_01[[#This Row],[ARQUIVO]]</f>
        <v>MSV-163MS-647-650/28.PV/MSV-163MS-647-650-ACA-EXE-DE-I2-011-R00.3.pdf</v>
      </c>
    </row>
    <row r="1361" spans="1:13" ht="28.8" hidden="1" x14ac:dyDescent="0.3">
      <c r="A1361" s="6" t="s">
        <v>5863</v>
      </c>
      <c r="B1361" s="6" t="str">
        <f>VLOOKUP(LD_01[[#This Row],[DOCUMENTO]],_xlfn.SORTBY(ARQUIVOS_RECEBIDOS!$E$2:$F$5010,ARQUIVOS_RECEBIDOS!$F$2:$F$5010,-1),2,)</f>
        <v>R00.3</v>
      </c>
      <c r="C1361" s="15" t="s">
        <v>5988</v>
      </c>
      <c r="D1361" s="6" t="s">
        <v>5914</v>
      </c>
      <c r="E1361" s="8" t="s">
        <v>5937</v>
      </c>
      <c r="F1361" s="8" t="s">
        <v>4331</v>
      </c>
      <c r="G1361" s="6" t="str">
        <f>_xlfn.XLOOKUP(LD_01[[#This Row],[DISCIPLINA]],'CLASSES DE PROJETOS'!$F$3:$F$37,'CLASSES DE PROJETOS'!$C$3:$C$37)</f>
        <v>SI</v>
      </c>
      <c r="H1361" s="6" t="str">
        <f>_xlfn.TEXTJOIN("/",TRUE,"MSV-163MS-"&amp;LD_01[[#This Row],[TRECHO]],_xlfn.XLOOKUP(LD_01[[#This Row],[SIGLA]],'CLASSES DE PROJETOS'!$C$3:$C$37,'CLASSES DE PROJETOS'!$E$3:$E$37))</f>
        <v>MSV-163MS-647-650/31.SI</v>
      </c>
      <c r="I1361" s="6" t="str" cm="1">
        <f t="array" ref="I1361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J1361" s="6" t="str" cm="1">
        <f t="array" ref="J1361">_xlfn.TEXTJOIN(", ",TRUE,_xlfn.UNIQUE(_xlfn._xlws.FILTER(ARQUIVOS_RECEBIDOS!$F$2:$F$5010,ARQUIVOS_RECEBIDOS!$E$2:$E$5010=LD_01[[#This Row],[DOCUMENTO]])))</f>
        <v>R00.3</v>
      </c>
      <c r="K1361" s="12" cm="1">
        <f t="array" ref="K1361">_xlfn.UNIQUE(_xlfn._xlws.FILTER(ARQUIVOS[DATA RECEBIMENTO],(ARQUIVOS[DOCUMENTO]=LD_01[[#This Row],[DOCUMENTO]])*(ARQUIVOS[REVISÃO]=LD_01[[#This Row],[REVISÃO]])))</f>
        <v>46043</v>
      </c>
      <c r="L13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M1361" s="6" t="str">
        <f>LD_01[[#This Row],[PASTA]]&amp;"/"&amp;LD_01[[#This Row],[ARQUIVO]]</f>
        <v>MSV-163MS-647-650/31.SI/MSV-163MS-647-650-ACA-EXE-DE-J1-001-R00.3.pdf</v>
      </c>
    </row>
    <row r="1362" spans="1:13" ht="28.8" hidden="1" x14ac:dyDescent="0.3">
      <c r="A1362" s="6" t="s">
        <v>5864</v>
      </c>
      <c r="B1362" s="6" t="str">
        <f>VLOOKUP(LD_01[[#This Row],[DOCUMENTO]],_xlfn.SORTBY(ARQUIVOS_RECEBIDOS!$E$2:$F$5010,ARQUIVOS_RECEBIDOS!$F$2:$F$5010,-1),2,)</f>
        <v>R00.3</v>
      </c>
      <c r="C1362" s="15" t="s">
        <v>5988</v>
      </c>
      <c r="D1362" s="6" t="s">
        <v>5914</v>
      </c>
      <c r="E1362" s="8" t="s">
        <v>5937</v>
      </c>
      <c r="F1362" s="8" t="s">
        <v>4331</v>
      </c>
      <c r="G1362" s="6" t="str">
        <f>_xlfn.XLOOKUP(LD_01[[#This Row],[DISCIPLINA]],'CLASSES DE PROJETOS'!$F$3:$F$37,'CLASSES DE PROJETOS'!$C$3:$C$37)</f>
        <v>SI</v>
      </c>
      <c r="H1362" s="6" t="str">
        <f>_xlfn.TEXTJOIN("/",TRUE,"MSV-163MS-"&amp;LD_01[[#This Row],[TRECHO]],_xlfn.XLOOKUP(LD_01[[#This Row],[SIGLA]],'CLASSES DE PROJETOS'!$C$3:$C$37,'CLASSES DE PROJETOS'!$E$3:$E$37))</f>
        <v>MSV-163MS-647-650/31.SI</v>
      </c>
      <c r="I1362" s="6" t="str" cm="1">
        <f t="array" ref="I1362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J1362" s="6" t="str" cm="1">
        <f t="array" ref="J1362">_xlfn.TEXTJOIN(", ",TRUE,_xlfn.UNIQUE(_xlfn._xlws.FILTER(ARQUIVOS_RECEBIDOS!$F$2:$F$5010,ARQUIVOS_RECEBIDOS!$E$2:$E$5010=LD_01[[#This Row],[DOCUMENTO]])))</f>
        <v>R00.3</v>
      </c>
      <c r="K1362" s="12" cm="1">
        <f t="array" ref="K1362">_xlfn.UNIQUE(_xlfn._xlws.FILTER(ARQUIVOS[DATA RECEBIMENTO],(ARQUIVOS[DOCUMENTO]=LD_01[[#This Row],[DOCUMENTO]])*(ARQUIVOS[REVISÃO]=LD_01[[#This Row],[REVISÃO]])))</f>
        <v>46043</v>
      </c>
      <c r="L13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M1362" s="6" t="str">
        <f>LD_01[[#This Row],[PASTA]]&amp;"/"&amp;LD_01[[#This Row],[ARQUIVO]]</f>
        <v>MSV-163MS-647-650/31.SI/MSV-163MS-647-650-ACA-EXE-DE-J1-002-R00.3.pdf</v>
      </c>
    </row>
    <row r="1363" spans="1:13" ht="28.8" hidden="1" x14ac:dyDescent="0.3">
      <c r="A1363" s="6" t="s">
        <v>5865</v>
      </c>
      <c r="B1363" s="6" t="str">
        <f>VLOOKUP(LD_01[[#This Row],[DOCUMENTO]],_xlfn.SORTBY(ARQUIVOS_RECEBIDOS!$E$2:$F$5010,ARQUIVOS_RECEBIDOS!$F$2:$F$5010,-1),2,)</f>
        <v>R00.3</v>
      </c>
      <c r="C1363" s="15" t="s">
        <v>5988</v>
      </c>
      <c r="D1363" s="6" t="s">
        <v>5914</v>
      </c>
      <c r="E1363" s="8" t="s">
        <v>5937</v>
      </c>
      <c r="F1363" s="8" t="s">
        <v>4331</v>
      </c>
      <c r="G1363" s="6" t="str">
        <f>_xlfn.XLOOKUP(LD_01[[#This Row],[DISCIPLINA]],'CLASSES DE PROJETOS'!$F$3:$F$37,'CLASSES DE PROJETOS'!$C$3:$C$37)</f>
        <v>SI</v>
      </c>
      <c r="H1363" s="6" t="str">
        <f>_xlfn.TEXTJOIN("/",TRUE,"MSV-163MS-"&amp;LD_01[[#This Row],[TRECHO]],_xlfn.XLOOKUP(LD_01[[#This Row],[SIGLA]],'CLASSES DE PROJETOS'!$C$3:$C$37,'CLASSES DE PROJETOS'!$E$3:$E$37))</f>
        <v>MSV-163MS-647-650/31.SI</v>
      </c>
      <c r="I1363" s="6" t="str" cm="1">
        <f t="array" ref="I1363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J1363" s="6" t="str" cm="1">
        <f t="array" ref="J1363">_xlfn.TEXTJOIN(", ",TRUE,_xlfn.UNIQUE(_xlfn._xlws.FILTER(ARQUIVOS_RECEBIDOS!$F$2:$F$5010,ARQUIVOS_RECEBIDOS!$E$2:$E$5010=LD_01[[#This Row],[DOCUMENTO]])))</f>
        <v>R00.3</v>
      </c>
      <c r="K1363" s="12" cm="1">
        <f t="array" ref="K1363">_xlfn.UNIQUE(_xlfn._xlws.FILTER(ARQUIVOS[DATA RECEBIMENTO],(ARQUIVOS[DOCUMENTO]=LD_01[[#This Row],[DOCUMENTO]])*(ARQUIVOS[REVISÃO]=LD_01[[#This Row],[REVISÃO]])))</f>
        <v>46043</v>
      </c>
      <c r="L13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M1363" s="6" t="str">
        <f>LD_01[[#This Row],[PASTA]]&amp;"/"&amp;LD_01[[#This Row],[ARQUIVO]]</f>
        <v>MSV-163MS-647-650/31.SI/MSV-163MS-647-650-ACA-EXE-DE-J1-003-R00.3.pdf</v>
      </c>
    </row>
    <row r="1364" spans="1:13" ht="28.8" hidden="1" x14ac:dyDescent="0.3">
      <c r="A1364" s="6" t="s">
        <v>5866</v>
      </c>
      <c r="B1364" s="6" t="str">
        <f>VLOOKUP(LD_01[[#This Row],[DOCUMENTO]],_xlfn.SORTBY(ARQUIVOS_RECEBIDOS!$E$2:$F$5010,ARQUIVOS_RECEBIDOS!$F$2:$F$5010,-1),2,)</f>
        <v>R00.3</v>
      </c>
      <c r="C1364" s="15" t="s">
        <v>5988</v>
      </c>
      <c r="D1364" s="6" t="s">
        <v>5914</v>
      </c>
      <c r="E1364" s="8" t="s">
        <v>5937</v>
      </c>
      <c r="F1364" s="8" t="s">
        <v>4331</v>
      </c>
      <c r="G1364" s="6" t="str">
        <f>_xlfn.XLOOKUP(LD_01[[#This Row],[DISCIPLINA]],'CLASSES DE PROJETOS'!$F$3:$F$37,'CLASSES DE PROJETOS'!$C$3:$C$37)</f>
        <v>SI</v>
      </c>
      <c r="H1364" s="6" t="str">
        <f>_xlfn.TEXTJOIN("/",TRUE,"MSV-163MS-"&amp;LD_01[[#This Row],[TRECHO]],_xlfn.XLOOKUP(LD_01[[#This Row],[SIGLA]],'CLASSES DE PROJETOS'!$C$3:$C$37,'CLASSES DE PROJETOS'!$E$3:$E$37))</f>
        <v>MSV-163MS-647-650/31.SI</v>
      </c>
      <c r="I1364" s="6" t="str" cm="1">
        <f t="array" ref="I1364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J1364" s="6" t="str" cm="1">
        <f t="array" ref="J1364">_xlfn.TEXTJOIN(", ",TRUE,_xlfn.UNIQUE(_xlfn._xlws.FILTER(ARQUIVOS_RECEBIDOS!$F$2:$F$5010,ARQUIVOS_RECEBIDOS!$E$2:$E$5010=LD_01[[#This Row],[DOCUMENTO]])))</f>
        <v>R00.3</v>
      </c>
      <c r="K1364" s="12" cm="1">
        <f t="array" ref="K1364">_xlfn.UNIQUE(_xlfn._xlws.FILTER(ARQUIVOS[DATA RECEBIMENTO],(ARQUIVOS[DOCUMENTO]=LD_01[[#This Row],[DOCUMENTO]])*(ARQUIVOS[REVISÃO]=LD_01[[#This Row],[REVISÃO]])))</f>
        <v>46043</v>
      </c>
      <c r="L13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M1364" s="6" t="str">
        <f>LD_01[[#This Row],[PASTA]]&amp;"/"&amp;LD_01[[#This Row],[ARQUIVO]]</f>
        <v>MSV-163MS-647-650/31.SI/MSV-163MS-647-650-ACA-EXE-DE-J1-004-R00.3.pdf</v>
      </c>
    </row>
    <row r="1365" spans="1:13" ht="28.8" hidden="1" x14ac:dyDescent="0.3">
      <c r="A1365" s="6" t="s">
        <v>5867</v>
      </c>
      <c r="B1365" s="6" t="str">
        <f>VLOOKUP(LD_01[[#This Row],[DOCUMENTO]],_xlfn.SORTBY(ARQUIVOS_RECEBIDOS!$E$2:$F$5010,ARQUIVOS_RECEBIDOS!$F$2:$F$5010,-1),2,)</f>
        <v>R00.3</v>
      </c>
      <c r="C1365" s="15" t="s">
        <v>5988</v>
      </c>
      <c r="D1365" s="6" t="s">
        <v>5914</v>
      </c>
      <c r="E1365" s="8" t="s">
        <v>5937</v>
      </c>
      <c r="F1365" s="8" t="s">
        <v>4331</v>
      </c>
      <c r="G1365" s="6" t="str">
        <f>_xlfn.XLOOKUP(LD_01[[#This Row],[DISCIPLINA]],'CLASSES DE PROJETOS'!$F$3:$F$37,'CLASSES DE PROJETOS'!$C$3:$C$37)</f>
        <v>SI</v>
      </c>
      <c r="H1365" s="6" t="str">
        <f>_xlfn.TEXTJOIN("/",TRUE,"MSV-163MS-"&amp;LD_01[[#This Row],[TRECHO]],_xlfn.XLOOKUP(LD_01[[#This Row],[SIGLA]],'CLASSES DE PROJETOS'!$C$3:$C$37,'CLASSES DE PROJETOS'!$E$3:$E$37))</f>
        <v>MSV-163MS-647-650/31.SI</v>
      </c>
      <c r="I1365" s="6" t="str" cm="1">
        <f t="array" ref="I1365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J1365" s="6" t="str" cm="1">
        <f t="array" ref="J1365">_xlfn.TEXTJOIN(", ",TRUE,_xlfn.UNIQUE(_xlfn._xlws.FILTER(ARQUIVOS_RECEBIDOS!$F$2:$F$5010,ARQUIVOS_RECEBIDOS!$E$2:$E$5010=LD_01[[#This Row],[DOCUMENTO]])))</f>
        <v>R00.3</v>
      </c>
      <c r="K1365" s="12" cm="1">
        <f t="array" ref="K1365">_xlfn.UNIQUE(_xlfn._xlws.FILTER(ARQUIVOS[DATA RECEBIMENTO],(ARQUIVOS[DOCUMENTO]=LD_01[[#This Row],[DOCUMENTO]])*(ARQUIVOS[REVISÃO]=LD_01[[#This Row],[REVISÃO]])))</f>
        <v>46043</v>
      </c>
      <c r="L13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M1365" s="6" t="str">
        <f>LD_01[[#This Row],[PASTA]]&amp;"/"&amp;LD_01[[#This Row],[ARQUIVO]]</f>
        <v>MSV-163MS-647-650/31.SI/MSV-163MS-647-650-ACA-EXE-DE-J1-005-R00.3.pdf</v>
      </c>
    </row>
    <row r="1366" spans="1:13" ht="28.8" hidden="1" x14ac:dyDescent="0.3">
      <c r="A1366" s="6" t="s">
        <v>5868</v>
      </c>
      <c r="B1366" s="6" t="str">
        <f>VLOOKUP(LD_01[[#This Row],[DOCUMENTO]],_xlfn.SORTBY(ARQUIVOS_RECEBIDOS!$E$2:$F$5010,ARQUIVOS_RECEBIDOS!$F$2:$F$5010,-1),2,)</f>
        <v>R00.3</v>
      </c>
      <c r="C1366" s="15" t="s">
        <v>5988</v>
      </c>
      <c r="D1366" s="6" t="s">
        <v>5914</v>
      </c>
      <c r="E1366" s="8" t="s">
        <v>5937</v>
      </c>
      <c r="F1366" s="8" t="s">
        <v>4331</v>
      </c>
      <c r="G1366" s="6" t="str">
        <f>_xlfn.XLOOKUP(LD_01[[#This Row],[DISCIPLINA]],'CLASSES DE PROJETOS'!$F$3:$F$37,'CLASSES DE PROJETOS'!$C$3:$C$37)</f>
        <v>SI</v>
      </c>
      <c r="H1366" s="6" t="str">
        <f>_xlfn.TEXTJOIN("/",TRUE,"MSV-163MS-"&amp;LD_01[[#This Row],[TRECHO]],_xlfn.XLOOKUP(LD_01[[#This Row],[SIGLA]],'CLASSES DE PROJETOS'!$C$3:$C$37,'CLASSES DE PROJETOS'!$E$3:$E$37))</f>
        <v>MSV-163MS-647-650/31.SI</v>
      </c>
      <c r="I1366" s="6" t="str" cm="1">
        <f t="array" ref="I1366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J1366" s="6" t="str" cm="1">
        <f t="array" ref="J1366">_xlfn.TEXTJOIN(", ",TRUE,_xlfn.UNIQUE(_xlfn._xlws.FILTER(ARQUIVOS_RECEBIDOS!$F$2:$F$5010,ARQUIVOS_RECEBIDOS!$E$2:$E$5010=LD_01[[#This Row],[DOCUMENTO]])))</f>
        <v>R00.3</v>
      </c>
      <c r="K1366" s="12" cm="1">
        <f t="array" ref="K1366">_xlfn.UNIQUE(_xlfn._xlws.FILTER(ARQUIVOS[DATA RECEBIMENTO],(ARQUIVOS[DOCUMENTO]=LD_01[[#This Row],[DOCUMENTO]])*(ARQUIVOS[REVISÃO]=LD_01[[#This Row],[REVISÃO]])))</f>
        <v>46043</v>
      </c>
      <c r="L13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M1366" s="6" t="str">
        <f>LD_01[[#This Row],[PASTA]]&amp;"/"&amp;LD_01[[#This Row],[ARQUIVO]]</f>
        <v>MSV-163MS-647-650/31.SI/MSV-163MS-647-650-ACA-EXE-DE-J1-006-R00.3.pdf</v>
      </c>
    </row>
    <row r="1367" spans="1:13" ht="28.8" hidden="1" x14ac:dyDescent="0.3">
      <c r="A1367" s="6" t="s">
        <v>5869</v>
      </c>
      <c r="B1367" s="6" t="str">
        <f>VLOOKUP(LD_01[[#This Row],[DOCUMENTO]],_xlfn.SORTBY(ARQUIVOS_RECEBIDOS!$E$2:$F$5010,ARQUIVOS_RECEBIDOS!$F$2:$F$5010,-1),2,)</f>
        <v>R00.2</v>
      </c>
      <c r="C1367" s="15" t="s">
        <v>5988</v>
      </c>
      <c r="D1367" s="6" t="s">
        <v>5914</v>
      </c>
      <c r="E1367" s="8" t="s">
        <v>5938</v>
      </c>
      <c r="F1367" s="8" t="s">
        <v>4331</v>
      </c>
      <c r="G1367" s="6" t="str">
        <f>_xlfn.XLOOKUP(LD_01[[#This Row],[DISCIPLINA]],'CLASSES DE PROJETOS'!$F$3:$F$37,'CLASSES DE PROJETOS'!$C$3:$C$37)</f>
        <v>SI</v>
      </c>
      <c r="H1367" s="6" t="str">
        <f>_xlfn.TEXTJOIN("/",TRUE,"MSV-163MS-"&amp;LD_01[[#This Row],[TRECHO]],_xlfn.XLOOKUP(LD_01[[#This Row],[SIGLA]],'CLASSES DE PROJETOS'!$C$3:$C$37,'CLASSES DE PROJETOS'!$E$3:$E$37))</f>
        <v>MSV-163MS-647-650/31.SI</v>
      </c>
      <c r="I1367" s="6" t="str" cm="1">
        <f t="array" ref="I1367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J1367" s="6" t="str" cm="1">
        <f t="array" ref="J1367">_xlfn.TEXTJOIN(", ",TRUE,_xlfn.UNIQUE(_xlfn._xlws.FILTER(ARQUIVOS_RECEBIDOS!$F$2:$F$5010,ARQUIVOS_RECEBIDOS!$E$2:$E$5010=LD_01[[#This Row],[DOCUMENTO]])))</f>
        <v>R00.2</v>
      </c>
      <c r="K1367" s="12" cm="1">
        <f t="array" ref="K1367">_xlfn.UNIQUE(_xlfn._xlws.FILTER(ARQUIVOS[DATA RECEBIMENTO],(ARQUIVOS[DOCUMENTO]=LD_01[[#This Row],[DOCUMENTO]])*(ARQUIVOS[REVISÃO]=LD_01[[#This Row],[REVISÃO]])))</f>
        <v>46043</v>
      </c>
      <c r="L13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M1367" s="6" t="str">
        <f>LD_01[[#This Row],[PASTA]]&amp;"/"&amp;LD_01[[#This Row],[ARQUIVO]]</f>
        <v>MSV-163MS-647-650/31.SI/MSV-163MS-647-650-ACA-EXE-DE-J1-007-R00.2.pdf</v>
      </c>
    </row>
    <row r="1368" spans="1:13" ht="28.8" hidden="1" x14ac:dyDescent="0.3">
      <c r="A1368" s="6" t="s">
        <v>5870</v>
      </c>
      <c r="B1368" s="6" t="str">
        <f>VLOOKUP(LD_01[[#This Row],[DOCUMENTO]],_xlfn.SORTBY(ARQUIVOS_RECEBIDOS!$E$2:$F$5010,ARQUIVOS_RECEBIDOS!$F$2:$F$5010,-1),2,)</f>
        <v>R00.2</v>
      </c>
      <c r="C1368" s="15" t="s">
        <v>5988</v>
      </c>
      <c r="D1368" s="6" t="s">
        <v>5914</v>
      </c>
      <c r="E1368" s="8" t="s">
        <v>5938</v>
      </c>
      <c r="F1368" s="8" t="s">
        <v>4331</v>
      </c>
      <c r="G1368" s="6" t="str">
        <f>_xlfn.XLOOKUP(LD_01[[#This Row],[DISCIPLINA]],'CLASSES DE PROJETOS'!$F$3:$F$37,'CLASSES DE PROJETOS'!$C$3:$C$37)</f>
        <v>SI</v>
      </c>
      <c r="H1368" s="6" t="str">
        <f>_xlfn.TEXTJOIN("/",TRUE,"MSV-163MS-"&amp;LD_01[[#This Row],[TRECHO]],_xlfn.XLOOKUP(LD_01[[#This Row],[SIGLA]],'CLASSES DE PROJETOS'!$C$3:$C$37,'CLASSES DE PROJETOS'!$E$3:$E$37))</f>
        <v>MSV-163MS-647-650/31.SI</v>
      </c>
      <c r="I1368" s="6" t="str" cm="1">
        <f t="array" ref="I1368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J1368" s="6" t="str" cm="1">
        <f t="array" ref="J1368">_xlfn.TEXTJOIN(", ",TRUE,_xlfn.UNIQUE(_xlfn._xlws.FILTER(ARQUIVOS_RECEBIDOS!$F$2:$F$5010,ARQUIVOS_RECEBIDOS!$E$2:$E$5010=LD_01[[#This Row],[DOCUMENTO]])))</f>
        <v>R00.2</v>
      </c>
      <c r="K1368" s="12" cm="1">
        <f t="array" ref="K1368">_xlfn.UNIQUE(_xlfn._xlws.FILTER(ARQUIVOS[DATA RECEBIMENTO],(ARQUIVOS[DOCUMENTO]=LD_01[[#This Row],[DOCUMENTO]])*(ARQUIVOS[REVISÃO]=LD_01[[#This Row],[REVISÃO]])))</f>
        <v>46043</v>
      </c>
      <c r="L13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M1368" s="6" t="str">
        <f>LD_01[[#This Row],[PASTA]]&amp;"/"&amp;LD_01[[#This Row],[ARQUIVO]]</f>
        <v>MSV-163MS-647-650/31.SI/MSV-163MS-647-650-ACA-EXE-DE-J1-008-R00.2.pdf</v>
      </c>
    </row>
    <row r="1369" spans="1:13" ht="28.8" hidden="1" x14ac:dyDescent="0.3">
      <c r="A1369" s="6" t="s">
        <v>5871</v>
      </c>
      <c r="B1369" s="6" t="str">
        <f>VLOOKUP(LD_01[[#This Row],[DOCUMENTO]],_xlfn.SORTBY(ARQUIVOS_RECEBIDOS!$E$2:$F$5010,ARQUIVOS_RECEBIDOS!$F$2:$F$5010,-1),2,)</f>
        <v>R00.2</v>
      </c>
      <c r="C1369" s="15" t="s">
        <v>5988</v>
      </c>
      <c r="D1369" s="6" t="s">
        <v>5914</v>
      </c>
      <c r="E1369" s="8" t="s">
        <v>5938</v>
      </c>
      <c r="F1369" s="8" t="s">
        <v>4331</v>
      </c>
      <c r="G1369" s="6" t="str">
        <f>_xlfn.XLOOKUP(LD_01[[#This Row],[DISCIPLINA]],'CLASSES DE PROJETOS'!$F$3:$F$37,'CLASSES DE PROJETOS'!$C$3:$C$37)</f>
        <v>SI</v>
      </c>
      <c r="H1369" s="6" t="str">
        <f>_xlfn.TEXTJOIN("/",TRUE,"MSV-163MS-"&amp;LD_01[[#This Row],[TRECHO]],_xlfn.XLOOKUP(LD_01[[#This Row],[SIGLA]],'CLASSES DE PROJETOS'!$C$3:$C$37,'CLASSES DE PROJETOS'!$E$3:$E$37))</f>
        <v>MSV-163MS-647-650/31.SI</v>
      </c>
      <c r="I1369" s="6" t="str" cm="1">
        <f t="array" ref="I1369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J1369" s="6" t="str" cm="1">
        <f t="array" ref="J1369">_xlfn.TEXTJOIN(", ",TRUE,_xlfn.UNIQUE(_xlfn._xlws.FILTER(ARQUIVOS_RECEBIDOS!$F$2:$F$5010,ARQUIVOS_RECEBIDOS!$E$2:$E$5010=LD_01[[#This Row],[DOCUMENTO]])))</f>
        <v>R00.2</v>
      </c>
      <c r="K1369" s="12" cm="1">
        <f t="array" ref="K1369">_xlfn.UNIQUE(_xlfn._xlws.FILTER(ARQUIVOS[DATA RECEBIMENTO],(ARQUIVOS[DOCUMENTO]=LD_01[[#This Row],[DOCUMENTO]])*(ARQUIVOS[REVISÃO]=LD_01[[#This Row],[REVISÃO]])))</f>
        <v>46043</v>
      </c>
      <c r="L13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M1369" s="6" t="str">
        <f>LD_01[[#This Row],[PASTA]]&amp;"/"&amp;LD_01[[#This Row],[ARQUIVO]]</f>
        <v>MSV-163MS-647-650/31.SI/MSV-163MS-647-650-ACA-EXE-DE-J1-009-R00.2.pdf</v>
      </c>
    </row>
    <row r="1370" spans="1:13" ht="28.8" hidden="1" x14ac:dyDescent="0.3">
      <c r="A1370" s="6" t="s">
        <v>5872</v>
      </c>
      <c r="B1370" s="6" t="str">
        <f>VLOOKUP(LD_01[[#This Row],[DOCUMENTO]],_xlfn.SORTBY(ARQUIVOS_RECEBIDOS!$E$2:$F$5010,ARQUIVOS_RECEBIDOS!$F$2:$F$5010,-1),2,)</f>
        <v>R00.3</v>
      </c>
      <c r="C1370" s="15" t="s">
        <v>5988</v>
      </c>
      <c r="D1370" s="6" t="s">
        <v>5914</v>
      </c>
      <c r="E1370" s="8" t="s">
        <v>5938</v>
      </c>
      <c r="F1370" s="8" t="s">
        <v>4331</v>
      </c>
      <c r="G1370" s="6" t="str">
        <f>_xlfn.XLOOKUP(LD_01[[#This Row],[DISCIPLINA]],'CLASSES DE PROJETOS'!$F$3:$F$37,'CLASSES DE PROJETOS'!$C$3:$C$37)</f>
        <v>SI</v>
      </c>
      <c r="H1370" s="6" t="str">
        <f>_xlfn.TEXTJOIN("/",TRUE,"MSV-163MS-"&amp;LD_01[[#This Row],[TRECHO]],_xlfn.XLOOKUP(LD_01[[#This Row],[SIGLA]],'CLASSES DE PROJETOS'!$C$3:$C$37,'CLASSES DE PROJETOS'!$E$3:$E$37))</f>
        <v>MSV-163MS-647-650/31.SI</v>
      </c>
      <c r="I1370" s="6" t="str" cm="1">
        <f t="array" ref="I1370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J1370" s="6" t="str" cm="1">
        <f t="array" ref="J1370">_xlfn.TEXTJOIN(", ",TRUE,_xlfn.UNIQUE(_xlfn._xlws.FILTER(ARQUIVOS_RECEBIDOS!$F$2:$F$5010,ARQUIVOS_RECEBIDOS!$E$2:$E$5010=LD_01[[#This Row],[DOCUMENTO]])))</f>
        <v>R00.3</v>
      </c>
      <c r="K1370" s="12" cm="1">
        <f t="array" ref="K1370">_xlfn.UNIQUE(_xlfn._xlws.FILTER(ARQUIVOS[DATA RECEBIMENTO],(ARQUIVOS[DOCUMENTO]=LD_01[[#This Row],[DOCUMENTO]])*(ARQUIVOS[REVISÃO]=LD_01[[#This Row],[REVISÃO]])))</f>
        <v>46043</v>
      </c>
      <c r="L13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M1370" s="6" t="str">
        <f>LD_01[[#This Row],[PASTA]]&amp;"/"&amp;LD_01[[#This Row],[ARQUIVO]]</f>
        <v>MSV-163MS-647-650/31.SI/MSV-163MS-647-650-ACA-EXE-DE-J1-010-R00.3.pdf</v>
      </c>
    </row>
    <row r="1371" spans="1:13" ht="28.8" hidden="1" x14ac:dyDescent="0.3">
      <c r="A1371" s="6" t="s">
        <v>5873</v>
      </c>
      <c r="B1371" s="6" t="str">
        <f>VLOOKUP(LD_01[[#This Row],[DOCUMENTO]],_xlfn.SORTBY(ARQUIVOS_RECEBIDOS!$E$2:$F$5010,ARQUIVOS_RECEBIDOS!$F$2:$F$5010,-1),2,)</f>
        <v>R00.2</v>
      </c>
      <c r="C1371" s="15" t="s">
        <v>5988</v>
      </c>
      <c r="D1371" s="6" t="s">
        <v>5914</v>
      </c>
      <c r="E1371" s="8" t="s">
        <v>5938</v>
      </c>
      <c r="F1371" s="8" t="s">
        <v>4331</v>
      </c>
      <c r="G1371" s="6" t="str">
        <f>_xlfn.XLOOKUP(LD_01[[#This Row],[DISCIPLINA]],'CLASSES DE PROJETOS'!$F$3:$F$37,'CLASSES DE PROJETOS'!$C$3:$C$37)</f>
        <v>SI</v>
      </c>
      <c r="H1371" s="6" t="str">
        <f>_xlfn.TEXTJOIN("/",TRUE,"MSV-163MS-"&amp;LD_01[[#This Row],[TRECHO]],_xlfn.XLOOKUP(LD_01[[#This Row],[SIGLA]],'CLASSES DE PROJETOS'!$C$3:$C$37,'CLASSES DE PROJETOS'!$E$3:$E$37))</f>
        <v>MSV-163MS-647-650/31.SI</v>
      </c>
      <c r="I1371" s="6" t="str" cm="1">
        <f t="array" ref="I1371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J1371" s="6" t="str" cm="1">
        <f t="array" ref="J1371">_xlfn.TEXTJOIN(", ",TRUE,_xlfn.UNIQUE(_xlfn._xlws.FILTER(ARQUIVOS_RECEBIDOS!$F$2:$F$5010,ARQUIVOS_RECEBIDOS!$E$2:$E$5010=LD_01[[#This Row],[DOCUMENTO]])))</f>
        <v>R00.2</v>
      </c>
      <c r="K1371" s="12" cm="1">
        <f t="array" ref="K1371">_xlfn.UNIQUE(_xlfn._xlws.FILTER(ARQUIVOS[DATA RECEBIMENTO],(ARQUIVOS[DOCUMENTO]=LD_01[[#This Row],[DOCUMENTO]])*(ARQUIVOS[REVISÃO]=LD_01[[#This Row],[REVISÃO]])))</f>
        <v>46043</v>
      </c>
      <c r="L13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M1371" s="6" t="str">
        <f>LD_01[[#This Row],[PASTA]]&amp;"/"&amp;LD_01[[#This Row],[ARQUIVO]]</f>
        <v>MSV-163MS-647-650/31.SI/MSV-163MS-647-650-ACA-EXE-DE-J1-011-R00.2.pdf</v>
      </c>
    </row>
    <row r="1372" spans="1:13" ht="43.2" hidden="1" x14ac:dyDescent="0.3">
      <c r="A1372" s="6" t="s">
        <v>5874</v>
      </c>
      <c r="B1372" s="6" t="str">
        <f>VLOOKUP(LD_01[[#This Row],[DOCUMENTO]],_xlfn.SORTBY(ARQUIVOS_RECEBIDOS!$E$2:$F$5010,ARQUIVOS_RECEBIDOS!$F$2:$F$5010,-1),2,)</f>
        <v>R00.3</v>
      </c>
      <c r="C1372" s="15" t="s">
        <v>5988</v>
      </c>
      <c r="D1372" s="6" t="s">
        <v>5914</v>
      </c>
      <c r="E1372" s="8" t="s">
        <v>5939</v>
      </c>
      <c r="F1372" s="8" t="s">
        <v>4331</v>
      </c>
      <c r="G1372" s="6" t="str">
        <f>_xlfn.XLOOKUP(LD_01[[#This Row],[DISCIPLINA]],'CLASSES DE PROJETOS'!$F$3:$F$37,'CLASSES DE PROJETOS'!$C$3:$C$37)</f>
        <v>SI</v>
      </c>
      <c r="H1372" s="6" t="str">
        <f>_xlfn.TEXTJOIN("/",TRUE,"MSV-163MS-"&amp;LD_01[[#This Row],[TRECHO]],_xlfn.XLOOKUP(LD_01[[#This Row],[SIGLA]],'CLASSES DE PROJETOS'!$C$3:$C$37,'CLASSES DE PROJETOS'!$E$3:$E$37))</f>
        <v>MSV-163MS-647-650/31.SI</v>
      </c>
      <c r="I1372" s="6" t="str" cm="1">
        <f t="array" ref="I1372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J1372" s="6" t="str" cm="1">
        <f t="array" ref="J1372">_xlfn.TEXTJOIN(", ",TRUE,_xlfn.UNIQUE(_xlfn._xlws.FILTER(ARQUIVOS_RECEBIDOS!$F$2:$F$5010,ARQUIVOS_RECEBIDOS!$E$2:$E$5010=LD_01[[#This Row],[DOCUMENTO]])))</f>
        <v>R00.3</v>
      </c>
      <c r="K1372" s="12" cm="1">
        <f t="array" ref="K1372">_xlfn.UNIQUE(_xlfn._xlws.FILTER(ARQUIVOS[DATA RECEBIMENTO],(ARQUIVOS[DOCUMENTO]=LD_01[[#This Row],[DOCUMENTO]])*(ARQUIVOS[REVISÃO]=LD_01[[#This Row],[REVISÃO]])))</f>
        <v>46043</v>
      </c>
      <c r="L13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M1372" s="6" t="str">
        <f>LD_01[[#This Row],[PASTA]]&amp;"/"&amp;LD_01[[#This Row],[ARQUIVO]]</f>
        <v>MSV-163MS-647-650/31.SI/MSV-163MS-647-650-ACA-EXE-DE-J1-012-R00.3.pdf</v>
      </c>
    </row>
    <row r="1373" spans="1:13" ht="28.8" hidden="1" x14ac:dyDescent="0.3">
      <c r="A1373" s="6" t="s">
        <v>5875</v>
      </c>
      <c r="B1373" s="6" t="str">
        <f>VLOOKUP(LD_01[[#This Row],[DOCUMENTO]],_xlfn.SORTBY(ARQUIVOS_RECEBIDOS!$E$2:$F$5010,ARQUIVOS_RECEBIDOS!$F$2:$F$5010,-1),2,)</f>
        <v>R00.3</v>
      </c>
      <c r="C1373" s="15" t="s">
        <v>5988</v>
      </c>
      <c r="D1373" s="6" t="s">
        <v>5914</v>
      </c>
      <c r="E1373" s="8" t="s">
        <v>5938</v>
      </c>
      <c r="F1373" s="8" t="s">
        <v>4331</v>
      </c>
      <c r="G1373" s="6" t="str">
        <f>_xlfn.XLOOKUP(LD_01[[#This Row],[DISCIPLINA]],'CLASSES DE PROJETOS'!$F$3:$F$37,'CLASSES DE PROJETOS'!$C$3:$C$37)</f>
        <v>SI</v>
      </c>
      <c r="H1373" s="6" t="str">
        <f>_xlfn.TEXTJOIN("/",TRUE,"MSV-163MS-"&amp;LD_01[[#This Row],[TRECHO]],_xlfn.XLOOKUP(LD_01[[#This Row],[SIGLA]],'CLASSES DE PROJETOS'!$C$3:$C$37,'CLASSES DE PROJETOS'!$E$3:$E$37))</f>
        <v>MSV-163MS-647-650/31.SI</v>
      </c>
      <c r="I1373" s="6" t="str" cm="1">
        <f t="array" ref="I1373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J1373" s="6" t="str" cm="1">
        <f t="array" ref="J1373">_xlfn.TEXTJOIN(", ",TRUE,_xlfn.UNIQUE(_xlfn._xlws.FILTER(ARQUIVOS_RECEBIDOS!$F$2:$F$5010,ARQUIVOS_RECEBIDOS!$E$2:$E$5010=LD_01[[#This Row],[DOCUMENTO]])))</f>
        <v>R00.3</v>
      </c>
      <c r="K1373" s="12" cm="1">
        <f t="array" ref="K1373">_xlfn.UNIQUE(_xlfn._xlws.FILTER(ARQUIVOS[DATA RECEBIMENTO],(ARQUIVOS[DOCUMENTO]=LD_01[[#This Row],[DOCUMENTO]])*(ARQUIVOS[REVISÃO]=LD_01[[#This Row],[REVISÃO]])))</f>
        <v>46043</v>
      </c>
      <c r="L13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M1373" s="6" t="str">
        <f>LD_01[[#This Row],[PASTA]]&amp;"/"&amp;LD_01[[#This Row],[ARQUIVO]]</f>
        <v>MSV-163MS-647-650/31.SI/MSV-163MS-647-650-ACA-EXE-DE-J1-013-R00.3.pdf</v>
      </c>
    </row>
    <row r="1374" spans="1:13" ht="43.2" hidden="1" x14ac:dyDescent="0.3">
      <c r="A1374" s="6" t="s">
        <v>5781</v>
      </c>
      <c r="B1374" s="6" t="str">
        <f>VLOOKUP(LD_01[[#This Row],[DOCUMENTO]],_xlfn.SORTBY(ARQUIVOS_RECEBIDOS!$E$2:$F$5010,ARQUIVOS_RECEBIDOS!$F$2:$F$5010,-1),2,)</f>
        <v>R00.3</v>
      </c>
      <c r="C1374" s="15" t="s">
        <v>5988</v>
      </c>
      <c r="D1374" s="6" t="s">
        <v>5914</v>
      </c>
      <c r="E1374" s="8" t="s">
        <v>5940</v>
      </c>
      <c r="F1374" s="8" t="s">
        <v>5989</v>
      </c>
      <c r="G1374" s="6" t="str">
        <f>_xlfn.XLOOKUP(LD_01[[#This Row],[DISCIPLINA]],'CLASSES DE PROJETOS'!$F$3:$F$37,'CLASSES DE PROJETOS'!$C$3:$C$37)</f>
        <v>ES</v>
      </c>
      <c r="H1374" s="6" t="str">
        <f>_xlfn.TEXTJOIN("/",TRUE,"MSV-163MS-"&amp;LD_01[[#This Row],[TRECHO]],_xlfn.XLOOKUP(LD_01[[#This Row],[SIGLA]],'CLASSES DE PROJETOS'!$C$3:$C$37,'CLASSES DE PROJETOS'!$E$3:$E$37))</f>
        <v>MSV-163MS-647-650/16.ES</v>
      </c>
      <c r="I1374" s="6" t="str" cm="1">
        <f t="array" ref="I1374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J1374" s="6" t="str" cm="1">
        <f t="array" ref="J1374">_xlfn.TEXTJOIN(", ",TRUE,_xlfn.UNIQUE(_xlfn._xlws.FILTER(ARQUIVOS_RECEBIDOS!$F$2:$F$5010,ARQUIVOS_RECEBIDOS!$E$2:$E$5010=LD_01[[#This Row],[DOCUMENTO]])))</f>
        <v>R00.3</v>
      </c>
      <c r="K1374" s="12" cm="1">
        <f t="array" ref="K1374">_xlfn.UNIQUE(_xlfn._xlws.FILTER(ARQUIVOS[DATA RECEBIMENTO],(ARQUIVOS[DOCUMENTO]=LD_01[[#This Row],[DOCUMENTO]])*(ARQUIVOS[REVISÃO]=LD_01[[#This Row],[REVISÃO]])))</f>
        <v>46043</v>
      </c>
      <c r="L13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M1374" s="6" t="str">
        <f>LD_01[[#This Row],[PASTA]]&amp;"/"&amp;LD_01[[#This Row],[ARQUIVO]]</f>
        <v>MSV-163MS-647-650/16.ES/MSV-163MS-647-650-ACA-EXE-DE-L2-001-R00.3.pdf</v>
      </c>
    </row>
    <row r="1375" spans="1:13" ht="72" hidden="1" x14ac:dyDescent="0.3">
      <c r="A1375" s="6" t="s">
        <v>5782</v>
      </c>
      <c r="B1375" s="6" t="str">
        <f>VLOOKUP(LD_01[[#This Row],[DOCUMENTO]],_xlfn.SORTBY(ARQUIVOS_RECEBIDOS!$E$2:$F$5010,ARQUIVOS_RECEBIDOS!$F$2:$F$5010,-1),2,)</f>
        <v>R00.3</v>
      </c>
      <c r="C1375" s="15" t="s">
        <v>5988</v>
      </c>
      <c r="D1375" s="6" t="s">
        <v>5914</v>
      </c>
      <c r="E1375" s="8" t="s">
        <v>5941</v>
      </c>
      <c r="F1375" s="8" t="s">
        <v>5989</v>
      </c>
      <c r="G1375" s="6" t="str">
        <f>_xlfn.XLOOKUP(LD_01[[#This Row],[DISCIPLINA]],'CLASSES DE PROJETOS'!$F$3:$F$37,'CLASSES DE PROJETOS'!$C$3:$C$37)</f>
        <v>ES</v>
      </c>
      <c r="H1375" s="6" t="str">
        <f>_xlfn.TEXTJOIN("/",TRUE,"MSV-163MS-"&amp;LD_01[[#This Row],[TRECHO]],_xlfn.XLOOKUP(LD_01[[#This Row],[SIGLA]],'CLASSES DE PROJETOS'!$C$3:$C$37,'CLASSES DE PROJETOS'!$E$3:$E$37))</f>
        <v>MSV-163MS-647-650/16.ES</v>
      </c>
      <c r="I1375" s="6" t="str" cm="1">
        <f t="array" ref="I1375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J1375" s="6" t="str" cm="1">
        <f t="array" ref="J1375">_xlfn.TEXTJOIN(", ",TRUE,_xlfn.UNIQUE(_xlfn._xlws.FILTER(ARQUIVOS_RECEBIDOS!$F$2:$F$5010,ARQUIVOS_RECEBIDOS!$E$2:$E$5010=LD_01[[#This Row],[DOCUMENTO]])))</f>
        <v>R00.3</v>
      </c>
      <c r="K1375" s="12" cm="1">
        <f t="array" ref="K1375">_xlfn.UNIQUE(_xlfn._xlws.FILTER(ARQUIVOS[DATA RECEBIMENTO],(ARQUIVOS[DOCUMENTO]=LD_01[[#This Row],[DOCUMENTO]])*(ARQUIVOS[REVISÃO]=LD_01[[#This Row],[REVISÃO]])))</f>
        <v>46043</v>
      </c>
      <c r="L13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M1375" s="6" t="str">
        <f>LD_01[[#This Row],[PASTA]]&amp;"/"&amp;LD_01[[#This Row],[ARQUIVO]]</f>
        <v>MSV-163MS-647-650/16.ES/MSV-163MS-647-650-ACA-EXE-DE-L2-002-R00.3.pdf</v>
      </c>
    </row>
    <row r="1376" spans="1:13" ht="57.6" hidden="1" x14ac:dyDescent="0.3">
      <c r="A1376" s="6" t="s">
        <v>5783</v>
      </c>
      <c r="B1376" s="6" t="str">
        <f>VLOOKUP(LD_01[[#This Row],[DOCUMENTO]],_xlfn.SORTBY(ARQUIVOS_RECEBIDOS!$E$2:$F$5010,ARQUIVOS_RECEBIDOS!$F$2:$F$5010,-1),2,)</f>
        <v>R00.5</v>
      </c>
      <c r="C1376" s="15" t="s">
        <v>5988</v>
      </c>
      <c r="D1376" s="6" t="s">
        <v>5914</v>
      </c>
      <c r="E1376" s="8" t="s">
        <v>5942</v>
      </c>
      <c r="F1376" s="8" t="s">
        <v>5989</v>
      </c>
      <c r="G1376" s="6" t="str">
        <f>_xlfn.XLOOKUP(LD_01[[#This Row],[DISCIPLINA]],'CLASSES DE PROJETOS'!$F$3:$F$37,'CLASSES DE PROJETOS'!$C$3:$C$37)</f>
        <v>ES</v>
      </c>
      <c r="H1376" s="6" t="str">
        <f>_xlfn.TEXTJOIN("/",TRUE,"MSV-163MS-"&amp;LD_01[[#This Row],[TRECHO]],_xlfn.XLOOKUP(LD_01[[#This Row],[SIGLA]],'CLASSES DE PROJETOS'!$C$3:$C$37,'CLASSES DE PROJETOS'!$E$3:$E$37))</f>
        <v>MSV-163MS-647-650/16.ES</v>
      </c>
      <c r="I1376" s="6" t="str" cm="1">
        <f t="array" ref="I1376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J1376" s="6" t="str" cm="1">
        <f t="array" ref="J1376">_xlfn.TEXTJOIN(", ",TRUE,_xlfn.UNIQUE(_xlfn._xlws.FILTER(ARQUIVOS_RECEBIDOS!$F$2:$F$5010,ARQUIVOS_RECEBIDOS!$E$2:$E$5010=LD_01[[#This Row],[DOCUMENTO]])))</f>
        <v>R00.5</v>
      </c>
      <c r="K1376" s="12" cm="1">
        <f t="array" ref="K1376">_xlfn.UNIQUE(_xlfn._xlws.FILTER(ARQUIVOS[DATA RECEBIMENTO],(ARQUIVOS[DOCUMENTO]=LD_01[[#This Row],[DOCUMENTO]])*(ARQUIVOS[REVISÃO]=LD_01[[#This Row],[REVISÃO]])))</f>
        <v>46043</v>
      </c>
      <c r="L13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M1376" s="6" t="str">
        <f>LD_01[[#This Row],[PASTA]]&amp;"/"&amp;LD_01[[#This Row],[ARQUIVO]]</f>
        <v>MSV-163MS-647-650/16.ES/MSV-163MS-647-650-ACA-EXE-DE-L2-003-R00.5.pdf</v>
      </c>
    </row>
    <row r="1377" spans="1:13" ht="57.6" hidden="1" x14ac:dyDescent="0.3">
      <c r="A1377" s="6" t="s">
        <v>5784</v>
      </c>
      <c r="B1377" s="6" t="str">
        <f>VLOOKUP(LD_01[[#This Row],[DOCUMENTO]],_xlfn.SORTBY(ARQUIVOS_RECEBIDOS!$E$2:$F$5010,ARQUIVOS_RECEBIDOS!$F$2:$F$5010,-1),2,)</f>
        <v>R00.3</v>
      </c>
      <c r="C1377" s="15" t="s">
        <v>5988</v>
      </c>
      <c r="D1377" s="6" t="s">
        <v>5914</v>
      </c>
      <c r="E1377" s="8" t="s">
        <v>5943</v>
      </c>
      <c r="F1377" s="8" t="s">
        <v>5989</v>
      </c>
      <c r="G1377" s="6" t="str">
        <f>_xlfn.XLOOKUP(LD_01[[#This Row],[DISCIPLINA]],'CLASSES DE PROJETOS'!$F$3:$F$37,'CLASSES DE PROJETOS'!$C$3:$C$37)</f>
        <v>ES</v>
      </c>
      <c r="H1377" s="6" t="str">
        <f>_xlfn.TEXTJOIN("/",TRUE,"MSV-163MS-"&amp;LD_01[[#This Row],[TRECHO]],_xlfn.XLOOKUP(LD_01[[#This Row],[SIGLA]],'CLASSES DE PROJETOS'!$C$3:$C$37,'CLASSES DE PROJETOS'!$E$3:$E$37))</f>
        <v>MSV-163MS-647-650/16.ES</v>
      </c>
      <c r="I1377" s="6" t="str" cm="1">
        <f t="array" ref="I1377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J1377" s="6" t="str" cm="1">
        <f t="array" ref="J1377">_xlfn.TEXTJOIN(", ",TRUE,_xlfn.UNIQUE(_xlfn._xlws.FILTER(ARQUIVOS_RECEBIDOS!$F$2:$F$5010,ARQUIVOS_RECEBIDOS!$E$2:$E$5010=LD_01[[#This Row],[DOCUMENTO]])))</f>
        <v>R00.3</v>
      </c>
      <c r="K1377" s="12" cm="1">
        <f t="array" ref="K1377">_xlfn.UNIQUE(_xlfn._xlws.FILTER(ARQUIVOS[DATA RECEBIMENTO],(ARQUIVOS[DOCUMENTO]=LD_01[[#This Row],[DOCUMENTO]])*(ARQUIVOS[REVISÃO]=LD_01[[#This Row],[REVISÃO]])))</f>
        <v>46043</v>
      </c>
      <c r="L13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M1377" s="6" t="str">
        <f>LD_01[[#This Row],[PASTA]]&amp;"/"&amp;LD_01[[#This Row],[ARQUIVO]]</f>
        <v>MSV-163MS-647-650/16.ES/MSV-163MS-647-650-ACA-EXE-DE-L2-004-R00.3.pdf</v>
      </c>
    </row>
    <row r="1378" spans="1:13" ht="57.6" hidden="1" x14ac:dyDescent="0.3">
      <c r="A1378" s="6" t="s">
        <v>5785</v>
      </c>
      <c r="B1378" s="6" t="str">
        <f>VLOOKUP(LD_01[[#This Row],[DOCUMENTO]],_xlfn.SORTBY(ARQUIVOS_RECEBIDOS!$E$2:$F$5010,ARQUIVOS_RECEBIDOS!$F$2:$F$5010,-1),2,)</f>
        <v>R00.3</v>
      </c>
      <c r="C1378" s="15" t="s">
        <v>5988</v>
      </c>
      <c r="D1378" s="6" t="s">
        <v>5914</v>
      </c>
      <c r="E1378" s="8" t="s">
        <v>5944</v>
      </c>
      <c r="F1378" s="8" t="s">
        <v>5989</v>
      </c>
      <c r="G1378" s="6" t="str">
        <f>_xlfn.XLOOKUP(LD_01[[#This Row],[DISCIPLINA]],'CLASSES DE PROJETOS'!$F$3:$F$37,'CLASSES DE PROJETOS'!$C$3:$C$37)</f>
        <v>ES</v>
      </c>
      <c r="H1378" s="6" t="str">
        <f>_xlfn.TEXTJOIN("/",TRUE,"MSV-163MS-"&amp;LD_01[[#This Row],[TRECHO]],_xlfn.XLOOKUP(LD_01[[#This Row],[SIGLA]],'CLASSES DE PROJETOS'!$C$3:$C$37,'CLASSES DE PROJETOS'!$E$3:$E$37))</f>
        <v>MSV-163MS-647-650/16.ES</v>
      </c>
      <c r="I1378" s="6" t="str" cm="1">
        <f t="array" ref="I1378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J1378" s="6" t="str" cm="1">
        <f t="array" ref="J1378">_xlfn.TEXTJOIN(", ",TRUE,_xlfn.UNIQUE(_xlfn._xlws.FILTER(ARQUIVOS_RECEBIDOS!$F$2:$F$5010,ARQUIVOS_RECEBIDOS!$E$2:$E$5010=LD_01[[#This Row],[DOCUMENTO]])))</f>
        <v>R00.3</v>
      </c>
      <c r="K1378" s="12" cm="1">
        <f t="array" ref="K1378">_xlfn.UNIQUE(_xlfn._xlws.FILTER(ARQUIVOS[DATA RECEBIMENTO],(ARQUIVOS[DOCUMENTO]=LD_01[[#This Row],[DOCUMENTO]])*(ARQUIVOS[REVISÃO]=LD_01[[#This Row],[REVISÃO]])))</f>
        <v>46043</v>
      </c>
      <c r="L13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M1378" s="6" t="str">
        <f>LD_01[[#This Row],[PASTA]]&amp;"/"&amp;LD_01[[#This Row],[ARQUIVO]]</f>
        <v>MSV-163MS-647-650/16.ES/MSV-163MS-647-650-ACA-EXE-DE-L2-005-R00.3.pdf</v>
      </c>
    </row>
    <row r="1379" spans="1:13" ht="57.6" hidden="1" x14ac:dyDescent="0.3">
      <c r="A1379" s="6" t="s">
        <v>5786</v>
      </c>
      <c r="B1379" s="6" t="str">
        <f>VLOOKUP(LD_01[[#This Row],[DOCUMENTO]],_xlfn.SORTBY(ARQUIVOS_RECEBIDOS!$E$2:$F$5010,ARQUIVOS_RECEBIDOS!$F$2:$F$5010,-1),2,)</f>
        <v>R00.3</v>
      </c>
      <c r="C1379" s="15" t="s">
        <v>5988</v>
      </c>
      <c r="D1379" s="6" t="s">
        <v>5914</v>
      </c>
      <c r="E1379" s="8" t="s">
        <v>5945</v>
      </c>
      <c r="F1379" s="8" t="s">
        <v>5989</v>
      </c>
      <c r="G1379" s="6" t="str">
        <f>_xlfn.XLOOKUP(LD_01[[#This Row],[DISCIPLINA]],'CLASSES DE PROJETOS'!$F$3:$F$37,'CLASSES DE PROJETOS'!$C$3:$C$37)</f>
        <v>ES</v>
      </c>
      <c r="H1379" s="6" t="str">
        <f>_xlfn.TEXTJOIN("/",TRUE,"MSV-163MS-"&amp;LD_01[[#This Row],[TRECHO]],_xlfn.XLOOKUP(LD_01[[#This Row],[SIGLA]],'CLASSES DE PROJETOS'!$C$3:$C$37,'CLASSES DE PROJETOS'!$E$3:$E$37))</f>
        <v>MSV-163MS-647-650/16.ES</v>
      </c>
      <c r="I1379" s="6" t="str" cm="1">
        <f t="array" ref="I1379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J1379" s="6" t="str" cm="1">
        <f t="array" ref="J1379">_xlfn.TEXTJOIN(", ",TRUE,_xlfn.UNIQUE(_xlfn._xlws.FILTER(ARQUIVOS_RECEBIDOS!$F$2:$F$5010,ARQUIVOS_RECEBIDOS!$E$2:$E$5010=LD_01[[#This Row],[DOCUMENTO]])))</f>
        <v>R00.3</v>
      </c>
      <c r="K1379" s="12" cm="1">
        <f t="array" ref="K1379">_xlfn.UNIQUE(_xlfn._xlws.FILTER(ARQUIVOS[DATA RECEBIMENTO],(ARQUIVOS[DOCUMENTO]=LD_01[[#This Row],[DOCUMENTO]])*(ARQUIVOS[REVISÃO]=LD_01[[#This Row],[REVISÃO]])))</f>
        <v>46043</v>
      </c>
      <c r="L13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M1379" s="6" t="str">
        <f>LD_01[[#This Row],[PASTA]]&amp;"/"&amp;LD_01[[#This Row],[ARQUIVO]]</f>
        <v>MSV-163MS-647-650/16.ES/MSV-163MS-647-650-ACA-EXE-DE-L2-006-R00.3.pdf</v>
      </c>
    </row>
    <row r="1380" spans="1:13" ht="57.6" hidden="1" x14ac:dyDescent="0.3">
      <c r="A1380" s="6" t="s">
        <v>5787</v>
      </c>
      <c r="B1380" s="6" t="str">
        <f>VLOOKUP(LD_01[[#This Row],[DOCUMENTO]],_xlfn.SORTBY(ARQUIVOS_RECEBIDOS!$E$2:$F$5010,ARQUIVOS_RECEBIDOS!$F$2:$F$5010,-1),2,)</f>
        <v>R00.3</v>
      </c>
      <c r="C1380" s="15" t="s">
        <v>5988</v>
      </c>
      <c r="D1380" s="6" t="s">
        <v>5914</v>
      </c>
      <c r="E1380" s="8" t="s">
        <v>5946</v>
      </c>
      <c r="F1380" s="8" t="s">
        <v>5989</v>
      </c>
      <c r="G1380" s="6" t="str">
        <f>_xlfn.XLOOKUP(LD_01[[#This Row],[DISCIPLINA]],'CLASSES DE PROJETOS'!$F$3:$F$37,'CLASSES DE PROJETOS'!$C$3:$C$37)</f>
        <v>ES</v>
      </c>
      <c r="H1380" s="6" t="str">
        <f>_xlfn.TEXTJOIN("/",TRUE,"MSV-163MS-"&amp;LD_01[[#This Row],[TRECHO]],_xlfn.XLOOKUP(LD_01[[#This Row],[SIGLA]],'CLASSES DE PROJETOS'!$C$3:$C$37,'CLASSES DE PROJETOS'!$E$3:$E$37))</f>
        <v>MSV-163MS-647-650/16.ES</v>
      </c>
      <c r="I1380" s="6" t="str" cm="1">
        <f t="array" ref="I1380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J1380" s="6" t="str" cm="1">
        <f t="array" ref="J1380">_xlfn.TEXTJOIN(", ",TRUE,_xlfn.UNIQUE(_xlfn._xlws.FILTER(ARQUIVOS_RECEBIDOS!$F$2:$F$5010,ARQUIVOS_RECEBIDOS!$E$2:$E$5010=LD_01[[#This Row],[DOCUMENTO]])))</f>
        <v>R00.3</v>
      </c>
      <c r="K1380" s="12" cm="1">
        <f t="array" ref="K1380">_xlfn.UNIQUE(_xlfn._xlws.FILTER(ARQUIVOS[DATA RECEBIMENTO],(ARQUIVOS[DOCUMENTO]=LD_01[[#This Row],[DOCUMENTO]])*(ARQUIVOS[REVISÃO]=LD_01[[#This Row],[REVISÃO]])))</f>
        <v>46043</v>
      </c>
      <c r="L13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M1380" s="6" t="str">
        <f>LD_01[[#This Row],[PASTA]]&amp;"/"&amp;LD_01[[#This Row],[ARQUIVO]]</f>
        <v>MSV-163MS-647-650/16.ES/MSV-163MS-647-650-ACA-EXE-DE-L2-007-R00.3.pdf</v>
      </c>
    </row>
    <row r="1381" spans="1:13" ht="57.6" hidden="1" x14ac:dyDescent="0.3">
      <c r="A1381" s="6" t="s">
        <v>5788</v>
      </c>
      <c r="B1381" s="6" t="str">
        <f>VLOOKUP(LD_01[[#This Row],[DOCUMENTO]],_xlfn.SORTBY(ARQUIVOS_RECEBIDOS!$E$2:$F$5010,ARQUIVOS_RECEBIDOS!$F$2:$F$5010,-1),2,)</f>
        <v>R00.1</v>
      </c>
      <c r="C1381" s="15" t="s">
        <v>5988</v>
      </c>
      <c r="D1381" s="6" t="s">
        <v>5914</v>
      </c>
      <c r="E1381" s="8" t="s">
        <v>5947</v>
      </c>
      <c r="F1381" s="8" t="s">
        <v>5989</v>
      </c>
      <c r="G1381" s="6" t="str">
        <f>_xlfn.XLOOKUP(LD_01[[#This Row],[DISCIPLINA]],'CLASSES DE PROJETOS'!$F$3:$F$37,'CLASSES DE PROJETOS'!$C$3:$C$37)</f>
        <v>ES</v>
      </c>
      <c r="H1381" s="6" t="str">
        <f>_xlfn.TEXTJOIN("/",TRUE,"MSV-163MS-"&amp;LD_01[[#This Row],[TRECHO]],_xlfn.XLOOKUP(LD_01[[#This Row],[SIGLA]],'CLASSES DE PROJETOS'!$C$3:$C$37,'CLASSES DE PROJETOS'!$E$3:$E$37))</f>
        <v>MSV-163MS-647-650/16.ES</v>
      </c>
      <c r="I1381" s="6" t="str" cm="1">
        <f t="array" ref="I1381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J1381" s="6" t="str" cm="1">
        <f t="array" ref="J1381">_xlfn.TEXTJOIN(", ",TRUE,_xlfn.UNIQUE(_xlfn._xlws.FILTER(ARQUIVOS_RECEBIDOS!$F$2:$F$5010,ARQUIVOS_RECEBIDOS!$E$2:$E$5010=LD_01[[#This Row],[DOCUMENTO]])))</f>
        <v>R00.1</v>
      </c>
      <c r="K1381" s="12" cm="1">
        <f t="array" ref="K1381">_xlfn.UNIQUE(_xlfn._xlws.FILTER(ARQUIVOS[DATA RECEBIMENTO],(ARQUIVOS[DOCUMENTO]=LD_01[[#This Row],[DOCUMENTO]])*(ARQUIVOS[REVISÃO]=LD_01[[#This Row],[REVISÃO]])))</f>
        <v>46043</v>
      </c>
      <c r="L13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M1381" s="6" t="str">
        <f>LD_01[[#This Row],[PASTA]]&amp;"/"&amp;LD_01[[#This Row],[ARQUIVO]]</f>
        <v>MSV-163MS-647-650/16.ES/MSV-163MS-647-650-ACA-EXE-DE-L2-008-R00.1.pdf</v>
      </c>
    </row>
    <row r="1382" spans="1:13" ht="57.6" hidden="1" x14ac:dyDescent="0.3">
      <c r="A1382" s="6" t="s">
        <v>5789</v>
      </c>
      <c r="B1382" s="6" t="str">
        <f>VLOOKUP(LD_01[[#This Row],[DOCUMENTO]],_xlfn.SORTBY(ARQUIVOS_RECEBIDOS!$E$2:$F$5010,ARQUIVOS_RECEBIDOS!$F$2:$F$5010,-1),2,)</f>
        <v>R00.1</v>
      </c>
      <c r="C1382" s="15" t="s">
        <v>5988</v>
      </c>
      <c r="D1382" s="6" t="s">
        <v>5914</v>
      </c>
      <c r="E1382" s="8" t="s">
        <v>5948</v>
      </c>
      <c r="F1382" s="8" t="s">
        <v>5989</v>
      </c>
      <c r="G1382" s="6" t="str">
        <f>_xlfn.XLOOKUP(LD_01[[#This Row],[DISCIPLINA]],'CLASSES DE PROJETOS'!$F$3:$F$37,'CLASSES DE PROJETOS'!$C$3:$C$37)</f>
        <v>ES</v>
      </c>
      <c r="H1382" s="6" t="str">
        <f>_xlfn.TEXTJOIN("/",TRUE,"MSV-163MS-"&amp;LD_01[[#This Row],[TRECHO]],_xlfn.XLOOKUP(LD_01[[#This Row],[SIGLA]],'CLASSES DE PROJETOS'!$C$3:$C$37,'CLASSES DE PROJETOS'!$E$3:$E$37))</f>
        <v>MSV-163MS-647-650/16.ES</v>
      </c>
      <c r="I1382" s="6" t="str" cm="1">
        <f t="array" ref="I1382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J1382" s="6" t="str" cm="1">
        <f t="array" ref="J1382">_xlfn.TEXTJOIN(", ",TRUE,_xlfn.UNIQUE(_xlfn._xlws.FILTER(ARQUIVOS_RECEBIDOS!$F$2:$F$5010,ARQUIVOS_RECEBIDOS!$E$2:$E$5010=LD_01[[#This Row],[DOCUMENTO]])))</f>
        <v>R00.1</v>
      </c>
      <c r="K1382" s="12" cm="1">
        <f t="array" ref="K1382">_xlfn.UNIQUE(_xlfn._xlws.FILTER(ARQUIVOS[DATA RECEBIMENTO],(ARQUIVOS[DOCUMENTO]=LD_01[[#This Row],[DOCUMENTO]])*(ARQUIVOS[REVISÃO]=LD_01[[#This Row],[REVISÃO]])))</f>
        <v>46043</v>
      </c>
      <c r="L13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M1382" s="6" t="str">
        <f>LD_01[[#This Row],[PASTA]]&amp;"/"&amp;LD_01[[#This Row],[ARQUIVO]]</f>
        <v>MSV-163MS-647-650/16.ES/MSV-163MS-647-650-ACA-EXE-DE-L2-009-R00.1.pdf</v>
      </c>
    </row>
    <row r="1383" spans="1:13" ht="57.6" hidden="1" x14ac:dyDescent="0.3">
      <c r="A1383" s="6" t="s">
        <v>5790</v>
      </c>
      <c r="B1383" s="6" t="str">
        <f>VLOOKUP(LD_01[[#This Row],[DOCUMENTO]],_xlfn.SORTBY(ARQUIVOS_RECEBIDOS!$E$2:$F$5010,ARQUIVOS_RECEBIDOS!$F$2:$F$5010,-1),2,)</f>
        <v>R00.2</v>
      </c>
      <c r="C1383" s="15" t="s">
        <v>5988</v>
      </c>
      <c r="D1383" s="6" t="s">
        <v>5914</v>
      </c>
      <c r="E1383" s="8" t="s">
        <v>5949</v>
      </c>
      <c r="F1383" s="8" t="s">
        <v>5989</v>
      </c>
      <c r="G1383" s="6" t="str">
        <f>_xlfn.XLOOKUP(LD_01[[#This Row],[DISCIPLINA]],'CLASSES DE PROJETOS'!$F$3:$F$37,'CLASSES DE PROJETOS'!$C$3:$C$37)</f>
        <v>ES</v>
      </c>
      <c r="H1383" s="6" t="str">
        <f>_xlfn.TEXTJOIN("/",TRUE,"MSV-163MS-"&amp;LD_01[[#This Row],[TRECHO]],_xlfn.XLOOKUP(LD_01[[#This Row],[SIGLA]],'CLASSES DE PROJETOS'!$C$3:$C$37,'CLASSES DE PROJETOS'!$E$3:$E$37))</f>
        <v>MSV-163MS-647-650/16.ES</v>
      </c>
      <c r="I1383" s="6" t="str" cm="1">
        <f t="array" ref="I1383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J1383" s="6" t="str" cm="1">
        <f t="array" ref="J1383">_xlfn.TEXTJOIN(", ",TRUE,_xlfn.UNIQUE(_xlfn._xlws.FILTER(ARQUIVOS_RECEBIDOS!$F$2:$F$5010,ARQUIVOS_RECEBIDOS!$E$2:$E$5010=LD_01[[#This Row],[DOCUMENTO]])))</f>
        <v>R00.2</v>
      </c>
      <c r="K1383" s="12" cm="1">
        <f t="array" ref="K1383">_xlfn.UNIQUE(_xlfn._xlws.FILTER(ARQUIVOS[DATA RECEBIMENTO],(ARQUIVOS[DOCUMENTO]=LD_01[[#This Row],[DOCUMENTO]])*(ARQUIVOS[REVISÃO]=LD_01[[#This Row],[REVISÃO]])))</f>
        <v>46043</v>
      </c>
      <c r="L13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M1383" s="6" t="str">
        <f>LD_01[[#This Row],[PASTA]]&amp;"/"&amp;LD_01[[#This Row],[ARQUIVO]]</f>
        <v>MSV-163MS-647-650/16.ES/MSV-163MS-647-650-ACA-EXE-DE-L2-010-R00.2.pdf</v>
      </c>
    </row>
    <row r="1384" spans="1:13" ht="57.6" hidden="1" x14ac:dyDescent="0.3">
      <c r="A1384" s="6" t="s">
        <v>5791</v>
      </c>
      <c r="B1384" s="6" t="str">
        <f>VLOOKUP(LD_01[[#This Row],[DOCUMENTO]],_xlfn.SORTBY(ARQUIVOS_RECEBIDOS!$E$2:$F$5010,ARQUIVOS_RECEBIDOS!$F$2:$F$5010,-1),2,)</f>
        <v>R00.2</v>
      </c>
      <c r="C1384" s="15" t="s">
        <v>5988</v>
      </c>
      <c r="D1384" s="6" t="s">
        <v>5914</v>
      </c>
      <c r="E1384" s="8" t="s">
        <v>5950</v>
      </c>
      <c r="F1384" s="8" t="s">
        <v>5989</v>
      </c>
      <c r="G1384" s="6" t="str">
        <f>_xlfn.XLOOKUP(LD_01[[#This Row],[DISCIPLINA]],'CLASSES DE PROJETOS'!$F$3:$F$37,'CLASSES DE PROJETOS'!$C$3:$C$37)</f>
        <v>ES</v>
      </c>
      <c r="H1384" s="6" t="str">
        <f>_xlfn.TEXTJOIN("/",TRUE,"MSV-163MS-"&amp;LD_01[[#This Row],[TRECHO]],_xlfn.XLOOKUP(LD_01[[#This Row],[SIGLA]],'CLASSES DE PROJETOS'!$C$3:$C$37,'CLASSES DE PROJETOS'!$E$3:$E$37))</f>
        <v>MSV-163MS-647-650/16.ES</v>
      </c>
      <c r="I1384" s="6" t="str" cm="1">
        <f t="array" ref="I1384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J1384" s="6" t="str" cm="1">
        <f t="array" ref="J1384">_xlfn.TEXTJOIN(", ",TRUE,_xlfn.UNIQUE(_xlfn._xlws.FILTER(ARQUIVOS_RECEBIDOS!$F$2:$F$5010,ARQUIVOS_RECEBIDOS!$E$2:$E$5010=LD_01[[#This Row],[DOCUMENTO]])))</f>
        <v>R00.2</v>
      </c>
      <c r="K1384" s="12" cm="1">
        <f t="array" ref="K1384">_xlfn.UNIQUE(_xlfn._xlws.FILTER(ARQUIVOS[DATA RECEBIMENTO],(ARQUIVOS[DOCUMENTO]=LD_01[[#This Row],[DOCUMENTO]])*(ARQUIVOS[REVISÃO]=LD_01[[#This Row],[REVISÃO]])))</f>
        <v>46043</v>
      </c>
      <c r="L13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M1384" s="6" t="str">
        <f>LD_01[[#This Row],[PASTA]]&amp;"/"&amp;LD_01[[#This Row],[ARQUIVO]]</f>
        <v>MSV-163MS-647-650/16.ES/MSV-163MS-647-650-ACA-EXE-DE-L2-011-R00.2.pdf</v>
      </c>
    </row>
    <row r="1385" spans="1:13" ht="57.6" hidden="1" x14ac:dyDescent="0.3">
      <c r="A1385" s="6" t="s">
        <v>5792</v>
      </c>
      <c r="B1385" s="6" t="str">
        <f>VLOOKUP(LD_01[[#This Row],[DOCUMENTO]],_xlfn.SORTBY(ARQUIVOS_RECEBIDOS!$E$2:$F$5010,ARQUIVOS_RECEBIDOS!$F$2:$F$5010,-1),2,)</f>
        <v>R00.2</v>
      </c>
      <c r="C1385" s="15" t="s">
        <v>5988</v>
      </c>
      <c r="D1385" s="6" t="s">
        <v>5914</v>
      </c>
      <c r="E1385" s="8" t="s">
        <v>5951</v>
      </c>
      <c r="F1385" s="8" t="s">
        <v>5989</v>
      </c>
      <c r="G1385" s="6" t="str">
        <f>_xlfn.XLOOKUP(LD_01[[#This Row],[DISCIPLINA]],'CLASSES DE PROJETOS'!$F$3:$F$37,'CLASSES DE PROJETOS'!$C$3:$C$37)</f>
        <v>ES</v>
      </c>
      <c r="H1385" s="6" t="str">
        <f>_xlfn.TEXTJOIN("/",TRUE,"MSV-163MS-"&amp;LD_01[[#This Row],[TRECHO]],_xlfn.XLOOKUP(LD_01[[#This Row],[SIGLA]],'CLASSES DE PROJETOS'!$C$3:$C$37,'CLASSES DE PROJETOS'!$E$3:$E$37))</f>
        <v>MSV-163MS-647-650/16.ES</v>
      </c>
      <c r="I1385" s="6" t="str" cm="1">
        <f t="array" ref="I1385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J1385" s="6" t="str" cm="1">
        <f t="array" ref="J1385">_xlfn.TEXTJOIN(", ",TRUE,_xlfn.UNIQUE(_xlfn._xlws.FILTER(ARQUIVOS_RECEBIDOS!$F$2:$F$5010,ARQUIVOS_RECEBIDOS!$E$2:$E$5010=LD_01[[#This Row],[DOCUMENTO]])))</f>
        <v>R00.2</v>
      </c>
      <c r="K1385" s="12" cm="1">
        <f t="array" ref="K1385">_xlfn.UNIQUE(_xlfn._xlws.FILTER(ARQUIVOS[DATA RECEBIMENTO],(ARQUIVOS[DOCUMENTO]=LD_01[[#This Row],[DOCUMENTO]])*(ARQUIVOS[REVISÃO]=LD_01[[#This Row],[REVISÃO]])))</f>
        <v>46043</v>
      </c>
      <c r="L13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M1385" s="6" t="str">
        <f>LD_01[[#This Row],[PASTA]]&amp;"/"&amp;LD_01[[#This Row],[ARQUIVO]]</f>
        <v>MSV-163MS-647-650/16.ES/MSV-163MS-647-650-ACA-EXE-DE-L2-012-R00.2.pdf</v>
      </c>
    </row>
    <row r="1386" spans="1:13" ht="43.2" hidden="1" x14ac:dyDescent="0.3">
      <c r="A1386" s="6" t="s">
        <v>5793</v>
      </c>
      <c r="B1386" s="6" t="str">
        <f>VLOOKUP(LD_01[[#This Row],[DOCUMENTO]],_xlfn.SORTBY(ARQUIVOS_RECEBIDOS!$E$2:$F$5010,ARQUIVOS_RECEBIDOS!$F$2:$F$5010,-1),2,)</f>
        <v>R00.2</v>
      </c>
      <c r="C1386" s="15" t="s">
        <v>5988</v>
      </c>
      <c r="D1386" s="6" t="s">
        <v>5914</v>
      </c>
      <c r="E1386" s="8" t="s">
        <v>5952</v>
      </c>
      <c r="F1386" s="8" t="s">
        <v>5989</v>
      </c>
      <c r="G1386" s="6" t="str">
        <f>_xlfn.XLOOKUP(LD_01[[#This Row],[DISCIPLINA]],'CLASSES DE PROJETOS'!$F$3:$F$37,'CLASSES DE PROJETOS'!$C$3:$C$37)</f>
        <v>ES</v>
      </c>
      <c r="H1386" s="6" t="str">
        <f>_xlfn.TEXTJOIN("/",TRUE,"MSV-163MS-"&amp;LD_01[[#This Row],[TRECHO]],_xlfn.XLOOKUP(LD_01[[#This Row],[SIGLA]],'CLASSES DE PROJETOS'!$C$3:$C$37,'CLASSES DE PROJETOS'!$E$3:$E$37))</f>
        <v>MSV-163MS-647-650/16.ES</v>
      </c>
      <c r="I1386" s="6" t="str" cm="1">
        <f t="array" ref="I1386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J1386" s="6" t="str" cm="1">
        <f t="array" ref="J1386">_xlfn.TEXTJOIN(", ",TRUE,_xlfn.UNIQUE(_xlfn._xlws.FILTER(ARQUIVOS_RECEBIDOS!$F$2:$F$5010,ARQUIVOS_RECEBIDOS!$E$2:$E$5010=LD_01[[#This Row],[DOCUMENTO]])))</f>
        <v>R00.2</v>
      </c>
      <c r="K1386" s="12" cm="1">
        <f t="array" ref="K1386">_xlfn.UNIQUE(_xlfn._xlws.FILTER(ARQUIVOS[DATA RECEBIMENTO],(ARQUIVOS[DOCUMENTO]=LD_01[[#This Row],[DOCUMENTO]])*(ARQUIVOS[REVISÃO]=LD_01[[#This Row],[REVISÃO]])))</f>
        <v>46043</v>
      </c>
      <c r="L13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M1386" s="6" t="str">
        <f>LD_01[[#This Row],[PASTA]]&amp;"/"&amp;LD_01[[#This Row],[ARQUIVO]]</f>
        <v>MSV-163MS-647-650/16.ES/MSV-163MS-647-650-ACA-EXE-DE-L2-013-R00.2.pdf</v>
      </c>
    </row>
    <row r="1387" spans="1:13" ht="57.6" hidden="1" x14ac:dyDescent="0.3">
      <c r="A1387" s="6" t="s">
        <v>5794</v>
      </c>
      <c r="B1387" s="6" t="str">
        <f>VLOOKUP(LD_01[[#This Row],[DOCUMENTO]],_xlfn.SORTBY(ARQUIVOS_RECEBIDOS!$E$2:$F$5010,ARQUIVOS_RECEBIDOS!$F$2:$F$5010,-1),2,)</f>
        <v>R00.1</v>
      </c>
      <c r="C1387" s="15" t="s">
        <v>5988</v>
      </c>
      <c r="D1387" s="6" t="s">
        <v>5914</v>
      </c>
      <c r="E1387" s="8" t="s">
        <v>5953</v>
      </c>
      <c r="F1387" s="8" t="s">
        <v>5989</v>
      </c>
      <c r="G1387" s="6" t="str">
        <f>_xlfn.XLOOKUP(LD_01[[#This Row],[DISCIPLINA]],'CLASSES DE PROJETOS'!$F$3:$F$37,'CLASSES DE PROJETOS'!$C$3:$C$37)</f>
        <v>ES</v>
      </c>
      <c r="H1387" s="6" t="str">
        <f>_xlfn.TEXTJOIN("/",TRUE,"MSV-163MS-"&amp;LD_01[[#This Row],[TRECHO]],_xlfn.XLOOKUP(LD_01[[#This Row],[SIGLA]],'CLASSES DE PROJETOS'!$C$3:$C$37,'CLASSES DE PROJETOS'!$E$3:$E$37))</f>
        <v>MSV-163MS-647-650/16.ES</v>
      </c>
      <c r="I1387" s="6" t="str" cm="1">
        <f t="array" ref="I1387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J1387" s="6" t="str" cm="1">
        <f t="array" ref="J1387">_xlfn.TEXTJOIN(", ",TRUE,_xlfn.UNIQUE(_xlfn._xlws.FILTER(ARQUIVOS_RECEBIDOS!$F$2:$F$5010,ARQUIVOS_RECEBIDOS!$E$2:$E$5010=LD_01[[#This Row],[DOCUMENTO]])))</f>
        <v>R00.1</v>
      </c>
      <c r="K1387" s="12" cm="1">
        <f t="array" ref="K1387">_xlfn.UNIQUE(_xlfn._xlws.FILTER(ARQUIVOS[DATA RECEBIMENTO],(ARQUIVOS[DOCUMENTO]=LD_01[[#This Row],[DOCUMENTO]])*(ARQUIVOS[REVISÃO]=LD_01[[#This Row],[REVISÃO]])))</f>
        <v>46043</v>
      </c>
      <c r="L13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M1387" s="6" t="str">
        <f>LD_01[[#This Row],[PASTA]]&amp;"/"&amp;LD_01[[#This Row],[ARQUIVO]]</f>
        <v>MSV-163MS-647-650/16.ES/MSV-163MS-647-650-ACA-EXE-DE-L2-014-R00.1.pdf</v>
      </c>
    </row>
    <row r="1388" spans="1:13" ht="57.6" hidden="1" x14ac:dyDescent="0.3">
      <c r="A1388" s="6" t="s">
        <v>5795</v>
      </c>
      <c r="B1388" s="6" t="str">
        <f>VLOOKUP(LD_01[[#This Row],[DOCUMENTO]],_xlfn.SORTBY(ARQUIVOS_RECEBIDOS!$E$2:$F$5010,ARQUIVOS_RECEBIDOS!$F$2:$F$5010,-1),2,)</f>
        <v>R00.2</v>
      </c>
      <c r="C1388" s="15" t="s">
        <v>5988</v>
      </c>
      <c r="D1388" s="6" t="s">
        <v>5914</v>
      </c>
      <c r="E1388" s="8" t="s">
        <v>5954</v>
      </c>
      <c r="F1388" s="8" t="s">
        <v>5989</v>
      </c>
      <c r="G1388" s="6" t="str">
        <f>_xlfn.XLOOKUP(LD_01[[#This Row],[DISCIPLINA]],'CLASSES DE PROJETOS'!$F$3:$F$37,'CLASSES DE PROJETOS'!$C$3:$C$37)</f>
        <v>ES</v>
      </c>
      <c r="H1388" s="6" t="str">
        <f>_xlfn.TEXTJOIN("/",TRUE,"MSV-163MS-"&amp;LD_01[[#This Row],[TRECHO]],_xlfn.XLOOKUP(LD_01[[#This Row],[SIGLA]],'CLASSES DE PROJETOS'!$C$3:$C$37,'CLASSES DE PROJETOS'!$E$3:$E$37))</f>
        <v>MSV-163MS-647-650/16.ES</v>
      </c>
      <c r="I1388" s="6" t="str" cm="1">
        <f t="array" ref="I1388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J1388" s="6" t="str" cm="1">
        <f t="array" ref="J1388">_xlfn.TEXTJOIN(", ",TRUE,_xlfn.UNIQUE(_xlfn._xlws.FILTER(ARQUIVOS_RECEBIDOS!$F$2:$F$5010,ARQUIVOS_RECEBIDOS!$E$2:$E$5010=LD_01[[#This Row],[DOCUMENTO]])))</f>
        <v>R00.2</v>
      </c>
      <c r="K1388" s="12" cm="1">
        <f t="array" ref="K1388">_xlfn.UNIQUE(_xlfn._xlws.FILTER(ARQUIVOS[DATA RECEBIMENTO],(ARQUIVOS[DOCUMENTO]=LD_01[[#This Row],[DOCUMENTO]])*(ARQUIVOS[REVISÃO]=LD_01[[#This Row],[REVISÃO]])))</f>
        <v>46043</v>
      </c>
      <c r="L13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M1388" s="6" t="str">
        <f>LD_01[[#This Row],[PASTA]]&amp;"/"&amp;LD_01[[#This Row],[ARQUIVO]]</f>
        <v>MSV-163MS-647-650/16.ES/MSV-163MS-647-650-ACA-EXE-DE-L2-015-R00.2.pdf</v>
      </c>
    </row>
    <row r="1389" spans="1:13" ht="57.6" hidden="1" x14ac:dyDescent="0.3">
      <c r="A1389" s="6" t="s">
        <v>5796</v>
      </c>
      <c r="B1389" s="6" t="str">
        <f>VLOOKUP(LD_01[[#This Row],[DOCUMENTO]],_xlfn.SORTBY(ARQUIVOS_RECEBIDOS!$E$2:$F$5010,ARQUIVOS_RECEBIDOS!$F$2:$F$5010,-1),2,)</f>
        <v>R00.1</v>
      </c>
      <c r="C1389" s="15" t="s">
        <v>5988</v>
      </c>
      <c r="D1389" s="6" t="s">
        <v>5914</v>
      </c>
      <c r="E1389" s="8" t="s">
        <v>5955</v>
      </c>
      <c r="F1389" s="8" t="s">
        <v>5989</v>
      </c>
      <c r="G1389" s="6" t="str">
        <f>_xlfn.XLOOKUP(LD_01[[#This Row],[DISCIPLINA]],'CLASSES DE PROJETOS'!$F$3:$F$37,'CLASSES DE PROJETOS'!$C$3:$C$37)</f>
        <v>ES</v>
      </c>
      <c r="H1389" s="6" t="str">
        <f>_xlfn.TEXTJOIN("/",TRUE,"MSV-163MS-"&amp;LD_01[[#This Row],[TRECHO]],_xlfn.XLOOKUP(LD_01[[#This Row],[SIGLA]],'CLASSES DE PROJETOS'!$C$3:$C$37,'CLASSES DE PROJETOS'!$E$3:$E$37))</f>
        <v>MSV-163MS-647-650/16.ES</v>
      </c>
      <c r="I1389" s="6" t="str" cm="1">
        <f t="array" ref="I1389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J1389" s="6" t="str" cm="1">
        <f t="array" ref="J1389">_xlfn.TEXTJOIN(", ",TRUE,_xlfn.UNIQUE(_xlfn._xlws.FILTER(ARQUIVOS_RECEBIDOS!$F$2:$F$5010,ARQUIVOS_RECEBIDOS!$E$2:$E$5010=LD_01[[#This Row],[DOCUMENTO]])))</f>
        <v>R00.1</v>
      </c>
      <c r="K1389" s="12" cm="1">
        <f t="array" ref="K1389">_xlfn.UNIQUE(_xlfn._xlws.FILTER(ARQUIVOS[DATA RECEBIMENTO],(ARQUIVOS[DOCUMENTO]=LD_01[[#This Row],[DOCUMENTO]])*(ARQUIVOS[REVISÃO]=LD_01[[#This Row],[REVISÃO]])))</f>
        <v>46043</v>
      </c>
      <c r="L13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M1389" s="6" t="str">
        <f>LD_01[[#This Row],[PASTA]]&amp;"/"&amp;LD_01[[#This Row],[ARQUIVO]]</f>
        <v>MSV-163MS-647-650/16.ES/MSV-163MS-647-650-ACA-EXE-DE-L2-016-R00.1.pdf</v>
      </c>
    </row>
    <row r="1390" spans="1:13" ht="57.6" hidden="1" x14ac:dyDescent="0.3">
      <c r="A1390" s="6" t="s">
        <v>5797</v>
      </c>
      <c r="B1390" s="6" t="str">
        <f>VLOOKUP(LD_01[[#This Row],[DOCUMENTO]],_xlfn.SORTBY(ARQUIVOS_RECEBIDOS!$E$2:$F$5010,ARQUIVOS_RECEBIDOS!$F$2:$F$5010,-1),2,)</f>
        <v>R00.1</v>
      </c>
      <c r="C1390" s="15" t="s">
        <v>5988</v>
      </c>
      <c r="D1390" s="6" t="s">
        <v>5914</v>
      </c>
      <c r="E1390" s="8" t="s">
        <v>5956</v>
      </c>
      <c r="F1390" s="8" t="s">
        <v>5989</v>
      </c>
      <c r="G1390" s="6" t="str">
        <f>_xlfn.XLOOKUP(LD_01[[#This Row],[DISCIPLINA]],'CLASSES DE PROJETOS'!$F$3:$F$37,'CLASSES DE PROJETOS'!$C$3:$C$37)</f>
        <v>ES</v>
      </c>
      <c r="H1390" s="6" t="str">
        <f>_xlfn.TEXTJOIN("/",TRUE,"MSV-163MS-"&amp;LD_01[[#This Row],[TRECHO]],_xlfn.XLOOKUP(LD_01[[#This Row],[SIGLA]],'CLASSES DE PROJETOS'!$C$3:$C$37,'CLASSES DE PROJETOS'!$E$3:$E$37))</f>
        <v>MSV-163MS-647-650/16.ES</v>
      </c>
      <c r="I1390" s="6" t="str" cm="1">
        <f t="array" ref="I1390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J1390" s="6" t="str" cm="1">
        <f t="array" ref="J1390">_xlfn.TEXTJOIN(", ",TRUE,_xlfn.UNIQUE(_xlfn._xlws.FILTER(ARQUIVOS_RECEBIDOS!$F$2:$F$5010,ARQUIVOS_RECEBIDOS!$E$2:$E$5010=LD_01[[#This Row],[DOCUMENTO]])))</f>
        <v>R00.1</v>
      </c>
      <c r="K1390" s="12" cm="1">
        <f t="array" ref="K1390">_xlfn.UNIQUE(_xlfn._xlws.FILTER(ARQUIVOS[DATA RECEBIMENTO],(ARQUIVOS[DOCUMENTO]=LD_01[[#This Row],[DOCUMENTO]])*(ARQUIVOS[REVISÃO]=LD_01[[#This Row],[REVISÃO]])))</f>
        <v>46043</v>
      </c>
      <c r="L13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M1390" s="6" t="str">
        <f>LD_01[[#This Row],[PASTA]]&amp;"/"&amp;LD_01[[#This Row],[ARQUIVO]]</f>
        <v>MSV-163MS-647-650/16.ES/MSV-163MS-647-650-ACA-EXE-DE-L2-017-R00.1.pdf</v>
      </c>
    </row>
    <row r="1391" spans="1:13" ht="57.6" hidden="1" x14ac:dyDescent="0.3">
      <c r="A1391" s="6" t="s">
        <v>5798</v>
      </c>
      <c r="B1391" s="6" t="str">
        <f>VLOOKUP(LD_01[[#This Row],[DOCUMENTO]],_xlfn.SORTBY(ARQUIVOS_RECEBIDOS!$E$2:$F$5010,ARQUIVOS_RECEBIDOS!$F$2:$F$5010,-1),2,)</f>
        <v>R00.1</v>
      </c>
      <c r="C1391" s="15" t="s">
        <v>5988</v>
      </c>
      <c r="D1391" s="6" t="s">
        <v>5914</v>
      </c>
      <c r="E1391" s="8" t="s">
        <v>5957</v>
      </c>
      <c r="F1391" s="8" t="s">
        <v>5989</v>
      </c>
      <c r="G1391" s="6" t="str">
        <f>_xlfn.XLOOKUP(LD_01[[#This Row],[DISCIPLINA]],'CLASSES DE PROJETOS'!$F$3:$F$37,'CLASSES DE PROJETOS'!$C$3:$C$37)</f>
        <v>ES</v>
      </c>
      <c r="H1391" s="6" t="str">
        <f>_xlfn.TEXTJOIN("/",TRUE,"MSV-163MS-"&amp;LD_01[[#This Row],[TRECHO]],_xlfn.XLOOKUP(LD_01[[#This Row],[SIGLA]],'CLASSES DE PROJETOS'!$C$3:$C$37,'CLASSES DE PROJETOS'!$E$3:$E$37))</f>
        <v>MSV-163MS-647-650/16.ES</v>
      </c>
      <c r="I1391" s="6" t="str" cm="1">
        <f t="array" ref="I1391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J1391" s="6" t="str" cm="1">
        <f t="array" ref="J1391">_xlfn.TEXTJOIN(", ",TRUE,_xlfn.UNIQUE(_xlfn._xlws.FILTER(ARQUIVOS_RECEBIDOS!$F$2:$F$5010,ARQUIVOS_RECEBIDOS!$E$2:$E$5010=LD_01[[#This Row],[DOCUMENTO]])))</f>
        <v>R00.1</v>
      </c>
      <c r="K1391" s="12" cm="1">
        <f t="array" ref="K1391">_xlfn.UNIQUE(_xlfn._xlws.FILTER(ARQUIVOS[DATA RECEBIMENTO],(ARQUIVOS[DOCUMENTO]=LD_01[[#This Row],[DOCUMENTO]])*(ARQUIVOS[REVISÃO]=LD_01[[#This Row],[REVISÃO]])))</f>
        <v>46043</v>
      </c>
      <c r="L13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M1391" s="6" t="str">
        <f>LD_01[[#This Row],[PASTA]]&amp;"/"&amp;LD_01[[#This Row],[ARQUIVO]]</f>
        <v>MSV-163MS-647-650/16.ES/MSV-163MS-647-650-ACA-EXE-DE-L2-018-R00.1.pdf</v>
      </c>
    </row>
    <row r="1392" spans="1:13" ht="57.6" hidden="1" x14ac:dyDescent="0.3">
      <c r="A1392" s="6" t="s">
        <v>5799</v>
      </c>
      <c r="B1392" s="6" t="str">
        <f>VLOOKUP(LD_01[[#This Row],[DOCUMENTO]],_xlfn.SORTBY(ARQUIVOS_RECEBIDOS!$E$2:$F$5010,ARQUIVOS_RECEBIDOS!$F$2:$F$5010,-1),2,)</f>
        <v>R00.1</v>
      </c>
      <c r="C1392" s="15" t="s">
        <v>5988</v>
      </c>
      <c r="D1392" s="6" t="s">
        <v>5914</v>
      </c>
      <c r="E1392" s="8" t="s">
        <v>5958</v>
      </c>
      <c r="F1392" s="8" t="s">
        <v>5989</v>
      </c>
      <c r="G1392" s="6" t="str">
        <f>_xlfn.XLOOKUP(LD_01[[#This Row],[DISCIPLINA]],'CLASSES DE PROJETOS'!$F$3:$F$37,'CLASSES DE PROJETOS'!$C$3:$C$37)</f>
        <v>ES</v>
      </c>
      <c r="H1392" s="6" t="str">
        <f>_xlfn.TEXTJOIN("/",TRUE,"MSV-163MS-"&amp;LD_01[[#This Row],[TRECHO]],_xlfn.XLOOKUP(LD_01[[#This Row],[SIGLA]],'CLASSES DE PROJETOS'!$C$3:$C$37,'CLASSES DE PROJETOS'!$E$3:$E$37))</f>
        <v>MSV-163MS-647-650/16.ES</v>
      </c>
      <c r="I1392" s="6" t="str" cm="1">
        <f t="array" ref="I1392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J1392" s="6" t="str" cm="1">
        <f t="array" ref="J1392">_xlfn.TEXTJOIN(", ",TRUE,_xlfn.UNIQUE(_xlfn._xlws.FILTER(ARQUIVOS_RECEBIDOS!$F$2:$F$5010,ARQUIVOS_RECEBIDOS!$E$2:$E$5010=LD_01[[#This Row],[DOCUMENTO]])))</f>
        <v>R00.1</v>
      </c>
      <c r="K1392" s="12" cm="1">
        <f t="array" ref="K1392">_xlfn.UNIQUE(_xlfn._xlws.FILTER(ARQUIVOS[DATA RECEBIMENTO],(ARQUIVOS[DOCUMENTO]=LD_01[[#This Row],[DOCUMENTO]])*(ARQUIVOS[REVISÃO]=LD_01[[#This Row],[REVISÃO]])))</f>
        <v>46043</v>
      </c>
      <c r="L13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M1392" s="6" t="str">
        <f>LD_01[[#This Row],[PASTA]]&amp;"/"&amp;LD_01[[#This Row],[ARQUIVO]]</f>
        <v>MSV-163MS-647-650/16.ES/MSV-163MS-647-650-ACA-EXE-DE-L2-019-R00.1.pdf</v>
      </c>
    </row>
    <row r="1393" spans="1:13" ht="57.6" hidden="1" x14ac:dyDescent="0.3">
      <c r="A1393" s="6" t="s">
        <v>5800</v>
      </c>
      <c r="B1393" s="6" t="str">
        <f>VLOOKUP(LD_01[[#This Row],[DOCUMENTO]],_xlfn.SORTBY(ARQUIVOS_RECEBIDOS!$E$2:$F$5010,ARQUIVOS_RECEBIDOS!$F$2:$F$5010,-1),2,)</f>
        <v>R00.1</v>
      </c>
      <c r="C1393" s="15" t="s">
        <v>5988</v>
      </c>
      <c r="D1393" s="6" t="s">
        <v>5914</v>
      </c>
      <c r="E1393" s="8" t="s">
        <v>5959</v>
      </c>
      <c r="F1393" s="8" t="s">
        <v>5989</v>
      </c>
      <c r="G1393" s="6" t="str">
        <f>_xlfn.XLOOKUP(LD_01[[#This Row],[DISCIPLINA]],'CLASSES DE PROJETOS'!$F$3:$F$37,'CLASSES DE PROJETOS'!$C$3:$C$37)</f>
        <v>ES</v>
      </c>
      <c r="H1393" s="6" t="str">
        <f>_xlfn.TEXTJOIN("/",TRUE,"MSV-163MS-"&amp;LD_01[[#This Row],[TRECHO]],_xlfn.XLOOKUP(LD_01[[#This Row],[SIGLA]],'CLASSES DE PROJETOS'!$C$3:$C$37,'CLASSES DE PROJETOS'!$E$3:$E$37))</f>
        <v>MSV-163MS-647-650/16.ES</v>
      </c>
      <c r="I1393" s="6" t="str" cm="1">
        <f t="array" ref="I1393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J1393" s="6" t="str" cm="1">
        <f t="array" ref="J1393">_xlfn.TEXTJOIN(", ",TRUE,_xlfn.UNIQUE(_xlfn._xlws.FILTER(ARQUIVOS_RECEBIDOS!$F$2:$F$5010,ARQUIVOS_RECEBIDOS!$E$2:$E$5010=LD_01[[#This Row],[DOCUMENTO]])))</f>
        <v>R00.1</v>
      </c>
      <c r="K1393" s="12" cm="1">
        <f t="array" ref="K1393">_xlfn.UNIQUE(_xlfn._xlws.FILTER(ARQUIVOS[DATA RECEBIMENTO],(ARQUIVOS[DOCUMENTO]=LD_01[[#This Row],[DOCUMENTO]])*(ARQUIVOS[REVISÃO]=LD_01[[#This Row],[REVISÃO]])))</f>
        <v>46043</v>
      </c>
      <c r="L13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M1393" s="6" t="str">
        <f>LD_01[[#This Row],[PASTA]]&amp;"/"&amp;LD_01[[#This Row],[ARQUIVO]]</f>
        <v>MSV-163MS-647-650/16.ES/MSV-163MS-647-650-ACA-EXE-DE-L2-020-R00.1.pdf</v>
      </c>
    </row>
    <row r="1394" spans="1:13" ht="57.6" hidden="1" x14ac:dyDescent="0.3">
      <c r="A1394" s="6" t="s">
        <v>5801</v>
      </c>
      <c r="B1394" s="6" t="str">
        <f>VLOOKUP(LD_01[[#This Row],[DOCUMENTO]],_xlfn.SORTBY(ARQUIVOS_RECEBIDOS!$E$2:$F$5010,ARQUIVOS_RECEBIDOS!$F$2:$F$5010,-1),2,)</f>
        <v>R00.1</v>
      </c>
      <c r="C1394" s="15" t="s">
        <v>5988</v>
      </c>
      <c r="D1394" s="6" t="s">
        <v>5914</v>
      </c>
      <c r="E1394" s="8" t="s">
        <v>5960</v>
      </c>
      <c r="F1394" s="8" t="s">
        <v>5989</v>
      </c>
      <c r="G1394" s="6" t="str">
        <f>_xlfn.XLOOKUP(LD_01[[#This Row],[DISCIPLINA]],'CLASSES DE PROJETOS'!$F$3:$F$37,'CLASSES DE PROJETOS'!$C$3:$C$37)</f>
        <v>ES</v>
      </c>
      <c r="H1394" s="6" t="str">
        <f>_xlfn.TEXTJOIN("/",TRUE,"MSV-163MS-"&amp;LD_01[[#This Row],[TRECHO]],_xlfn.XLOOKUP(LD_01[[#This Row],[SIGLA]],'CLASSES DE PROJETOS'!$C$3:$C$37,'CLASSES DE PROJETOS'!$E$3:$E$37))</f>
        <v>MSV-163MS-647-650/16.ES</v>
      </c>
      <c r="I1394" s="6" t="str" cm="1">
        <f t="array" ref="I1394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J1394" s="6" t="str" cm="1">
        <f t="array" ref="J1394">_xlfn.TEXTJOIN(", ",TRUE,_xlfn.UNIQUE(_xlfn._xlws.FILTER(ARQUIVOS_RECEBIDOS!$F$2:$F$5010,ARQUIVOS_RECEBIDOS!$E$2:$E$5010=LD_01[[#This Row],[DOCUMENTO]])))</f>
        <v>R00.1</v>
      </c>
      <c r="K1394" s="12" cm="1">
        <f t="array" ref="K1394">_xlfn.UNIQUE(_xlfn._xlws.FILTER(ARQUIVOS[DATA RECEBIMENTO],(ARQUIVOS[DOCUMENTO]=LD_01[[#This Row],[DOCUMENTO]])*(ARQUIVOS[REVISÃO]=LD_01[[#This Row],[REVISÃO]])))</f>
        <v>46043</v>
      </c>
      <c r="L13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M1394" s="6" t="str">
        <f>LD_01[[#This Row],[PASTA]]&amp;"/"&amp;LD_01[[#This Row],[ARQUIVO]]</f>
        <v>MSV-163MS-647-650/16.ES/MSV-163MS-647-650-ACA-EXE-DE-L2-021-R00.1.pdf</v>
      </c>
    </row>
    <row r="1395" spans="1:13" ht="57.6" hidden="1" x14ac:dyDescent="0.3">
      <c r="A1395" s="6" t="s">
        <v>5802</v>
      </c>
      <c r="B1395" s="6" t="str">
        <f>VLOOKUP(LD_01[[#This Row],[DOCUMENTO]],_xlfn.SORTBY(ARQUIVOS_RECEBIDOS!$E$2:$F$5010,ARQUIVOS_RECEBIDOS!$F$2:$F$5010,-1),2,)</f>
        <v>R00.1</v>
      </c>
      <c r="C1395" s="15" t="s">
        <v>5988</v>
      </c>
      <c r="D1395" s="6" t="s">
        <v>5914</v>
      </c>
      <c r="E1395" s="8" t="s">
        <v>5961</v>
      </c>
      <c r="F1395" s="8" t="s">
        <v>5989</v>
      </c>
      <c r="G1395" s="6" t="str">
        <f>_xlfn.XLOOKUP(LD_01[[#This Row],[DISCIPLINA]],'CLASSES DE PROJETOS'!$F$3:$F$37,'CLASSES DE PROJETOS'!$C$3:$C$37)</f>
        <v>ES</v>
      </c>
      <c r="H1395" s="6" t="str">
        <f>_xlfn.TEXTJOIN("/",TRUE,"MSV-163MS-"&amp;LD_01[[#This Row],[TRECHO]],_xlfn.XLOOKUP(LD_01[[#This Row],[SIGLA]],'CLASSES DE PROJETOS'!$C$3:$C$37,'CLASSES DE PROJETOS'!$E$3:$E$37))</f>
        <v>MSV-163MS-647-650/16.ES</v>
      </c>
      <c r="I1395" s="6" t="str" cm="1">
        <f t="array" ref="I1395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J1395" s="6" t="str" cm="1">
        <f t="array" ref="J1395">_xlfn.TEXTJOIN(", ",TRUE,_xlfn.UNIQUE(_xlfn._xlws.FILTER(ARQUIVOS_RECEBIDOS!$F$2:$F$5010,ARQUIVOS_RECEBIDOS!$E$2:$E$5010=LD_01[[#This Row],[DOCUMENTO]])))</f>
        <v>R00.1</v>
      </c>
      <c r="K1395" s="12" cm="1">
        <f t="array" ref="K1395">_xlfn.UNIQUE(_xlfn._xlws.FILTER(ARQUIVOS[DATA RECEBIMENTO],(ARQUIVOS[DOCUMENTO]=LD_01[[#This Row],[DOCUMENTO]])*(ARQUIVOS[REVISÃO]=LD_01[[#This Row],[REVISÃO]])))</f>
        <v>46043</v>
      </c>
      <c r="L13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M1395" s="6" t="str">
        <f>LD_01[[#This Row],[PASTA]]&amp;"/"&amp;LD_01[[#This Row],[ARQUIVO]]</f>
        <v>MSV-163MS-647-650/16.ES/MSV-163MS-647-650-ACA-EXE-DE-L2-022-R00.1.pdf</v>
      </c>
    </row>
    <row r="1396" spans="1:13" ht="57.6" hidden="1" x14ac:dyDescent="0.3">
      <c r="A1396" s="6" t="s">
        <v>5803</v>
      </c>
      <c r="B1396" s="6" t="str">
        <f>VLOOKUP(LD_01[[#This Row],[DOCUMENTO]],_xlfn.SORTBY(ARQUIVOS_RECEBIDOS!$E$2:$F$5010,ARQUIVOS_RECEBIDOS!$F$2:$F$5010,-1),2,)</f>
        <v>R00.1</v>
      </c>
      <c r="C1396" s="15" t="s">
        <v>5988</v>
      </c>
      <c r="D1396" s="6" t="s">
        <v>5914</v>
      </c>
      <c r="E1396" s="8" t="s">
        <v>5962</v>
      </c>
      <c r="F1396" s="8" t="s">
        <v>5989</v>
      </c>
      <c r="G1396" s="6" t="str">
        <f>_xlfn.XLOOKUP(LD_01[[#This Row],[DISCIPLINA]],'CLASSES DE PROJETOS'!$F$3:$F$37,'CLASSES DE PROJETOS'!$C$3:$C$37)</f>
        <v>ES</v>
      </c>
      <c r="H1396" s="6" t="str">
        <f>_xlfn.TEXTJOIN("/",TRUE,"MSV-163MS-"&amp;LD_01[[#This Row],[TRECHO]],_xlfn.XLOOKUP(LD_01[[#This Row],[SIGLA]],'CLASSES DE PROJETOS'!$C$3:$C$37,'CLASSES DE PROJETOS'!$E$3:$E$37))</f>
        <v>MSV-163MS-647-650/16.ES</v>
      </c>
      <c r="I1396" s="6" t="str" cm="1">
        <f t="array" ref="I1396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J1396" s="6" t="str" cm="1">
        <f t="array" ref="J1396">_xlfn.TEXTJOIN(", ",TRUE,_xlfn.UNIQUE(_xlfn._xlws.FILTER(ARQUIVOS_RECEBIDOS!$F$2:$F$5010,ARQUIVOS_RECEBIDOS!$E$2:$E$5010=LD_01[[#This Row],[DOCUMENTO]])))</f>
        <v>R00.1</v>
      </c>
      <c r="K1396" s="12" cm="1">
        <f t="array" ref="K1396">_xlfn.UNIQUE(_xlfn._xlws.FILTER(ARQUIVOS[DATA RECEBIMENTO],(ARQUIVOS[DOCUMENTO]=LD_01[[#This Row],[DOCUMENTO]])*(ARQUIVOS[REVISÃO]=LD_01[[#This Row],[REVISÃO]])))</f>
        <v>46043</v>
      </c>
      <c r="L13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M1396" s="6" t="str">
        <f>LD_01[[#This Row],[PASTA]]&amp;"/"&amp;LD_01[[#This Row],[ARQUIVO]]</f>
        <v>MSV-163MS-647-650/16.ES/MSV-163MS-647-650-ACA-EXE-DE-L2-023-R00.1.pdf</v>
      </c>
    </row>
    <row r="1397" spans="1:13" ht="43.2" hidden="1" x14ac:dyDescent="0.3">
      <c r="A1397" s="6" t="s">
        <v>5841</v>
      </c>
      <c r="B1397" s="6" t="str">
        <f>VLOOKUP(LD_01[[#This Row],[DOCUMENTO]],_xlfn.SORTBY(ARQUIVOS_RECEBIDOS!$E$2:$F$5010,ARQUIVOS_RECEBIDOS!$F$2:$F$5010,-1),2,)</f>
        <v>R00.2</v>
      </c>
      <c r="C1397" s="15" t="s">
        <v>5988</v>
      </c>
      <c r="D1397" s="6" t="s">
        <v>5914</v>
      </c>
      <c r="E1397" s="8" t="s">
        <v>5963</v>
      </c>
      <c r="F1397" s="8" t="s">
        <v>4333</v>
      </c>
      <c r="G1397" s="6" t="str">
        <f>_xlfn.XLOOKUP(LD_01[[#This Row],[DISCIPLINA]],'CLASSES DE PROJETOS'!$F$3:$F$37,'CLASSES DE PROJETOS'!$C$3:$C$37)</f>
        <v>IN</v>
      </c>
      <c r="H1397" s="6" t="str">
        <f>_xlfn.TEXTJOIN("/",TRUE,"MSV-163MS-"&amp;LD_01[[#This Row],[TRECHO]],_xlfn.XLOOKUP(LD_01[[#This Row],[SIGLA]],'CLASSES DE PROJETOS'!$C$3:$C$37,'CLASSES DE PROJETOS'!$E$3:$E$37))</f>
        <v>MSV-163MS-647-650/23.IN</v>
      </c>
      <c r="I1397" s="6" t="str" cm="1">
        <f t="array" ref="I1397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J1397" s="6" t="str" cm="1">
        <f t="array" ref="J1397">_xlfn.TEXTJOIN(", ",TRUE,_xlfn.UNIQUE(_xlfn._xlws.FILTER(ARQUIVOS_RECEBIDOS!$F$2:$F$5010,ARQUIVOS_RECEBIDOS!$E$2:$E$5010=LD_01[[#This Row],[DOCUMENTO]])))</f>
        <v>R00.2</v>
      </c>
      <c r="K1397" s="12" cm="1">
        <f t="array" ref="K1397">_xlfn.UNIQUE(_xlfn._xlws.FILTER(ARQUIVOS[DATA RECEBIMENTO],(ARQUIVOS[DOCUMENTO]=LD_01[[#This Row],[DOCUMENTO]])*(ARQUIVOS[REVISÃO]=LD_01[[#This Row],[REVISÃO]])))</f>
        <v>46043</v>
      </c>
      <c r="L13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M1397" s="6" t="str">
        <f>LD_01[[#This Row],[PASTA]]&amp;"/"&amp;LD_01[[#This Row],[ARQUIVO]]</f>
        <v>MSV-163MS-647-650/23.IN/MSV-163MS-647-650-ACA-EXE-DE-M1-001-R00.2.pdf</v>
      </c>
    </row>
    <row r="1398" spans="1:13" ht="43.2" hidden="1" x14ac:dyDescent="0.3">
      <c r="A1398" s="6" t="s">
        <v>5842</v>
      </c>
      <c r="B1398" s="6" t="str">
        <f>VLOOKUP(LD_01[[#This Row],[DOCUMENTO]],_xlfn.SORTBY(ARQUIVOS_RECEBIDOS!$E$2:$F$5010,ARQUIVOS_RECEBIDOS!$F$2:$F$5010,-1),2,)</f>
        <v>R00.2</v>
      </c>
      <c r="C1398" s="15" t="s">
        <v>5988</v>
      </c>
      <c r="D1398" s="6" t="s">
        <v>5914</v>
      </c>
      <c r="E1398" s="8" t="s">
        <v>5963</v>
      </c>
      <c r="F1398" s="8" t="s">
        <v>4333</v>
      </c>
      <c r="G1398" s="6" t="str">
        <f>_xlfn.XLOOKUP(LD_01[[#This Row],[DISCIPLINA]],'CLASSES DE PROJETOS'!$F$3:$F$37,'CLASSES DE PROJETOS'!$C$3:$C$37)</f>
        <v>IN</v>
      </c>
      <c r="H1398" s="6" t="str">
        <f>_xlfn.TEXTJOIN("/",TRUE,"MSV-163MS-"&amp;LD_01[[#This Row],[TRECHO]],_xlfn.XLOOKUP(LD_01[[#This Row],[SIGLA]],'CLASSES DE PROJETOS'!$C$3:$C$37,'CLASSES DE PROJETOS'!$E$3:$E$37))</f>
        <v>MSV-163MS-647-650/23.IN</v>
      </c>
      <c r="I1398" s="6" t="str" cm="1">
        <f t="array" ref="I1398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J1398" s="6" t="str" cm="1">
        <f t="array" ref="J1398">_xlfn.TEXTJOIN(", ",TRUE,_xlfn.UNIQUE(_xlfn._xlws.FILTER(ARQUIVOS_RECEBIDOS!$F$2:$F$5010,ARQUIVOS_RECEBIDOS!$E$2:$E$5010=LD_01[[#This Row],[DOCUMENTO]])))</f>
        <v>R00.2</v>
      </c>
      <c r="K1398" s="12" cm="1">
        <f t="array" ref="K1398">_xlfn.UNIQUE(_xlfn._xlws.FILTER(ARQUIVOS[DATA RECEBIMENTO],(ARQUIVOS[DOCUMENTO]=LD_01[[#This Row],[DOCUMENTO]])*(ARQUIVOS[REVISÃO]=LD_01[[#This Row],[REVISÃO]])))</f>
        <v>46043</v>
      </c>
      <c r="L13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M1398" s="6" t="str">
        <f>LD_01[[#This Row],[PASTA]]&amp;"/"&amp;LD_01[[#This Row],[ARQUIVO]]</f>
        <v>MSV-163MS-647-650/23.IN/MSV-163MS-647-650-ACA-EXE-DE-M1-002-R00.2.pdf</v>
      </c>
    </row>
    <row r="1399" spans="1:13" ht="43.2" hidden="1" x14ac:dyDescent="0.3">
      <c r="A1399" s="6" t="s">
        <v>5843</v>
      </c>
      <c r="B1399" s="6" t="str">
        <f>VLOOKUP(LD_01[[#This Row],[DOCUMENTO]],_xlfn.SORTBY(ARQUIVOS_RECEBIDOS!$E$2:$F$5010,ARQUIVOS_RECEBIDOS!$F$2:$F$5010,-1),2,)</f>
        <v>R00.2</v>
      </c>
      <c r="C1399" s="15" t="s">
        <v>5988</v>
      </c>
      <c r="D1399" s="6" t="s">
        <v>5914</v>
      </c>
      <c r="E1399" s="8" t="s">
        <v>5963</v>
      </c>
      <c r="F1399" s="8" t="s">
        <v>4333</v>
      </c>
      <c r="G1399" s="6" t="str">
        <f>_xlfn.XLOOKUP(LD_01[[#This Row],[DISCIPLINA]],'CLASSES DE PROJETOS'!$F$3:$F$37,'CLASSES DE PROJETOS'!$C$3:$C$37)</f>
        <v>IN</v>
      </c>
      <c r="H1399" s="6" t="str">
        <f>_xlfn.TEXTJOIN("/",TRUE,"MSV-163MS-"&amp;LD_01[[#This Row],[TRECHO]],_xlfn.XLOOKUP(LD_01[[#This Row],[SIGLA]],'CLASSES DE PROJETOS'!$C$3:$C$37,'CLASSES DE PROJETOS'!$E$3:$E$37))</f>
        <v>MSV-163MS-647-650/23.IN</v>
      </c>
      <c r="I1399" s="6" t="str" cm="1">
        <f t="array" ref="I1399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J1399" s="6" t="str" cm="1">
        <f t="array" ref="J1399">_xlfn.TEXTJOIN(", ",TRUE,_xlfn.UNIQUE(_xlfn._xlws.FILTER(ARQUIVOS_RECEBIDOS!$F$2:$F$5010,ARQUIVOS_RECEBIDOS!$E$2:$E$5010=LD_01[[#This Row],[DOCUMENTO]])))</f>
        <v>R00.2</v>
      </c>
      <c r="K1399" s="12" cm="1">
        <f t="array" ref="K1399">_xlfn.UNIQUE(_xlfn._xlws.FILTER(ARQUIVOS[DATA RECEBIMENTO],(ARQUIVOS[DOCUMENTO]=LD_01[[#This Row],[DOCUMENTO]])*(ARQUIVOS[REVISÃO]=LD_01[[#This Row],[REVISÃO]])))</f>
        <v>46043</v>
      </c>
      <c r="L13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M1399" s="6" t="str">
        <f>LD_01[[#This Row],[PASTA]]&amp;"/"&amp;LD_01[[#This Row],[ARQUIVO]]</f>
        <v>MSV-163MS-647-650/23.IN/MSV-163MS-647-650-ACA-EXE-DE-M1-003-R00.2.pdf</v>
      </c>
    </row>
    <row r="1400" spans="1:13" ht="28.8" hidden="1" x14ac:dyDescent="0.3">
      <c r="A1400" s="6" t="s">
        <v>5845</v>
      </c>
      <c r="B1400" s="6" t="str">
        <f>VLOOKUP(LD_01[[#This Row],[DOCUMENTO]],_xlfn.SORTBY(ARQUIVOS_RECEBIDOS!$E$2:$F$5010,ARQUIVOS_RECEBIDOS!$F$2:$F$5010,-1),2,)</f>
        <v>R00.3</v>
      </c>
      <c r="C1400" s="15" t="s">
        <v>5988</v>
      </c>
      <c r="D1400" s="6" t="s">
        <v>5914</v>
      </c>
      <c r="E1400" s="8" t="s">
        <v>5964</v>
      </c>
      <c r="F1400" s="8" t="s">
        <v>4334</v>
      </c>
      <c r="G1400" s="6" t="str">
        <f>_xlfn.XLOOKUP(LD_01[[#This Row],[DISCIPLINA]],'CLASSES DE PROJETOS'!$F$3:$F$37,'CLASSES DE PROJETOS'!$C$3:$C$37)</f>
        <v>PA</v>
      </c>
      <c r="H1400" s="6" t="str">
        <f>_xlfn.TEXTJOIN("/",TRUE,"MSV-163MS-"&amp;LD_01[[#This Row],[TRECHO]],_xlfn.XLOOKUP(LD_01[[#This Row],[SIGLA]],'CLASSES DE PROJETOS'!$C$3:$C$37,'CLASSES DE PROJETOS'!$E$3:$E$37))</f>
        <v>MSV-163MS-647-650/27.PA</v>
      </c>
      <c r="I1400" s="6" t="str" cm="1">
        <f t="array" ref="I1400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J1400" s="6" t="str" cm="1">
        <f t="array" ref="J1400">_xlfn.TEXTJOIN(", ",TRUE,_xlfn.UNIQUE(_xlfn._xlws.FILTER(ARQUIVOS_RECEBIDOS!$F$2:$F$5010,ARQUIVOS_RECEBIDOS!$E$2:$E$5010=LD_01[[#This Row],[DOCUMENTO]])))</f>
        <v>R00.3</v>
      </c>
      <c r="K1400" s="12" cm="1">
        <f t="array" ref="K1400">_xlfn.UNIQUE(_xlfn._xlws.FILTER(ARQUIVOS[DATA RECEBIMENTO],(ARQUIVOS[DOCUMENTO]=LD_01[[#This Row],[DOCUMENTO]])*(ARQUIVOS[REVISÃO]=LD_01[[#This Row],[REVISÃO]])))</f>
        <v>46043</v>
      </c>
      <c r="L14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M1400" s="6" t="str">
        <f>LD_01[[#This Row],[PASTA]]&amp;"/"&amp;LD_01[[#This Row],[ARQUIVO]]</f>
        <v>MSV-163MS-647-650/27.PA/MSV-163MS-647-650-ACA-EXE-DE-N2-001-R00.3.pdf</v>
      </c>
    </row>
    <row r="1401" spans="1:13" ht="28.8" hidden="1" x14ac:dyDescent="0.3">
      <c r="A1401" s="6" t="s">
        <v>5846</v>
      </c>
      <c r="B1401" s="6" t="str">
        <f>VLOOKUP(LD_01[[#This Row],[DOCUMENTO]],_xlfn.SORTBY(ARQUIVOS_RECEBIDOS!$E$2:$F$5010,ARQUIVOS_RECEBIDOS!$F$2:$F$5010,-1),2,)</f>
        <v>R00.3</v>
      </c>
      <c r="C1401" s="15" t="s">
        <v>5988</v>
      </c>
      <c r="D1401" s="6" t="s">
        <v>5914</v>
      </c>
      <c r="E1401" s="8" t="s">
        <v>5964</v>
      </c>
      <c r="F1401" s="8" t="s">
        <v>4334</v>
      </c>
      <c r="G1401" s="6" t="str">
        <f>_xlfn.XLOOKUP(LD_01[[#This Row],[DISCIPLINA]],'CLASSES DE PROJETOS'!$F$3:$F$37,'CLASSES DE PROJETOS'!$C$3:$C$37)</f>
        <v>PA</v>
      </c>
      <c r="H1401" s="6" t="str">
        <f>_xlfn.TEXTJOIN("/",TRUE,"MSV-163MS-"&amp;LD_01[[#This Row],[TRECHO]],_xlfn.XLOOKUP(LD_01[[#This Row],[SIGLA]],'CLASSES DE PROJETOS'!$C$3:$C$37,'CLASSES DE PROJETOS'!$E$3:$E$37))</f>
        <v>MSV-163MS-647-650/27.PA</v>
      </c>
      <c r="I1401" s="6" t="str" cm="1">
        <f t="array" ref="I1401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J1401" s="6" t="str" cm="1">
        <f t="array" ref="J1401">_xlfn.TEXTJOIN(", ",TRUE,_xlfn.UNIQUE(_xlfn._xlws.FILTER(ARQUIVOS_RECEBIDOS!$F$2:$F$5010,ARQUIVOS_RECEBIDOS!$E$2:$E$5010=LD_01[[#This Row],[DOCUMENTO]])))</f>
        <v>R00.3</v>
      </c>
      <c r="K1401" s="12" cm="1">
        <f t="array" ref="K1401">_xlfn.UNIQUE(_xlfn._xlws.FILTER(ARQUIVOS[DATA RECEBIMENTO],(ARQUIVOS[DOCUMENTO]=LD_01[[#This Row],[DOCUMENTO]])*(ARQUIVOS[REVISÃO]=LD_01[[#This Row],[REVISÃO]])))</f>
        <v>46043</v>
      </c>
      <c r="L14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M1401" s="6" t="str">
        <f>LD_01[[#This Row],[PASTA]]&amp;"/"&amp;LD_01[[#This Row],[ARQUIVO]]</f>
        <v>MSV-163MS-647-650/27.PA/MSV-163MS-647-650-ACA-EXE-DE-N2-002-R00.3.pdf</v>
      </c>
    </row>
    <row r="1402" spans="1:13" ht="28.8" hidden="1" x14ac:dyDescent="0.3">
      <c r="A1402" s="6" t="s">
        <v>5847</v>
      </c>
      <c r="B1402" s="6" t="str">
        <f>VLOOKUP(LD_01[[#This Row],[DOCUMENTO]],_xlfn.SORTBY(ARQUIVOS_RECEBIDOS!$E$2:$F$5010,ARQUIVOS_RECEBIDOS!$F$2:$F$5010,-1),2,)</f>
        <v>R00.3</v>
      </c>
      <c r="C1402" s="15" t="s">
        <v>5988</v>
      </c>
      <c r="D1402" s="6" t="s">
        <v>5914</v>
      </c>
      <c r="E1402" s="8" t="s">
        <v>5964</v>
      </c>
      <c r="F1402" s="8" t="s">
        <v>4334</v>
      </c>
      <c r="G1402" s="6" t="str">
        <f>_xlfn.XLOOKUP(LD_01[[#This Row],[DISCIPLINA]],'CLASSES DE PROJETOS'!$F$3:$F$37,'CLASSES DE PROJETOS'!$C$3:$C$37)</f>
        <v>PA</v>
      </c>
      <c r="H1402" s="6" t="str">
        <f>_xlfn.TEXTJOIN("/",TRUE,"MSV-163MS-"&amp;LD_01[[#This Row],[TRECHO]],_xlfn.XLOOKUP(LD_01[[#This Row],[SIGLA]],'CLASSES DE PROJETOS'!$C$3:$C$37,'CLASSES DE PROJETOS'!$E$3:$E$37))</f>
        <v>MSV-163MS-647-650/27.PA</v>
      </c>
      <c r="I1402" s="6" t="str" cm="1">
        <f t="array" ref="I1402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J1402" s="6" t="str" cm="1">
        <f t="array" ref="J1402">_xlfn.TEXTJOIN(", ",TRUE,_xlfn.UNIQUE(_xlfn._xlws.FILTER(ARQUIVOS_RECEBIDOS!$F$2:$F$5010,ARQUIVOS_RECEBIDOS!$E$2:$E$5010=LD_01[[#This Row],[DOCUMENTO]])))</f>
        <v>R00.3</v>
      </c>
      <c r="K1402" s="12" cm="1">
        <f t="array" ref="K1402">_xlfn.UNIQUE(_xlfn._xlws.FILTER(ARQUIVOS[DATA RECEBIMENTO],(ARQUIVOS[DOCUMENTO]=LD_01[[#This Row],[DOCUMENTO]])*(ARQUIVOS[REVISÃO]=LD_01[[#This Row],[REVISÃO]])))</f>
        <v>46043</v>
      </c>
      <c r="L14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M1402" s="6" t="str">
        <f>LD_01[[#This Row],[PASTA]]&amp;"/"&amp;LD_01[[#This Row],[ARQUIVO]]</f>
        <v>MSV-163MS-647-650/27.PA/MSV-163MS-647-650-ACA-EXE-DE-N2-003-R00.3.pdf</v>
      </c>
    </row>
    <row r="1403" spans="1:13" ht="28.8" hidden="1" x14ac:dyDescent="0.3">
      <c r="A1403" s="6" t="s">
        <v>5849</v>
      </c>
      <c r="B1403" s="6" t="str">
        <f>VLOOKUP(LD_01[[#This Row],[DOCUMENTO]],_xlfn.SORTBY(ARQUIVOS_RECEBIDOS!$E$2:$F$5010,ARQUIVOS_RECEBIDOS!$F$2:$F$5010,-1),2,)</f>
        <v>R00.1</v>
      </c>
      <c r="C1403" s="15" t="s">
        <v>5988</v>
      </c>
      <c r="D1403" s="6" t="s">
        <v>5914</v>
      </c>
      <c r="E1403" s="8" t="s">
        <v>5965</v>
      </c>
      <c r="F1403" s="8" t="s">
        <v>4334</v>
      </c>
      <c r="G1403" s="6" t="str">
        <f>_xlfn.XLOOKUP(LD_01[[#This Row],[DISCIPLINA]],'CLASSES DE PROJETOS'!$F$3:$F$37,'CLASSES DE PROJETOS'!$C$3:$C$37)</f>
        <v>PA</v>
      </c>
      <c r="H1403" s="6" t="str">
        <f>_xlfn.TEXTJOIN("/",TRUE,"MSV-163MS-"&amp;LD_01[[#This Row],[TRECHO]],_xlfn.XLOOKUP(LD_01[[#This Row],[SIGLA]],'CLASSES DE PROJETOS'!$C$3:$C$37,'CLASSES DE PROJETOS'!$E$3:$E$37))</f>
        <v>MSV-163MS-647-650/27.PA</v>
      </c>
      <c r="I1403" s="6" t="str" cm="1">
        <f t="array" ref="I1403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J1403" s="6" t="str" cm="1">
        <f t="array" ref="J1403">_xlfn.TEXTJOIN(", ",TRUE,_xlfn.UNIQUE(_xlfn._xlws.FILTER(ARQUIVOS_RECEBIDOS!$F$2:$F$5010,ARQUIVOS_RECEBIDOS!$E$2:$E$5010=LD_01[[#This Row],[DOCUMENTO]])))</f>
        <v>R00.1</v>
      </c>
      <c r="K1403" s="12" cm="1">
        <f t="array" ref="K1403">_xlfn.UNIQUE(_xlfn._xlws.FILTER(ARQUIVOS[DATA RECEBIMENTO],(ARQUIVOS[DOCUMENTO]=LD_01[[#This Row],[DOCUMENTO]])*(ARQUIVOS[REVISÃO]=LD_01[[#This Row],[REVISÃO]])))</f>
        <v>46043</v>
      </c>
      <c r="L14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M1403" s="6" t="str">
        <f>LD_01[[#This Row],[PASTA]]&amp;"/"&amp;LD_01[[#This Row],[ARQUIVO]]</f>
        <v>MSV-163MS-647-650/27.PA/MSV-163MS-647-650-ACA-EXE-DE-N2-004-R00.1.pdf</v>
      </c>
    </row>
    <row r="1404" spans="1:13" ht="28.8" hidden="1" x14ac:dyDescent="0.3">
      <c r="A1404" s="6" t="s">
        <v>5850</v>
      </c>
      <c r="B1404" s="6" t="str">
        <f>VLOOKUP(LD_01[[#This Row],[DOCUMENTO]],_xlfn.SORTBY(ARQUIVOS_RECEBIDOS!$E$2:$F$5010,ARQUIVOS_RECEBIDOS!$F$2:$F$5010,-1),2,)</f>
        <v>R00.1</v>
      </c>
      <c r="C1404" s="15" t="s">
        <v>5988</v>
      </c>
      <c r="D1404" s="6" t="s">
        <v>5914</v>
      </c>
      <c r="E1404" s="8" t="s">
        <v>5965</v>
      </c>
      <c r="F1404" s="8" t="s">
        <v>4334</v>
      </c>
      <c r="G1404" s="6" t="str">
        <f>_xlfn.XLOOKUP(LD_01[[#This Row],[DISCIPLINA]],'CLASSES DE PROJETOS'!$F$3:$F$37,'CLASSES DE PROJETOS'!$C$3:$C$37)</f>
        <v>PA</v>
      </c>
      <c r="H1404" s="6" t="str">
        <f>_xlfn.TEXTJOIN("/",TRUE,"MSV-163MS-"&amp;LD_01[[#This Row],[TRECHO]],_xlfn.XLOOKUP(LD_01[[#This Row],[SIGLA]],'CLASSES DE PROJETOS'!$C$3:$C$37,'CLASSES DE PROJETOS'!$E$3:$E$37))</f>
        <v>MSV-163MS-647-650/27.PA</v>
      </c>
      <c r="I1404" s="6" t="str" cm="1">
        <f t="array" ref="I1404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J1404" s="6" t="str" cm="1">
        <f t="array" ref="J1404">_xlfn.TEXTJOIN(", ",TRUE,_xlfn.UNIQUE(_xlfn._xlws.FILTER(ARQUIVOS_RECEBIDOS!$F$2:$F$5010,ARQUIVOS_RECEBIDOS!$E$2:$E$5010=LD_01[[#This Row],[DOCUMENTO]])))</f>
        <v>R00.1</v>
      </c>
      <c r="K1404" s="12" cm="1">
        <f t="array" ref="K1404">_xlfn.UNIQUE(_xlfn._xlws.FILTER(ARQUIVOS[DATA RECEBIMENTO],(ARQUIVOS[DOCUMENTO]=LD_01[[#This Row],[DOCUMENTO]])*(ARQUIVOS[REVISÃO]=LD_01[[#This Row],[REVISÃO]])))</f>
        <v>46043</v>
      </c>
      <c r="L14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M1404" s="6" t="str">
        <f>LD_01[[#This Row],[PASTA]]&amp;"/"&amp;LD_01[[#This Row],[ARQUIVO]]</f>
        <v>MSV-163MS-647-650/27.PA/MSV-163MS-647-650-ACA-EXE-DE-N2-005-R00.1.pdf</v>
      </c>
    </row>
    <row r="1405" spans="1:13" hidden="1" x14ac:dyDescent="0.3">
      <c r="A1405" s="6" t="s">
        <v>5904</v>
      </c>
      <c r="B1405" s="6" t="str">
        <f>VLOOKUP(LD_01[[#This Row],[DOCUMENTO]],_xlfn.SORTBY(ARQUIVOS_RECEBIDOS!$E$2:$F$5010,ARQUIVOS_RECEBIDOS!$F$2:$F$5010,-1),2,)</f>
        <v>R00.0</v>
      </c>
      <c r="C1405" s="15" t="s">
        <v>5988</v>
      </c>
      <c r="D1405" s="6" t="s">
        <v>5914</v>
      </c>
      <c r="E1405" s="8" t="s">
        <v>5966</v>
      </c>
      <c r="F1405" s="8" t="s">
        <v>4142</v>
      </c>
      <c r="G1405" s="6" t="str">
        <f>_xlfn.XLOOKUP(LD_01[[#This Row],[DISCIPLINA]],'CLASSES DE PROJETOS'!$F$3:$F$37,'CLASSES DE PROJETOS'!$C$3:$C$37)</f>
        <v>DR</v>
      </c>
      <c r="H1405" s="6" t="str">
        <f>_xlfn.TEXTJOIN("/",TRUE,"MSV-163MS-"&amp;LD_01[[#This Row],[TRECHO]],_xlfn.XLOOKUP(LD_01[[#This Row],[SIGLA]],'CLASSES DE PROJETOS'!$C$3:$C$37,'CLASSES DE PROJETOS'!$E$3:$E$37))</f>
        <v>MSV-163MS-647-650/10.DR</v>
      </c>
      <c r="I1405" s="6" t="str" cm="1">
        <f t="array" ref="I1405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J1405" s="6" t="str" cm="1">
        <f t="array" ref="J1405">_xlfn.TEXTJOIN(", ",TRUE,_xlfn.UNIQUE(_xlfn._xlws.FILTER(ARQUIVOS_RECEBIDOS!$F$2:$F$5010,ARQUIVOS_RECEBIDOS!$E$2:$E$5010=LD_01[[#This Row],[DOCUMENTO]])))</f>
        <v>R00.0</v>
      </c>
      <c r="K1405" s="12" cm="1">
        <f t="array" ref="K1405">_xlfn.UNIQUE(_xlfn._xlws.FILTER(ARQUIVOS[DATA RECEBIMENTO],(ARQUIVOS[DOCUMENTO]=LD_01[[#This Row],[DOCUMENTO]])*(ARQUIVOS[REVISÃO]=LD_01[[#This Row],[REVISÃO]])))</f>
        <v>46043</v>
      </c>
      <c r="L14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M1405" s="6" t="str">
        <f>LD_01[[#This Row],[PASTA]]&amp;"/"&amp;LD_01[[#This Row],[ARQUIVO]]</f>
        <v>MSV-163MS-647-650/10.DR/MSV-163MS-647-650-ACA-EXE-DE-N2-100-R00.0.pdf</v>
      </c>
    </row>
    <row r="1406" spans="1:13" hidden="1" x14ac:dyDescent="0.3">
      <c r="A1406" s="6" t="s">
        <v>5905</v>
      </c>
      <c r="B1406" s="6" t="str">
        <f>VLOOKUP(LD_01[[#This Row],[DOCUMENTO]],_xlfn.SORTBY(ARQUIVOS_RECEBIDOS!$E$2:$F$5010,ARQUIVOS_RECEBIDOS!$F$2:$F$5010,-1),2,)</f>
        <v>R00.0</v>
      </c>
      <c r="C1406" s="15" t="s">
        <v>5988</v>
      </c>
      <c r="D1406" s="6" t="s">
        <v>5914</v>
      </c>
      <c r="E1406" s="8" t="s">
        <v>5967</v>
      </c>
      <c r="F1406" s="8" t="s">
        <v>4142</v>
      </c>
      <c r="G1406" s="6" t="str">
        <f>_xlfn.XLOOKUP(LD_01[[#This Row],[DISCIPLINA]],'CLASSES DE PROJETOS'!$F$3:$F$37,'CLASSES DE PROJETOS'!$C$3:$C$37)</f>
        <v>DR</v>
      </c>
      <c r="H1406" s="6" t="str">
        <f>_xlfn.TEXTJOIN("/",TRUE,"MSV-163MS-"&amp;LD_01[[#This Row],[TRECHO]],_xlfn.XLOOKUP(LD_01[[#This Row],[SIGLA]],'CLASSES DE PROJETOS'!$C$3:$C$37,'CLASSES DE PROJETOS'!$E$3:$E$37))</f>
        <v>MSV-163MS-647-650/10.DR</v>
      </c>
      <c r="I1406" s="6" t="str" cm="1">
        <f t="array" ref="I1406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J1406" s="6" t="str" cm="1">
        <f t="array" ref="J1406">_xlfn.TEXTJOIN(", ",TRUE,_xlfn.UNIQUE(_xlfn._xlws.FILTER(ARQUIVOS_RECEBIDOS!$F$2:$F$5010,ARQUIVOS_RECEBIDOS!$E$2:$E$5010=LD_01[[#This Row],[DOCUMENTO]])))</f>
        <v>R00.0</v>
      </c>
      <c r="K1406" s="12" cm="1">
        <f t="array" ref="K1406">_xlfn.UNIQUE(_xlfn._xlws.FILTER(ARQUIVOS[DATA RECEBIMENTO],(ARQUIVOS[DOCUMENTO]=LD_01[[#This Row],[DOCUMENTO]])*(ARQUIVOS[REVISÃO]=LD_01[[#This Row],[REVISÃO]])))</f>
        <v>46043</v>
      </c>
      <c r="L14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M1406" s="6" t="str">
        <f>LD_01[[#This Row],[PASTA]]&amp;"/"&amp;LD_01[[#This Row],[ARQUIVO]]</f>
        <v>MSV-163MS-647-650/10.DR/MSV-163MS-647-650-ACA-EXE-DE-N2-101-R00.0.pdf</v>
      </c>
    </row>
    <row r="1407" spans="1:13" ht="43.2" hidden="1" x14ac:dyDescent="0.3">
      <c r="A1407" s="6" t="s">
        <v>5769</v>
      </c>
      <c r="B1407" s="6" t="str">
        <f>VLOOKUP(LD_01[[#This Row],[DOCUMENTO]],_xlfn.SORTBY(ARQUIVOS_RECEBIDOS!$E$2:$F$5010,ARQUIVOS_RECEBIDOS!$F$2:$F$5010,-1),2,)</f>
        <v>R00.3</v>
      </c>
      <c r="C1407" s="15" t="s">
        <v>5988</v>
      </c>
      <c r="D1407" s="6" t="s">
        <v>5914</v>
      </c>
      <c r="E1407" s="8" t="s">
        <v>5968</v>
      </c>
      <c r="F1407" s="8" t="s">
        <v>4144</v>
      </c>
      <c r="G1407" s="6" t="str">
        <f>_xlfn.XLOOKUP(LD_01[[#This Row],[DISCIPLINA]],'CLASSES DE PROJETOS'!$F$3:$F$37,'CLASSES DE PROJETOS'!$C$3:$C$37)</f>
        <v>DV</v>
      </c>
      <c r="H1407" s="6" t="str">
        <f>_xlfn.TEXTJOIN("/",TRUE,"MSV-163MS-"&amp;LD_01[[#This Row],[TRECHO]],_xlfn.XLOOKUP(LD_01[[#This Row],[SIGLA]],'CLASSES DE PROJETOS'!$C$3:$C$37,'CLASSES DE PROJETOS'!$E$3:$E$37))</f>
        <v>MSV-163MS-647-650/12.DV</v>
      </c>
      <c r="I1407" s="6" t="str" cm="1">
        <f t="array" ref="I1407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J1407" s="6" t="str" cm="1">
        <f t="array" ref="J1407">_xlfn.TEXTJOIN(", ",TRUE,_xlfn.UNIQUE(_xlfn._xlws.FILTER(ARQUIVOS_RECEBIDOS!$F$2:$F$5010,ARQUIVOS_RECEBIDOS!$E$2:$E$5010=LD_01[[#This Row],[DOCUMENTO]])))</f>
        <v>R00.3</v>
      </c>
      <c r="K1407" s="12" cm="1">
        <f t="array" ref="K1407">_xlfn.UNIQUE(_xlfn._xlws.FILTER(ARQUIVOS[DATA RECEBIMENTO],(ARQUIVOS[DOCUMENTO]=LD_01[[#This Row],[DOCUMENTO]])*(ARQUIVOS[REVISÃO]=LD_01[[#This Row],[REVISÃO]])))</f>
        <v>46043</v>
      </c>
      <c r="L14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M1407" s="6" t="str">
        <f>LD_01[[#This Row],[PASTA]]&amp;"/"&amp;LD_01[[#This Row],[ARQUIVO]]</f>
        <v>MSV-163MS-647-650/12.DV/MSV-163MS-647-650-ACA-EXE-DE-O2-001-R00.3.pdf</v>
      </c>
    </row>
    <row r="1408" spans="1:13" ht="43.2" hidden="1" x14ac:dyDescent="0.3">
      <c r="A1408" s="6" t="s">
        <v>5770</v>
      </c>
      <c r="B1408" s="6" t="str">
        <f>VLOOKUP(LD_01[[#This Row],[DOCUMENTO]],_xlfn.SORTBY(ARQUIVOS_RECEBIDOS!$E$2:$F$5010,ARQUIVOS_RECEBIDOS!$F$2:$F$5010,-1),2,)</f>
        <v>R00.3</v>
      </c>
      <c r="C1408" s="15" t="s">
        <v>5988</v>
      </c>
      <c r="D1408" s="6" t="s">
        <v>5914</v>
      </c>
      <c r="E1408" s="8" t="s">
        <v>5968</v>
      </c>
      <c r="F1408" s="8" t="s">
        <v>4144</v>
      </c>
      <c r="G1408" s="6" t="str">
        <f>_xlfn.XLOOKUP(LD_01[[#This Row],[DISCIPLINA]],'CLASSES DE PROJETOS'!$F$3:$F$37,'CLASSES DE PROJETOS'!$C$3:$C$37)</f>
        <v>DV</v>
      </c>
      <c r="H1408" s="6" t="str">
        <f>_xlfn.TEXTJOIN("/",TRUE,"MSV-163MS-"&amp;LD_01[[#This Row],[TRECHO]],_xlfn.XLOOKUP(LD_01[[#This Row],[SIGLA]],'CLASSES DE PROJETOS'!$C$3:$C$37,'CLASSES DE PROJETOS'!$E$3:$E$37))</f>
        <v>MSV-163MS-647-650/12.DV</v>
      </c>
      <c r="I1408" s="6" t="str" cm="1">
        <f t="array" ref="I1408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J1408" s="6" t="str" cm="1">
        <f t="array" ref="J1408">_xlfn.TEXTJOIN(", ",TRUE,_xlfn.UNIQUE(_xlfn._xlws.FILTER(ARQUIVOS_RECEBIDOS!$F$2:$F$5010,ARQUIVOS_RECEBIDOS!$E$2:$E$5010=LD_01[[#This Row],[DOCUMENTO]])))</f>
        <v>R00.3</v>
      </c>
      <c r="K1408" s="12" cm="1">
        <f t="array" ref="K1408">_xlfn.UNIQUE(_xlfn._xlws.FILTER(ARQUIVOS[DATA RECEBIMENTO],(ARQUIVOS[DOCUMENTO]=LD_01[[#This Row],[DOCUMENTO]])*(ARQUIVOS[REVISÃO]=LD_01[[#This Row],[REVISÃO]])))</f>
        <v>46043</v>
      </c>
      <c r="L14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M1408" s="6" t="str">
        <f>LD_01[[#This Row],[PASTA]]&amp;"/"&amp;LD_01[[#This Row],[ARQUIVO]]</f>
        <v>MSV-163MS-647-650/12.DV/MSV-163MS-647-650-ACA-EXE-DE-O2-002-R00.3.pdf</v>
      </c>
    </row>
    <row r="1409" spans="1:13" ht="43.2" hidden="1" x14ac:dyDescent="0.3">
      <c r="A1409" s="6" t="s">
        <v>5771</v>
      </c>
      <c r="B1409" s="6" t="str">
        <f>VLOOKUP(LD_01[[#This Row],[DOCUMENTO]],_xlfn.SORTBY(ARQUIVOS_RECEBIDOS!$E$2:$F$5010,ARQUIVOS_RECEBIDOS!$F$2:$F$5010,-1),2,)</f>
        <v>R00.3</v>
      </c>
      <c r="C1409" s="15" t="s">
        <v>5988</v>
      </c>
      <c r="D1409" s="6" t="s">
        <v>5914</v>
      </c>
      <c r="E1409" s="8" t="s">
        <v>5968</v>
      </c>
      <c r="F1409" s="8" t="s">
        <v>4144</v>
      </c>
      <c r="G1409" s="6" t="str">
        <f>_xlfn.XLOOKUP(LD_01[[#This Row],[DISCIPLINA]],'CLASSES DE PROJETOS'!$F$3:$F$37,'CLASSES DE PROJETOS'!$C$3:$C$37)</f>
        <v>DV</v>
      </c>
      <c r="H1409" s="6" t="str">
        <f>_xlfn.TEXTJOIN("/",TRUE,"MSV-163MS-"&amp;LD_01[[#This Row],[TRECHO]],_xlfn.XLOOKUP(LD_01[[#This Row],[SIGLA]],'CLASSES DE PROJETOS'!$C$3:$C$37,'CLASSES DE PROJETOS'!$E$3:$E$37))</f>
        <v>MSV-163MS-647-650/12.DV</v>
      </c>
      <c r="I1409" s="6" t="str" cm="1">
        <f t="array" ref="I1409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J1409" s="6" t="str" cm="1">
        <f t="array" ref="J1409">_xlfn.TEXTJOIN(", ",TRUE,_xlfn.UNIQUE(_xlfn._xlws.FILTER(ARQUIVOS_RECEBIDOS!$F$2:$F$5010,ARQUIVOS_RECEBIDOS!$E$2:$E$5010=LD_01[[#This Row],[DOCUMENTO]])))</f>
        <v>R00.3</v>
      </c>
      <c r="K1409" s="12" cm="1">
        <f t="array" ref="K1409">_xlfn.UNIQUE(_xlfn._xlws.FILTER(ARQUIVOS[DATA RECEBIMENTO],(ARQUIVOS[DOCUMENTO]=LD_01[[#This Row],[DOCUMENTO]])*(ARQUIVOS[REVISÃO]=LD_01[[#This Row],[REVISÃO]])))</f>
        <v>46043</v>
      </c>
      <c r="L14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M1409" s="6" t="str">
        <f>LD_01[[#This Row],[PASTA]]&amp;"/"&amp;LD_01[[#This Row],[ARQUIVO]]</f>
        <v>MSV-163MS-647-650/12.DV/MSV-163MS-647-650-ACA-EXE-DE-O2-003-R00.3.pdf</v>
      </c>
    </row>
    <row r="1410" spans="1:13" ht="43.2" hidden="1" x14ac:dyDescent="0.3">
      <c r="A1410" s="6" t="s">
        <v>5772</v>
      </c>
      <c r="B1410" s="6" t="str">
        <f>VLOOKUP(LD_01[[#This Row],[DOCUMENTO]],_xlfn.SORTBY(ARQUIVOS_RECEBIDOS!$E$2:$F$5010,ARQUIVOS_RECEBIDOS!$F$2:$F$5010,-1),2,)</f>
        <v>R00.3</v>
      </c>
      <c r="C1410" s="15" t="s">
        <v>5988</v>
      </c>
      <c r="D1410" s="6" t="s">
        <v>5914</v>
      </c>
      <c r="E1410" s="8" t="s">
        <v>5968</v>
      </c>
      <c r="F1410" s="8" t="s">
        <v>4144</v>
      </c>
      <c r="G1410" s="6" t="str">
        <f>_xlfn.XLOOKUP(LD_01[[#This Row],[DISCIPLINA]],'CLASSES DE PROJETOS'!$F$3:$F$37,'CLASSES DE PROJETOS'!$C$3:$C$37)</f>
        <v>DV</v>
      </c>
      <c r="H1410" s="6" t="str">
        <f>_xlfn.TEXTJOIN("/",TRUE,"MSV-163MS-"&amp;LD_01[[#This Row],[TRECHO]],_xlfn.XLOOKUP(LD_01[[#This Row],[SIGLA]],'CLASSES DE PROJETOS'!$C$3:$C$37,'CLASSES DE PROJETOS'!$E$3:$E$37))</f>
        <v>MSV-163MS-647-650/12.DV</v>
      </c>
      <c r="I1410" s="6" t="str" cm="1">
        <f t="array" ref="I1410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J1410" s="6" t="str" cm="1">
        <f t="array" ref="J1410">_xlfn.TEXTJOIN(", ",TRUE,_xlfn.UNIQUE(_xlfn._xlws.FILTER(ARQUIVOS_RECEBIDOS!$F$2:$F$5010,ARQUIVOS_RECEBIDOS!$E$2:$E$5010=LD_01[[#This Row],[DOCUMENTO]])))</f>
        <v>R00.3</v>
      </c>
      <c r="K1410" s="12" cm="1">
        <f t="array" ref="K1410">_xlfn.UNIQUE(_xlfn._xlws.FILTER(ARQUIVOS[DATA RECEBIMENTO],(ARQUIVOS[DOCUMENTO]=LD_01[[#This Row],[DOCUMENTO]])*(ARQUIVOS[REVISÃO]=LD_01[[#This Row],[REVISÃO]])))</f>
        <v>46043</v>
      </c>
      <c r="L14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M1410" s="6" t="str">
        <f>LD_01[[#This Row],[PASTA]]&amp;"/"&amp;LD_01[[#This Row],[ARQUIVO]]</f>
        <v>MSV-163MS-647-650/12.DV/MSV-163MS-647-650-ACA-EXE-DE-O2-004-R00.3.pdf</v>
      </c>
    </row>
    <row r="1411" spans="1:13" ht="43.2" hidden="1" x14ac:dyDescent="0.3">
      <c r="A1411" s="6" t="s">
        <v>5773</v>
      </c>
      <c r="B1411" s="6" t="str">
        <f>VLOOKUP(LD_01[[#This Row],[DOCUMENTO]],_xlfn.SORTBY(ARQUIVOS_RECEBIDOS!$E$2:$F$5010,ARQUIVOS_RECEBIDOS!$F$2:$F$5010,-1),2,)</f>
        <v>R00.3</v>
      </c>
      <c r="C1411" s="15" t="s">
        <v>5988</v>
      </c>
      <c r="D1411" s="6" t="s">
        <v>5914</v>
      </c>
      <c r="E1411" s="8" t="s">
        <v>5968</v>
      </c>
      <c r="F1411" s="8" t="s">
        <v>4144</v>
      </c>
      <c r="G1411" s="6" t="str">
        <f>_xlfn.XLOOKUP(LD_01[[#This Row],[DISCIPLINA]],'CLASSES DE PROJETOS'!$F$3:$F$37,'CLASSES DE PROJETOS'!$C$3:$C$37)</f>
        <v>DV</v>
      </c>
      <c r="H1411" s="6" t="str">
        <f>_xlfn.TEXTJOIN("/",TRUE,"MSV-163MS-"&amp;LD_01[[#This Row],[TRECHO]],_xlfn.XLOOKUP(LD_01[[#This Row],[SIGLA]],'CLASSES DE PROJETOS'!$C$3:$C$37,'CLASSES DE PROJETOS'!$E$3:$E$37))</f>
        <v>MSV-163MS-647-650/12.DV</v>
      </c>
      <c r="I1411" s="6" t="str" cm="1">
        <f t="array" ref="I1411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J1411" s="6" t="str" cm="1">
        <f t="array" ref="J1411">_xlfn.TEXTJOIN(", ",TRUE,_xlfn.UNIQUE(_xlfn._xlws.FILTER(ARQUIVOS_RECEBIDOS!$F$2:$F$5010,ARQUIVOS_RECEBIDOS!$E$2:$E$5010=LD_01[[#This Row],[DOCUMENTO]])))</f>
        <v>R00.3</v>
      </c>
      <c r="K1411" s="12" cm="1">
        <f t="array" ref="K1411">_xlfn.UNIQUE(_xlfn._xlws.FILTER(ARQUIVOS[DATA RECEBIMENTO],(ARQUIVOS[DOCUMENTO]=LD_01[[#This Row],[DOCUMENTO]])*(ARQUIVOS[REVISÃO]=LD_01[[#This Row],[REVISÃO]])))</f>
        <v>46043</v>
      </c>
      <c r="L14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M1411" s="6" t="str">
        <f>LD_01[[#This Row],[PASTA]]&amp;"/"&amp;LD_01[[#This Row],[ARQUIVO]]</f>
        <v>MSV-163MS-647-650/12.DV/MSV-163MS-647-650-ACA-EXE-DE-O2-005-R00.3.pdf</v>
      </c>
    </row>
    <row r="1412" spans="1:13" ht="43.2" hidden="1" x14ac:dyDescent="0.3">
      <c r="A1412" s="6" t="s">
        <v>5774</v>
      </c>
      <c r="B1412" s="6" t="str">
        <f>VLOOKUP(LD_01[[#This Row],[DOCUMENTO]],_xlfn.SORTBY(ARQUIVOS_RECEBIDOS!$E$2:$F$5010,ARQUIVOS_RECEBIDOS!$F$2:$F$5010,-1),2,)</f>
        <v>R00.3</v>
      </c>
      <c r="C1412" s="15" t="s">
        <v>5988</v>
      </c>
      <c r="D1412" s="6" t="s">
        <v>5914</v>
      </c>
      <c r="E1412" s="8" t="s">
        <v>5968</v>
      </c>
      <c r="F1412" s="8" t="s">
        <v>4144</v>
      </c>
      <c r="G1412" s="6" t="str">
        <f>_xlfn.XLOOKUP(LD_01[[#This Row],[DISCIPLINA]],'CLASSES DE PROJETOS'!$F$3:$F$37,'CLASSES DE PROJETOS'!$C$3:$C$37)</f>
        <v>DV</v>
      </c>
      <c r="H1412" s="6" t="str">
        <f>_xlfn.TEXTJOIN("/",TRUE,"MSV-163MS-"&amp;LD_01[[#This Row],[TRECHO]],_xlfn.XLOOKUP(LD_01[[#This Row],[SIGLA]],'CLASSES DE PROJETOS'!$C$3:$C$37,'CLASSES DE PROJETOS'!$E$3:$E$37))</f>
        <v>MSV-163MS-647-650/12.DV</v>
      </c>
      <c r="I1412" s="6" t="str" cm="1">
        <f t="array" ref="I1412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J1412" s="6" t="str" cm="1">
        <f t="array" ref="J1412">_xlfn.TEXTJOIN(", ",TRUE,_xlfn.UNIQUE(_xlfn._xlws.FILTER(ARQUIVOS_RECEBIDOS!$F$2:$F$5010,ARQUIVOS_RECEBIDOS!$E$2:$E$5010=LD_01[[#This Row],[DOCUMENTO]])))</f>
        <v>R00.3</v>
      </c>
      <c r="K1412" s="12" cm="1">
        <f t="array" ref="K1412">_xlfn.UNIQUE(_xlfn._xlws.FILTER(ARQUIVOS[DATA RECEBIMENTO],(ARQUIVOS[DOCUMENTO]=LD_01[[#This Row],[DOCUMENTO]])*(ARQUIVOS[REVISÃO]=LD_01[[#This Row],[REVISÃO]])))</f>
        <v>46043</v>
      </c>
      <c r="L14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M1412" s="6" t="str">
        <f>LD_01[[#This Row],[PASTA]]&amp;"/"&amp;LD_01[[#This Row],[ARQUIVO]]</f>
        <v>MSV-163MS-647-650/12.DV/MSV-163MS-647-650-ACA-EXE-DE-O2-006-R00.3.pdf</v>
      </c>
    </row>
    <row r="1413" spans="1:13" ht="28.8" hidden="1" x14ac:dyDescent="0.3">
      <c r="A1413" s="6" t="s">
        <v>5775</v>
      </c>
      <c r="B1413" s="6" t="str">
        <f>VLOOKUP(LD_01[[#This Row],[DOCUMENTO]],_xlfn.SORTBY(ARQUIVOS_RECEBIDOS!$E$2:$F$5010,ARQUIVOS_RECEBIDOS!$F$2:$F$5010,-1),2,)</f>
        <v>R00.3</v>
      </c>
      <c r="C1413" s="15" t="s">
        <v>5988</v>
      </c>
      <c r="D1413" s="6" t="s">
        <v>5914</v>
      </c>
      <c r="E1413" s="8" t="s">
        <v>5969</v>
      </c>
      <c r="F1413" s="8" t="s">
        <v>4144</v>
      </c>
      <c r="G1413" s="6" t="str">
        <f>_xlfn.XLOOKUP(LD_01[[#This Row],[DISCIPLINA]],'CLASSES DE PROJETOS'!$F$3:$F$37,'CLASSES DE PROJETOS'!$C$3:$C$37)</f>
        <v>DV</v>
      </c>
      <c r="H1413" s="6" t="str">
        <f>_xlfn.TEXTJOIN("/",TRUE,"MSV-163MS-"&amp;LD_01[[#This Row],[TRECHO]],_xlfn.XLOOKUP(LD_01[[#This Row],[SIGLA]],'CLASSES DE PROJETOS'!$C$3:$C$37,'CLASSES DE PROJETOS'!$E$3:$E$37))</f>
        <v>MSV-163MS-647-650/12.DV</v>
      </c>
      <c r="I1413" s="6" t="str" cm="1">
        <f t="array" ref="I1413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J1413" s="6" t="str" cm="1">
        <f t="array" ref="J1413">_xlfn.TEXTJOIN(", ",TRUE,_xlfn.UNIQUE(_xlfn._xlws.FILTER(ARQUIVOS_RECEBIDOS!$F$2:$F$5010,ARQUIVOS_RECEBIDOS!$E$2:$E$5010=LD_01[[#This Row],[DOCUMENTO]])))</f>
        <v>R00.3</v>
      </c>
      <c r="K1413" s="12" cm="1">
        <f t="array" ref="K1413">_xlfn.UNIQUE(_xlfn._xlws.FILTER(ARQUIVOS[DATA RECEBIMENTO],(ARQUIVOS[DOCUMENTO]=LD_01[[#This Row],[DOCUMENTO]])*(ARQUIVOS[REVISÃO]=LD_01[[#This Row],[REVISÃO]])))</f>
        <v>46043</v>
      </c>
      <c r="L14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M1413" s="6" t="str">
        <f>LD_01[[#This Row],[PASTA]]&amp;"/"&amp;LD_01[[#This Row],[ARQUIVO]]</f>
        <v>MSV-163MS-647-650/12.DV/MSV-163MS-647-650-ACA-EXE-DE-O2-007-R00.3.pdf</v>
      </c>
    </row>
    <row r="1414" spans="1:13" ht="28.8" hidden="1" x14ac:dyDescent="0.3">
      <c r="A1414" s="6" t="s">
        <v>5776</v>
      </c>
      <c r="B1414" s="6" t="str">
        <f>VLOOKUP(LD_01[[#This Row],[DOCUMENTO]],_xlfn.SORTBY(ARQUIVOS_RECEBIDOS!$E$2:$F$5010,ARQUIVOS_RECEBIDOS!$F$2:$F$5010,-1),2,)</f>
        <v>R00.3</v>
      </c>
      <c r="C1414" s="15" t="s">
        <v>5988</v>
      </c>
      <c r="D1414" s="6" t="s">
        <v>5914</v>
      </c>
      <c r="E1414" s="8" t="s">
        <v>5969</v>
      </c>
      <c r="F1414" s="8" t="s">
        <v>4144</v>
      </c>
      <c r="G1414" s="6" t="str">
        <f>_xlfn.XLOOKUP(LD_01[[#This Row],[DISCIPLINA]],'CLASSES DE PROJETOS'!$F$3:$F$37,'CLASSES DE PROJETOS'!$C$3:$C$37)</f>
        <v>DV</v>
      </c>
      <c r="H1414" s="6" t="str">
        <f>_xlfn.TEXTJOIN("/",TRUE,"MSV-163MS-"&amp;LD_01[[#This Row],[TRECHO]],_xlfn.XLOOKUP(LD_01[[#This Row],[SIGLA]],'CLASSES DE PROJETOS'!$C$3:$C$37,'CLASSES DE PROJETOS'!$E$3:$E$37))</f>
        <v>MSV-163MS-647-650/12.DV</v>
      </c>
      <c r="I1414" s="6" t="str" cm="1">
        <f t="array" ref="I1414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J1414" s="6" t="str" cm="1">
        <f t="array" ref="J1414">_xlfn.TEXTJOIN(", ",TRUE,_xlfn.UNIQUE(_xlfn._xlws.FILTER(ARQUIVOS_RECEBIDOS!$F$2:$F$5010,ARQUIVOS_RECEBIDOS!$E$2:$E$5010=LD_01[[#This Row],[DOCUMENTO]])))</f>
        <v>R00.3</v>
      </c>
      <c r="K1414" s="12" cm="1">
        <f t="array" ref="K1414">_xlfn.UNIQUE(_xlfn._xlws.FILTER(ARQUIVOS[DATA RECEBIMENTO],(ARQUIVOS[DOCUMENTO]=LD_01[[#This Row],[DOCUMENTO]])*(ARQUIVOS[REVISÃO]=LD_01[[#This Row],[REVISÃO]])))</f>
        <v>46043</v>
      </c>
      <c r="L14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M1414" s="6" t="str">
        <f>LD_01[[#This Row],[PASTA]]&amp;"/"&amp;LD_01[[#This Row],[ARQUIVO]]</f>
        <v>MSV-163MS-647-650/12.DV/MSV-163MS-647-650-ACA-EXE-DE-O2-008-R00.3.pdf</v>
      </c>
    </row>
    <row r="1415" spans="1:13" ht="28.8" hidden="1" x14ac:dyDescent="0.3">
      <c r="A1415" s="6" t="s">
        <v>5777</v>
      </c>
      <c r="B1415" s="6" t="str">
        <f>VLOOKUP(LD_01[[#This Row],[DOCUMENTO]],_xlfn.SORTBY(ARQUIVOS_RECEBIDOS!$E$2:$F$5010,ARQUIVOS_RECEBIDOS!$F$2:$F$5010,-1),2,)</f>
        <v>R00.3</v>
      </c>
      <c r="C1415" s="15" t="s">
        <v>5988</v>
      </c>
      <c r="D1415" s="6" t="s">
        <v>5914</v>
      </c>
      <c r="E1415" s="8" t="s">
        <v>5970</v>
      </c>
      <c r="F1415" s="8" t="s">
        <v>4144</v>
      </c>
      <c r="G1415" s="6" t="str">
        <f>_xlfn.XLOOKUP(LD_01[[#This Row],[DISCIPLINA]],'CLASSES DE PROJETOS'!$F$3:$F$37,'CLASSES DE PROJETOS'!$C$3:$C$37)</f>
        <v>DV</v>
      </c>
      <c r="H1415" s="6" t="str">
        <f>_xlfn.TEXTJOIN("/",TRUE,"MSV-163MS-"&amp;LD_01[[#This Row],[TRECHO]],_xlfn.XLOOKUP(LD_01[[#This Row],[SIGLA]],'CLASSES DE PROJETOS'!$C$3:$C$37,'CLASSES DE PROJETOS'!$E$3:$E$37))</f>
        <v>MSV-163MS-647-650/12.DV</v>
      </c>
      <c r="I1415" s="6" t="str" cm="1">
        <f t="array" ref="I1415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J1415" s="6" t="str" cm="1">
        <f t="array" ref="J1415">_xlfn.TEXTJOIN(", ",TRUE,_xlfn.UNIQUE(_xlfn._xlws.FILTER(ARQUIVOS_RECEBIDOS!$F$2:$F$5010,ARQUIVOS_RECEBIDOS!$E$2:$E$5010=LD_01[[#This Row],[DOCUMENTO]])))</f>
        <v>R00.3</v>
      </c>
      <c r="K1415" s="12" cm="1">
        <f t="array" ref="K1415">_xlfn.UNIQUE(_xlfn._xlws.FILTER(ARQUIVOS[DATA RECEBIMENTO],(ARQUIVOS[DOCUMENTO]=LD_01[[#This Row],[DOCUMENTO]])*(ARQUIVOS[REVISÃO]=LD_01[[#This Row],[REVISÃO]])))</f>
        <v>46043</v>
      </c>
      <c r="L14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M1415" s="6" t="str">
        <f>LD_01[[#This Row],[PASTA]]&amp;"/"&amp;LD_01[[#This Row],[ARQUIVO]]</f>
        <v>MSV-163MS-647-650/12.DV/MSV-163MS-647-650-ACA-EXE-DE-O2-009-R00.3.pdf</v>
      </c>
    </row>
    <row r="1416" spans="1:13" ht="28.8" hidden="1" x14ac:dyDescent="0.3">
      <c r="A1416" s="6" t="s">
        <v>5778</v>
      </c>
      <c r="B1416" s="6" t="str">
        <f>VLOOKUP(LD_01[[#This Row],[DOCUMENTO]],_xlfn.SORTBY(ARQUIVOS_RECEBIDOS!$E$2:$F$5010,ARQUIVOS_RECEBIDOS!$F$2:$F$5010,-1),2,)</f>
        <v>R00.3</v>
      </c>
      <c r="C1416" s="15" t="s">
        <v>5988</v>
      </c>
      <c r="D1416" s="6" t="s">
        <v>5914</v>
      </c>
      <c r="E1416" s="8" t="s">
        <v>5970</v>
      </c>
      <c r="F1416" s="8" t="s">
        <v>4144</v>
      </c>
      <c r="G1416" s="6" t="str">
        <f>_xlfn.XLOOKUP(LD_01[[#This Row],[DISCIPLINA]],'CLASSES DE PROJETOS'!$F$3:$F$37,'CLASSES DE PROJETOS'!$C$3:$C$37)</f>
        <v>DV</v>
      </c>
      <c r="H1416" s="6" t="str">
        <f>_xlfn.TEXTJOIN("/",TRUE,"MSV-163MS-"&amp;LD_01[[#This Row],[TRECHO]],_xlfn.XLOOKUP(LD_01[[#This Row],[SIGLA]],'CLASSES DE PROJETOS'!$C$3:$C$37,'CLASSES DE PROJETOS'!$E$3:$E$37))</f>
        <v>MSV-163MS-647-650/12.DV</v>
      </c>
      <c r="I1416" s="6" t="str" cm="1">
        <f t="array" ref="I1416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J1416" s="6" t="str" cm="1">
        <f t="array" ref="J1416">_xlfn.TEXTJOIN(", ",TRUE,_xlfn.UNIQUE(_xlfn._xlws.FILTER(ARQUIVOS_RECEBIDOS!$F$2:$F$5010,ARQUIVOS_RECEBIDOS!$E$2:$E$5010=LD_01[[#This Row],[DOCUMENTO]])))</f>
        <v>R00.3</v>
      </c>
      <c r="K1416" s="12" cm="1">
        <f t="array" ref="K1416">_xlfn.UNIQUE(_xlfn._xlws.FILTER(ARQUIVOS[DATA RECEBIMENTO],(ARQUIVOS[DOCUMENTO]=LD_01[[#This Row],[DOCUMENTO]])*(ARQUIVOS[REVISÃO]=LD_01[[#This Row],[REVISÃO]])))</f>
        <v>46043</v>
      </c>
      <c r="L14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M1416" s="6" t="str">
        <f>LD_01[[#This Row],[PASTA]]&amp;"/"&amp;LD_01[[#This Row],[ARQUIVO]]</f>
        <v>MSV-163MS-647-650/12.DV/MSV-163MS-647-650-ACA-EXE-DE-O2-010-R00.3.pdf</v>
      </c>
    </row>
    <row r="1417" spans="1:13" ht="28.8" hidden="1" x14ac:dyDescent="0.3">
      <c r="A1417" s="6" t="s">
        <v>5779</v>
      </c>
      <c r="B1417" s="6" t="str">
        <f>VLOOKUP(LD_01[[#This Row],[DOCUMENTO]],_xlfn.SORTBY(ARQUIVOS_RECEBIDOS!$E$2:$F$5010,ARQUIVOS_RECEBIDOS!$F$2:$F$5010,-1),2,)</f>
        <v>R00.3</v>
      </c>
      <c r="C1417" s="15" t="s">
        <v>5988</v>
      </c>
      <c r="D1417" s="6" t="s">
        <v>5914</v>
      </c>
      <c r="E1417" s="8" t="s">
        <v>5970</v>
      </c>
      <c r="F1417" s="8" t="s">
        <v>4144</v>
      </c>
      <c r="G1417" s="6" t="str">
        <f>_xlfn.XLOOKUP(LD_01[[#This Row],[DISCIPLINA]],'CLASSES DE PROJETOS'!$F$3:$F$37,'CLASSES DE PROJETOS'!$C$3:$C$37)</f>
        <v>DV</v>
      </c>
      <c r="H1417" s="6" t="str">
        <f>_xlfn.TEXTJOIN("/",TRUE,"MSV-163MS-"&amp;LD_01[[#This Row],[TRECHO]],_xlfn.XLOOKUP(LD_01[[#This Row],[SIGLA]],'CLASSES DE PROJETOS'!$C$3:$C$37,'CLASSES DE PROJETOS'!$E$3:$E$37))</f>
        <v>MSV-163MS-647-650/12.DV</v>
      </c>
      <c r="I1417" s="6" t="str" cm="1">
        <f t="array" ref="I1417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J1417" s="6" t="str" cm="1">
        <f t="array" ref="J1417">_xlfn.TEXTJOIN(", ",TRUE,_xlfn.UNIQUE(_xlfn._xlws.FILTER(ARQUIVOS_RECEBIDOS!$F$2:$F$5010,ARQUIVOS_RECEBIDOS!$E$2:$E$5010=LD_01[[#This Row],[DOCUMENTO]])))</f>
        <v>R00.3</v>
      </c>
      <c r="K1417" s="12" cm="1">
        <f t="array" ref="K1417">_xlfn.UNIQUE(_xlfn._xlws.FILTER(ARQUIVOS[DATA RECEBIMENTO],(ARQUIVOS[DOCUMENTO]=LD_01[[#This Row],[DOCUMENTO]])*(ARQUIVOS[REVISÃO]=LD_01[[#This Row],[REVISÃO]])))</f>
        <v>46043</v>
      </c>
      <c r="L14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M1417" s="6" t="str">
        <f>LD_01[[#This Row],[PASTA]]&amp;"/"&amp;LD_01[[#This Row],[ARQUIVO]]</f>
        <v>MSV-163MS-647-650/12.DV/MSV-163MS-647-650-ACA-EXE-DE-O2-011-R00.3.pdf</v>
      </c>
    </row>
    <row r="1418" spans="1:13" ht="28.8" hidden="1" x14ac:dyDescent="0.3">
      <c r="A1418" s="6" t="s">
        <v>5765</v>
      </c>
      <c r="B1418" s="6" t="str">
        <f>VLOOKUP(LD_01[[#This Row],[DOCUMENTO]],_xlfn.SORTBY(ARQUIVOS_RECEBIDOS!$E$2:$F$5010,ARQUIVOS_RECEBIDOS!$F$2:$F$5010,-1),2,)</f>
        <v>R00.2</v>
      </c>
      <c r="C1418" s="15" t="s">
        <v>5988</v>
      </c>
      <c r="D1418" s="6" t="s">
        <v>5914</v>
      </c>
      <c r="E1418" s="8" t="s">
        <v>5971</v>
      </c>
      <c r="F1418" s="8" t="s">
        <v>4338</v>
      </c>
      <c r="G1418" s="6" t="str">
        <f>_xlfn.XLOOKUP(LD_01[[#This Row],[DISCIPLINA]],'CLASSES DE PROJETOS'!$F$3:$F$37,'CLASSES DE PROJETOS'!$C$3:$C$37)</f>
        <v>DS</v>
      </c>
      <c r="H1418" s="6" t="str">
        <f>_xlfn.TEXTJOIN("/",TRUE,"MSV-163MS-"&amp;LD_01[[#This Row],[TRECHO]],_xlfn.XLOOKUP(LD_01[[#This Row],[SIGLA]],'CLASSES DE PROJETOS'!$C$3:$C$37,'CLASSES DE PROJETOS'!$E$3:$E$37))</f>
        <v>MSV-163MS-647-650/11.DS</v>
      </c>
      <c r="I1418" s="6" t="str" cm="1">
        <f t="array" ref="I1418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J1418" s="6" t="str" cm="1">
        <f t="array" ref="J1418">_xlfn.TEXTJOIN(", ",TRUE,_xlfn.UNIQUE(_xlfn._xlws.FILTER(ARQUIVOS_RECEBIDOS!$F$2:$F$5010,ARQUIVOS_RECEBIDOS!$E$2:$E$5010=LD_01[[#This Row],[DOCUMENTO]])))</f>
        <v>R00.2</v>
      </c>
      <c r="K1418" s="12" cm="1">
        <f t="array" ref="K1418">_xlfn.UNIQUE(_xlfn._xlws.FILTER(ARQUIVOS[DATA RECEBIMENTO],(ARQUIVOS[DOCUMENTO]=LD_01[[#This Row],[DOCUMENTO]])*(ARQUIVOS[REVISÃO]=LD_01[[#This Row],[REVISÃO]])))</f>
        <v>46043</v>
      </c>
      <c r="L14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M1418" s="6" t="str">
        <f>LD_01[[#This Row],[PASTA]]&amp;"/"&amp;LD_01[[#This Row],[ARQUIVO]]</f>
        <v>MSV-163MS-647-650/11.DS/MSV-163MS-647-650-ACA-EXE-DE-Q1-001-R00.2.pdf</v>
      </c>
    </row>
    <row r="1419" spans="1:13" ht="28.8" hidden="1" x14ac:dyDescent="0.3">
      <c r="A1419" s="6" t="s">
        <v>5766</v>
      </c>
      <c r="B1419" s="6" t="str">
        <f>VLOOKUP(LD_01[[#This Row],[DOCUMENTO]],_xlfn.SORTBY(ARQUIVOS_RECEBIDOS!$E$2:$F$5010,ARQUIVOS_RECEBIDOS!$F$2:$F$5010,-1),2,)</f>
        <v>R00.2</v>
      </c>
      <c r="C1419" s="15" t="s">
        <v>5988</v>
      </c>
      <c r="D1419" s="6" t="s">
        <v>5914</v>
      </c>
      <c r="E1419" s="8" t="s">
        <v>5971</v>
      </c>
      <c r="F1419" s="8" t="s">
        <v>4338</v>
      </c>
      <c r="G1419" s="6" t="str">
        <f>_xlfn.XLOOKUP(LD_01[[#This Row],[DISCIPLINA]],'CLASSES DE PROJETOS'!$F$3:$F$37,'CLASSES DE PROJETOS'!$C$3:$C$37)</f>
        <v>DS</v>
      </c>
      <c r="H1419" s="6" t="str">
        <f>_xlfn.TEXTJOIN("/",TRUE,"MSV-163MS-"&amp;LD_01[[#This Row],[TRECHO]],_xlfn.XLOOKUP(LD_01[[#This Row],[SIGLA]],'CLASSES DE PROJETOS'!$C$3:$C$37,'CLASSES DE PROJETOS'!$E$3:$E$37))</f>
        <v>MSV-163MS-647-650/11.DS</v>
      </c>
      <c r="I1419" s="6" t="str" cm="1">
        <f t="array" ref="I1419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J1419" s="6" t="str" cm="1">
        <f t="array" ref="J1419">_xlfn.TEXTJOIN(", ",TRUE,_xlfn.UNIQUE(_xlfn._xlws.FILTER(ARQUIVOS_RECEBIDOS!$F$2:$F$5010,ARQUIVOS_RECEBIDOS!$E$2:$E$5010=LD_01[[#This Row],[DOCUMENTO]])))</f>
        <v>R00.2</v>
      </c>
      <c r="K1419" s="12" cm="1">
        <f t="array" ref="K1419">_xlfn.UNIQUE(_xlfn._xlws.FILTER(ARQUIVOS[DATA RECEBIMENTO],(ARQUIVOS[DOCUMENTO]=LD_01[[#This Row],[DOCUMENTO]])*(ARQUIVOS[REVISÃO]=LD_01[[#This Row],[REVISÃO]])))</f>
        <v>46043</v>
      </c>
      <c r="L14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M1419" s="6" t="str">
        <f>LD_01[[#This Row],[PASTA]]&amp;"/"&amp;LD_01[[#This Row],[ARQUIVO]]</f>
        <v>MSV-163MS-647-650/11.DS/MSV-163MS-647-650-ACA-EXE-DE-Q1-002-R00.2.pdf</v>
      </c>
    </row>
    <row r="1420" spans="1:13" ht="28.8" hidden="1" x14ac:dyDescent="0.3">
      <c r="A1420" s="6" t="s">
        <v>5767</v>
      </c>
      <c r="B1420" s="6" t="str">
        <f>VLOOKUP(LD_01[[#This Row],[DOCUMENTO]],_xlfn.SORTBY(ARQUIVOS_RECEBIDOS!$E$2:$F$5010,ARQUIVOS_RECEBIDOS!$F$2:$F$5010,-1),2,)</f>
        <v>R00.2</v>
      </c>
      <c r="C1420" s="15" t="s">
        <v>5988</v>
      </c>
      <c r="D1420" s="6" t="s">
        <v>5914</v>
      </c>
      <c r="E1420" s="8" t="s">
        <v>5971</v>
      </c>
      <c r="F1420" s="8" t="s">
        <v>4338</v>
      </c>
      <c r="G1420" s="6" t="str">
        <f>_xlfn.XLOOKUP(LD_01[[#This Row],[DISCIPLINA]],'CLASSES DE PROJETOS'!$F$3:$F$37,'CLASSES DE PROJETOS'!$C$3:$C$37)</f>
        <v>DS</v>
      </c>
      <c r="H1420" s="6" t="str">
        <f>_xlfn.TEXTJOIN("/",TRUE,"MSV-163MS-"&amp;LD_01[[#This Row],[TRECHO]],_xlfn.XLOOKUP(LD_01[[#This Row],[SIGLA]],'CLASSES DE PROJETOS'!$C$3:$C$37,'CLASSES DE PROJETOS'!$E$3:$E$37))</f>
        <v>MSV-163MS-647-650/11.DS</v>
      </c>
      <c r="I1420" s="6" t="str" cm="1">
        <f t="array" ref="I1420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J1420" s="6" t="str" cm="1">
        <f t="array" ref="J1420">_xlfn.TEXTJOIN(", ",TRUE,_xlfn.UNIQUE(_xlfn._xlws.FILTER(ARQUIVOS_RECEBIDOS!$F$2:$F$5010,ARQUIVOS_RECEBIDOS!$E$2:$E$5010=LD_01[[#This Row],[DOCUMENTO]])))</f>
        <v>R00.2</v>
      </c>
      <c r="K1420" s="12" cm="1">
        <f t="array" ref="K1420">_xlfn.UNIQUE(_xlfn._xlws.FILTER(ARQUIVOS[DATA RECEBIMENTO],(ARQUIVOS[DOCUMENTO]=LD_01[[#This Row],[DOCUMENTO]])*(ARQUIVOS[REVISÃO]=LD_01[[#This Row],[REVISÃO]])))</f>
        <v>46043</v>
      </c>
      <c r="L14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M1420" s="6" t="str">
        <f>LD_01[[#This Row],[PASTA]]&amp;"/"&amp;LD_01[[#This Row],[ARQUIVO]]</f>
        <v>MSV-163MS-647-650/11.DS/MSV-163MS-647-650-ACA-EXE-DE-Q1-003-R00.2.pdf</v>
      </c>
    </row>
    <row r="1421" spans="1:13" ht="43.2" hidden="1" x14ac:dyDescent="0.3">
      <c r="A1421" s="6" t="s">
        <v>5897</v>
      </c>
      <c r="B1421" s="6" t="str">
        <f>VLOOKUP(LD_01[[#This Row],[DOCUMENTO]],_xlfn.SORTBY(ARQUIVOS_RECEBIDOS!$E$2:$F$5010,ARQUIVOS_RECEBIDOS!$F$2:$F$5010,-1),2,)</f>
        <v>R00.5</v>
      </c>
      <c r="C1421" s="15" t="s">
        <v>5988</v>
      </c>
      <c r="D1421" s="6" t="s">
        <v>5914</v>
      </c>
      <c r="E1421" s="8" t="s">
        <v>5972</v>
      </c>
      <c r="F1421" s="8" t="s">
        <v>4330</v>
      </c>
      <c r="G1421" s="6" t="str">
        <f>_xlfn.XLOOKUP(LD_01[[#This Row],[DISCIPLINA]],'CLASSES DE PROJETOS'!$F$3:$F$37,'CLASSES DE PROJETOS'!$C$3:$C$37)</f>
        <v>TE</v>
      </c>
      <c r="H1421" s="6" t="str">
        <f>_xlfn.TEXTJOIN("/",TRUE,"MSV-163MS-"&amp;LD_01[[#This Row],[TRECHO]],_xlfn.XLOOKUP(LD_01[[#This Row],[SIGLA]],'CLASSES DE PROJETOS'!$C$3:$C$37,'CLASSES DE PROJETOS'!$E$3:$E$37))</f>
        <v>MSV-163MS-647-650/32.TE</v>
      </c>
      <c r="I1421" s="6" t="str" cm="1">
        <f t="array" ref="I1421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J1421" s="6" t="str" cm="1">
        <f t="array" ref="J1421">_xlfn.TEXTJOIN(", ",TRUE,_xlfn.UNIQUE(_xlfn._xlws.FILTER(ARQUIVOS_RECEBIDOS!$F$2:$F$5010,ARQUIVOS_RECEBIDOS!$E$2:$E$5010=LD_01[[#This Row],[DOCUMENTO]])))</f>
        <v>R00.5</v>
      </c>
      <c r="K1421" s="12" cm="1">
        <f t="array" ref="K1421">_xlfn.UNIQUE(_xlfn._xlws.FILTER(ARQUIVOS[DATA RECEBIMENTO],(ARQUIVOS[DOCUMENTO]=LD_01[[#This Row],[DOCUMENTO]])*(ARQUIVOS[REVISÃO]=LD_01[[#This Row],[REVISÃO]])))</f>
        <v>46043</v>
      </c>
      <c r="L14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M1421" s="6" t="str">
        <f>LD_01[[#This Row],[PASTA]]&amp;"/"&amp;LD_01[[#This Row],[ARQUIVO]]</f>
        <v>MSV-163MS-647-650/32.TE/MSV-163MS-647-650-ACA-EXE-MC-G1-001-R00.5.pdf</v>
      </c>
    </row>
    <row r="1422" spans="1:13" ht="43.2" hidden="1" x14ac:dyDescent="0.3">
      <c r="A1422" s="6" t="s">
        <v>5763</v>
      </c>
      <c r="B1422" s="6" t="str">
        <f>VLOOKUP(LD_01[[#This Row],[DOCUMENTO]],_xlfn.SORTBY(ARQUIVOS_RECEBIDOS!$E$2:$F$5010,ARQUIVOS_RECEBIDOS!$F$2:$F$5010,-1),2,)</f>
        <v>R00.4</v>
      </c>
      <c r="C1422" s="15" t="s">
        <v>5988</v>
      </c>
      <c r="D1422" s="6" t="s">
        <v>5914</v>
      </c>
      <c r="E1422" s="8" t="s">
        <v>5973</v>
      </c>
      <c r="F1422" s="8" t="s">
        <v>4142</v>
      </c>
      <c r="G1422" s="6" t="str">
        <f>_xlfn.XLOOKUP(LD_01[[#This Row],[DISCIPLINA]],'CLASSES DE PROJETOS'!$F$3:$F$37,'CLASSES DE PROJETOS'!$C$3:$C$37)</f>
        <v>DR</v>
      </c>
      <c r="H1422" s="6" t="str">
        <f>_xlfn.TEXTJOIN("/",TRUE,"MSV-163MS-"&amp;LD_01[[#This Row],[TRECHO]],_xlfn.XLOOKUP(LD_01[[#This Row],[SIGLA]],'CLASSES DE PROJETOS'!$C$3:$C$37,'CLASSES DE PROJETOS'!$E$3:$E$37))</f>
        <v>MSV-163MS-647-650/10.DR</v>
      </c>
      <c r="I1422" s="6" t="str" cm="1">
        <f t="array" ref="I1422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J1422" s="6" t="str" cm="1">
        <f t="array" ref="J1422">_xlfn.TEXTJOIN(", ",TRUE,_xlfn.UNIQUE(_xlfn._xlws.FILTER(ARQUIVOS_RECEBIDOS!$F$2:$F$5010,ARQUIVOS_RECEBIDOS!$E$2:$E$5010=LD_01[[#This Row],[DOCUMENTO]])))</f>
        <v>R00.4</v>
      </c>
      <c r="K1422" s="12" cm="1">
        <f t="array" ref="K1422">_xlfn.UNIQUE(_xlfn._xlws.FILTER(ARQUIVOS[DATA RECEBIMENTO],(ARQUIVOS[DOCUMENTO]=LD_01[[#This Row],[DOCUMENTO]])*(ARQUIVOS[REVISÃO]=LD_01[[#This Row],[REVISÃO]])))</f>
        <v>46043</v>
      </c>
      <c r="L14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M1422" s="6" t="str">
        <f>LD_01[[#This Row],[PASTA]]&amp;"/"&amp;LD_01[[#This Row],[ARQUIVO]]</f>
        <v>MSV-163MS-647-650/10.DR/MSV-163MS-647-650-ACA-EXE-MC-H2-001-R00.4.pdf</v>
      </c>
    </row>
    <row r="1423" spans="1:13" ht="43.2" hidden="1" x14ac:dyDescent="0.3">
      <c r="A1423" s="6" t="s">
        <v>5862</v>
      </c>
      <c r="B1423" s="6" t="str">
        <f>VLOOKUP(LD_01[[#This Row],[DOCUMENTO]],_xlfn.SORTBY(ARQUIVOS_RECEBIDOS!$E$2:$F$5010,ARQUIVOS_RECEBIDOS!$F$2:$F$5010,-1),2,)</f>
        <v>R00.2</v>
      </c>
      <c r="C1423" s="15" t="s">
        <v>5988</v>
      </c>
      <c r="D1423" s="6" t="s">
        <v>5914</v>
      </c>
      <c r="E1423" s="8" t="s">
        <v>5974</v>
      </c>
      <c r="F1423" s="8" t="s">
        <v>4143</v>
      </c>
      <c r="G1423" s="6" t="str">
        <f>_xlfn.XLOOKUP(LD_01[[#This Row],[DISCIPLINA]],'CLASSES DE PROJETOS'!$F$3:$F$37,'CLASSES DE PROJETOS'!$C$3:$C$37)</f>
        <v>PV</v>
      </c>
      <c r="H1423" s="6" t="str">
        <f>_xlfn.TEXTJOIN("/",TRUE,"MSV-163MS-"&amp;LD_01[[#This Row],[TRECHO]],_xlfn.XLOOKUP(LD_01[[#This Row],[SIGLA]],'CLASSES DE PROJETOS'!$C$3:$C$37,'CLASSES DE PROJETOS'!$E$3:$E$37))</f>
        <v>MSV-163MS-647-650/28.PV</v>
      </c>
      <c r="I1423" s="6" t="str" cm="1">
        <f t="array" ref="I1423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J1423" s="6" t="str" cm="1">
        <f t="array" ref="J1423">_xlfn.TEXTJOIN(", ",TRUE,_xlfn.UNIQUE(_xlfn._xlws.FILTER(ARQUIVOS_RECEBIDOS!$F$2:$F$5010,ARQUIVOS_RECEBIDOS!$E$2:$E$5010=LD_01[[#This Row],[DOCUMENTO]])))</f>
        <v>R00.2</v>
      </c>
      <c r="K1423" s="12" cm="1">
        <f t="array" ref="K1423">_xlfn.UNIQUE(_xlfn._xlws.FILTER(ARQUIVOS[DATA RECEBIMENTO],(ARQUIVOS[DOCUMENTO]=LD_01[[#This Row],[DOCUMENTO]])*(ARQUIVOS[REVISÃO]=LD_01[[#This Row],[REVISÃO]])))</f>
        <v>46043</v>
      </c>
      <c r="L14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M1423" s="6" t="str">
        <f>LD_01[[#This Row],[PASTA]]&amp;"/"&amp;LD_01[[#This Row],[ARQUIVO]]</f>
        <v>MSV-163MS-647-650/28.PV/MSV-163MS-647-650-ACA-EXE-MC-I2-001-R00.2.pdf</v>
      </c>
    </row>
    <row r="1424" spans="1:13" ht="43.2" hidden="1" x14ac:dyDescent="0.3">
      <c r="A1424" s="6" t="s">
        <v>5804</v>
      </c>
      <c r="B1424" s="6" t="str">
        <f>VLOOKUP(LD_01[[#This Row],[DOCUMENTO]],_xlfn.SORTBY(ARQUIVOS_RECEBIDOS!$E$2:$F$5010,ARQUIVOS_RECEBIDOS!$F$2:$F$5010,-1),2,)</f>
        <v>R00.4</v>
      </c>
      <c r="C1424" s="15" t="s">
        <v>5988</v>
      </c>
      <c r="D1424" s="6" t="s">
        <v>5914</v>
      </c>
      <c r="E1424" s="8" t="s">
        <v>5975</v>
      </c>
      <c r="F1424" s="8" t="s">
        <v>5989</v>
      </c>
      <c r="G1424" s="6" t="str">
        <f>_xlfn.XLOOKUP(LD_01[[#This Row],[DISCIPLINA]],'CLASSES DE PROJETOS'!$F$3:$F$37,'CLASSES DE PROJETOS'!$C$3:$C$37)</f>
        <v>ES</v>
      </c>
      <c r="H1424" s="6" t="str">
        <f>_xlfn.TEXTJOIN("/",TRUE,"MSV-163MS-"&amp;LD_01[[#This Row],[TRECHO]],_xlfn.XLOOKUP(LD_01[[#This Row],[SIGLA]],'CLASSES DE PROJETOS'!$C$3:$C$37,'CLASSES DE PROJETOS'!$E$3:$E$37))</f>
        <v>MSV-163MS-647-650/16.ES</v>
      </c>
      <c r="I1424" s="6" t="str" cm="1">
        <f t="array" ref="I1424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J1424" s="6" t="str" cm="1">
        <f t="array" ref="J1424">_xlfn.TEXTJOIN(", ",TRUE,_xlfn.UNIQUE(_xlfn._xlws.FILTER(ARQUIVOS_RECEBIDOS!$F$2:$F$5010,ARQUIVOS_RECEBIDOS!$E$2:$E$5010=LD_01[[#This Row],[DOCUMENTO]])))</f>
        <v>R00.4</v>
      </c>
      <c r="K1424" s="12" cm="1">
        <f t="array" ref="K1424">_xlfn.UNIQUE(_xlfn._xlws.FILTER(ARQUIVOS[DATA RECEBIMENTO],(ARQUIVOS[DOCUMENTO]=LD_01[[#This Row],[DOCUMENTO]])*(ARQUIVOS[REVISÃO]=LD_01[[#This Row],[REVISÃO]])))</f>
        <v>46043</v>
      </c>
      <c r="L14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M1424" s="6" t="str">
        <f>LD_01[[#This Row],[PASTA]]&amp;"/"&amp;LD_01[[#This Row],[ARQUIVO]]</f>
        <v>MSV-163MS-647-650/16.ES/MSV-163MS-647-650-ACA-EXE-MC-L2-001-R00.4.pdf</v>
      </c>
    </row>
    <row r="1425" spans="1:13" ht="43.2" hidden="1" x14ac:dyDescent="0.3">
      <c r="A1425" s="6" t="s">
        <v>5838</v>
      </c>
      <c r="B1425" s="6" t="str">
        <f>VLOOKUP(LD_01[[#This Row],[DOCUMENTO]],_xlfn.SORTBY(ARQUIVOS_RECEBIDOS!$E$2:$F$5010,ARQUIVOS_RECEBIDOS!$F$2:$F$5010,-1),2,)</f>
        <v>R00.3</v>
      </c>
      <c r="C1425" s="15" t="s">
        <v>5988</v>
      </c>
      <c r="D1425" s="6" t="s">
        <v>5914</v>
      </c>
      <c r="E1425" s="8" t="s">
        <v>5976</v>
      </c>
      <c r="F1425" s="8" t="s">
        <v>4332</v>
      </c>
      <c r="G1425" s="6" t="str">
        <f>_xlfn.XLOOKUP(LD_01[[#This Row],[DISCIPLINA]],'CLASSES DE PROJETOS'!$F$3:$F$37,'CLASSES DE PROJETOS'!$C$3:$C$37)</f>
        <v>GG</v>
      </c>
      <c r="H1425" s="6" t="str">
        <f>_xlfn.TEXTJOIN("/",TRUE,"MSV-163MS-"&amp;LD_01[[#This Row],[TRECHO]],_xlfn.XLOOKUP(LD_01[[#This Row],[SIGLA]],'CLASSES DE PROJETOS'!$C$3:$C$37,'CLASSES DE PROJETOS'!$E$3:$E$37))</f>
        <v>MSV-163MS-647-650/19.GG</v>
      </c>
      <c r="I1425" s="6" t="str" cm="1">
        <f t="array" ref="I1425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J1425" s="6" t="str" cm="1">
        <f t="array" ref="J1425">_xlfn.TEXTJOIN(", ",TRUE,_xlfn.UNIQUE(_xlfn._xlws.FILTER(ARQUIVOS_RECEBIDOS!$F$2:$F$5010,ARQUIVOS_RECEBIDOS!$E$2:$E$5010=LD_01[[#This Row],[DOCUMENTO]])))</f>
        <v>R00.3</v>
      </c>
      <c r="K1425" s="12" cm="1">
        <f t="array" ref="K1425">_xlfn.UNIQUE(_xlfn._xlws.FILTER(ARQUIVOS[DATA RECEBIMENTO],(ARQUIVOS[DOCUMENTO]=LD_01[[#This Row],[DOCUMENTO]])*(ARQUIVOS[REVISÃO]=LD_01[[#This Row],[REVISÃO]])))</f>
        <v>46043</v>
      </c>
      <c r="L14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M1425" s="6" t="str">
        <f>LD_01[[#This Row],[PASTA]]&amp;"/"&amp;LD_01[[#This Row],[ARQUIVO]]</f>
        <v>MSV-163MS-647-650/19.GG/MSV-163MS-647-650-ACA-EXE-MD-D3-001-R00.3.pdf</v>
      </c>
    </row>
    <row r="1426" spans="1:13" ht="43.2" hidden="1" x14ac:dyDescent="0.3">
      <c r="A1426" s="6" t="s">
        <v>5839</v>
      </c>
      <c r="B1426" s="6" t="str">
        <f>VLOOKUP(LD_01[[#This Row],[DOCUMENTO]],_xlfn.SORTBY(ARQUIVOS_RECEBIDOS!$E$2:$F$5010,ARQUIVOS_RECEBIDOS!$F$2:$F$5010,-1),2,)</f>
        <v>R00.2</v>
      </c>
      <c r="C1426" s="15" t="s">
        <v>5988</v>
      </c>
      <c r="D1426" s="6" t="s">
        <v>5914</v>
      </c>
      <c r="E1426" s="8" t="s">
        <v>5977</v>
      </c>
      <c r="F1426" s="8" t="s">
        <v>4332</v>
      </c>
      <c r="G1426" s="6" t="str">
        <f>_xlfn.XLOOKUP(LD_01[[#This Row],[DISCIPLINA]],'CLASSES DE PROJETOS'!$F$3:$F$37,'CLASSES DE PROJETOS'!$C$3:$C$37)</f>
        <v>GG</v>
      </c>
      <c r="H1426" s="6" t="str">
        <f>_xlfn.TEXTJOIN("/",TRUE,"MSV-163MS-"&amp;LD_01[[#This Row],[TRECHO]],_xlfn.XLOOKUP(LD_01[[#This Row],[SIGLA]],'CLASSES DE PROJETOS'!$C$3:$C$37,'CLASSES DE PROJETOS'!$E$3:$E$37))</f>
        <v>MSV-163MS-647-650/19.GG</v>
      </c>
      <c r="I1426" s="6" t="str" cm="1">
        <f t="array" ref="I1426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J1426" s="6" t="str" cm="1">
        <f t="array" ref="J1426">_xlfn.TEXTJOIN(", ",TRUE,_xlfn.UNIQUE(_xlfn._xlws.FILTER(ARQUIVOS_RECEBIDOS!$F$2:$F$5010,ARQUIVOS_RECEBIDOS!$E$2:$E$5010=LD_01[[#This Row],[DOCUMENTO]])))</f>
        <v>R00.2</v>
      </c>
      <c r="K1426" s="12" cm="1">
        <f t="array" ref="K1426">_xlfn.UNIQUE(_xlfn._xlws.FILTER(ARQUIVOS[DATA RECEBIMENTO],(ARQUIVOS[DOCUMENTO]=LD_01[[#This Row],[DOCUMENTO]])*(ARQUIVOS[REVISÃO]=LD_01[[#This Row],[REVISÃO]])))</f>
        <v>46043</v>
      </c>
      <c r="L14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M1426" s="6" t="str">
        <f>LD_01[[#This Row],[PASTA]]&amp;"/"&amp;LD_01[[#This Row],[ARQUIVO]]</f>
        <v>MSV-163MS-647-650/19.GG/MSV-163MS-647-650-ACA-EXE-MD-D3-002-R00.2.pdf</v>
      </c>
    </row>
    <row r="1427" spans="1:13" ht="43.2" hidden="1" x14ac:dyDescent="0.3">
      <c r="A1427" s="6" t="s">
        <v>5840</v>
      </c>
      <c r="B1427" s="6" t="str">
        <f>VLOOKUP(LD_01[[#This Row],[DOCUMENTO]],_xlfn.SORTBY(ARQUIVOS_RECEBIDOS!$E$2:$F$5010,ARQUIVOS_RECEBIDOS!$F$2:$F$5010,-1),2,)</f>
        <v>R00.2</v>
      </c>
      <c r="C1427" s="15" t="s">
        <v>5988</v>
      </c>
      <c r="D1427" s="6" t="s">
        <v>5914</v>
      </c>
      <c r="E1427" s="8" t="s">
        <v>5977</v>
      </c>
      <c r="F1427" s="8" t="s">
        <v>4332</v>
      </c>
      <c r="G1427" s="6" t="str">
        <f>_xlfn.XLOOKUP(LD_01[[#This Row],[DISCIPLINA]],'CLASSES DE PROJETOS'!$F$3:$F$37,'CLASSES DE PROJETOS'!$C$3:$C$37)</f>
        <v>GG</v>
      </c>
      <c r="H1427" s="6" t="str">
        <f>_xlfn.TEXTJOIN("/",TRUE,"MSV-163MS-"&amp;LD_01[[#This Row],[TRECHO]],_xlfn.XLOOKUP(LD_01[[#This Row],[SIGLA]],'CLASSES DE PROJETOS'!$C$3:$C$37,'CLASSES DE PROJETOS'!$E$3:$E$37))</f>
        <v>MSV-163MS-647-650/19.GG</v>
      </c>
      <c r="I1427" s="6" t="str" cm="1">
        <f t="array" ref="I1427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J1427" s="6" t="str" cm="1">
        <f t="array" ref="J1427">_xlfn.TEXTJOIN(", ",TRUE,_xlfn.UNIQUE(_xlfn._xlws.FILTER(ARQUIVOS_RECEBIDOS!$F$2:$F$5010,ARQUIVOS_RECEBIDOS!$E$2:$E$5010=LD_01[[#This Row],[DOCUMENTO]])))</f>
        <v>R00.2</v>
      </c>
      <c r="K1427" s="12" cm="1">
        <f t="array" ref="K1427">_xlfn.UNIQUE(_xlfn._xlws.FILTER(ARQUIVOS[DATA RECEBIMENTO],(ARQUIVOS[DOCUMENTO]=LD_01[[#This Row],[DOCUMENTO]])*(ARQUIVOS[REVISÃO]=LD_01[[#This Row],[REVISÃO]])))</f>
        <v>46043</v>
      </c>
      <c r="L14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M1427" s="6" t="str">
        <f>LD_01[[#This Row],[PASTA]]&amp;"/"&amp;LD_01[[#This Row],[ARQUIVO]]</f>
        <v>MSV-163MS-647-650/19.GG/MSV-163MS-647-650-ACA-EXE-MD-D3-003-R00.2.pdf</v>
      </c>
    </row>
    <row r="1428" spans="1:13" ht="43.2" hidden="1" x14ac:dyDescent="0.3">
      <c r="A1428" s="6" t="s">
        <v>5764</v>
      </c>
      <c r="B1428" s="6" t="str">
        <f>VLOOKUP(LD_01[[#This Row],[DOCUMENTO]],_xlfn.SORTBY(ARQUIVOS_RECEBIDOS!$E$2:$F$5010,ARQUIVOS_RECEBIDOS!$F$2:$F$5010,-1),2,)</f>
        <v>R00.3</v>
      </c>
      <c r="C1428" s="15" t="s">
        <v>5988</v>
      </c>
      <c r="D1428" s="6" t="s">
        <v>5914</v>
      </c>
      <c r="E1428" s="8" t="s">
        <v>5978</v>
      </c>
      <c r="F1428" s="8" t="s">
        <v>4142</v>
      </c>
      <c r="G1428" s="6" t="str">
        <f>_xlfn.XLOOKUP(LD_01[[#This Row],[DISCIPLINA]],'CLASSES DE PROJETOS'!$F$3:$F$37,'CLASSES DE PROJETOS'!$C$3:$C$37)</f>
        <v>DR</v>
      </c>
      <c r="H1428" s="6" t="str">
        <f>_xlfn.TEXTJOIN("/",TRUE,"MSV-163MS-"&amp;LD_01[[#This Row],[TRECHO]],_xlfn.XLOOKUP(LD_01[[#This Row],[SIGLA]],'CLASSES DE PROJETOS'!$C$3:$C$37,'CLASSES DE PROJETOS'!$E$3:$E$37))</f>
        <v>MSV-163MS-647-650/10.DR</v>
      </c>
      <c r="I1428" s="6" t="str" cm="1">
        <f t="array" ref="I1428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J1428" s="6" t="str" cm="1">
        <f t="array" ref="J1428">_xlfn.TEXTJOIN(", ",TRUE,_xlfn.UNIQUE(_xlfn._xlws.FILTER(ARQUIVOS_RECEBIDOS!$F$2:$F$5010,ARQUIVOS_RECEBIDOS!$E$2:$E$5010=LD_01[[#This Row],[DOCUMENTO]])))</f>
        <v>R00.3</v>
      </c>
      <c r="K1428" s="12" cm="1">
        <f t="array" ref="K1428">_xlfn.UNIQUE(_xlfn._xlws.FILTER(ARQUIVOS[DATA RECEBIMENTO],(ARQUIVOS[DOCUMENTO]=LD_01[[#This Row],[DOCUMENTO]])*(ARQUIVOS[REVISÃO]=LD_01[[#This Row],[REVISÃO]])))</f>
        <v>46043</v>
      </c>
      <c r="L14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M1428" s="6" t="str">
        <f>LD_01[[#This Row],[PASTA]]&amp;"/"&amp;LD_01[[#This Row],[ARQUIVO]]</f>
        <v>MSV-163MS-647-650/10.DR/MSV-163MS-647-650-ACA-EXE-MD-H1-001-R00.3.pdf</v>
      </c>
    </row>
    <row r="1429" spans="1:13" ht="43.2" hidden="1" x14ac:dyDescent="0.3">
      <c r="A1429" s="6" t="s">
        <v>5877</v>
      </c>
      <c r="B1429" s="6" t="str">
        <f>VLOOKUP(LD_01[[#This Row],[DOCUMENTO]],_xlfn.SORTBY(ARQUIVOS_RECEBIDOS!$E$2:$F$5010,ARQUIVOS_RECEBIDOS!$F$2:$F$5010,-1),2,)</f>
        <v>R00.3</v>
      </c>
      <c r="C1429" s="15" t="s">
        <v>5988</v>
      </c>
      <c r="D1429" s="6" t="s">
        <v>5914</v>
      </c>
      <c r="E1429" s="8" t="s">
        <v>5979</v>
      </c>
      <c r="F1429" s="8" t="s">
        <v>4330</v>
      </c>
      <c r="G1429" s="6" t="str">
        <f>_xlfn.XLOOKUP(LD_01[[#This Row],[DISCIPLINA]],'CLASSES DE PROJETOS'!$F$3:$F$37,'CLASSES DE PROJETOS'!$C$3:$C$37)</f>
        <v>TE</v>
      </c>
      <c r="H1429" s="6" t="str">
        <f>_xlfn.TEXTJOIN("/",TRUE,"MSV-163MS-"&amp;LD_01[[#This Row],[TRECHO]],_xlfn.XLOOKUP(LD_01[[#This Row],[SIGLA]],'CLASSES DE PROJETOS'!$C$3:$C$37,'CLASSES DE PROJETOS'!$E$3:$E$37))</f>
        <v>MSV-163MS-647-650/32.TE</v>
      </c>
      <c r="I1429" s="6" t="str" cm="1">
        <f t="array" ref="I1429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J1429" s="6" t="str" cm="1">
        <f t="array" ref="J1429">_xlfn.TEXTJOIN(", ",TRUE,_xlfn.UNIQUE(_xlfn._xlws.FILTER(ARQUIVOS_RECEBIDOS!$F$2:$F$5010,ARQUIVOS_RECEBIDOS!$E$2:$E$5010=LD_01[[#This Row],[DOCUMENTO]])))</f>
        <v>R00.3</v>
      </c>
      <c r="K1429" s="12" cm="1">
        <f t="array" ref="K1429">_xlfn.UNIQUE(_xlfn._xlws.FILTER(ARQUIVOS[DATA RECEBIMENTO],(ARQUIVOS[DOCUMENTO]=LD_01[[#This Row],[DOCUMENTO]])*(ARQUIVOS[REVISÃO]=LD_01[[#This Row],[REVISÃO]])))</f>
        <v>46043</v>
      </c>
      <c r="L14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M1429" s="6" t="str">
        <f>LD_01[[#This Row],[PASTA]]&amp;"/"&amp;LD_01[[#This Row],[ARQUIVO]]</f>
        <v>MSV-163MS-647-650/32.TE/MSV-163MS-647-650-ACA-EXE-NS-G1-001-R00.3.pdf</v>
      </c>
    </row>
    <row r="1430" spans="1:13" hidden="1" x14ac:dyDescent="0.3">
      <c r="A1430" s="6" t="s">
        <v>5902</v>
      </c>
      <c r="B1430" s="6" t="str">
        <f>VLOOKUP(LD_01[[#This Row],[DOCUMENTO]],_xlfn.SORTBY(ARQUIVOS_RECEBIDOS!$E$2:$F$5010,ARQUIVOS_RECEBIDOS!$F$2:$F$5010,-1),2,)</f>
        <v>R00.2</v>
      </c>
      <c r="C1430" s="15" t="s">
        <v>5988</v>
      </c>
      <c r="D1430" s="6" t="s">
        <v>5914</v>
      </c>
      <c r="E1430" s="8" t="s">
        <v>4244</v>
      </c>
      <c r="F1430" s="8" t="s">
        <v>4163</v>
      </c>
      <c r="G1430" s="6" t="str">
        <f>_xlfn.XLOOKUP(LD_01[[#This Row],[DISCIPLINA]],'CLASSES DE PROJETOS'!$F$3:$F$37,'CLASSES DE PROJETOS'!$C$3:$C$37)</f>
        <v>TO</v>
      </c>
      <c r="H1430" s="6" t="str">
        <f>_xlfn.TEXTJOIN("/",TRUE,"MSV-163MS-"&amp;LD_01[[#This Row],[TRECHO]],_xlfn.XLOOKUP(LD_01[[#This Row],[SIGLA]],'CLASSES DE PROJETOS'!$C$3:$C$37,'CLASSES DE PROJETOS'!$E$3:$E$37))</f>
        <v>MSV-163MS-647-650/33.TO</v>
      </c>
      <c r="I1430" s="6" t="str" cm="1">
        <f t="array" ref="I1430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J1430" s="6" t="str" cm="1">
        <f t="array" ref="J1430">_xlfn.TEXTJOIN(", ",TRUE,_xlfn.UNIQUE(_xlfn._xlws.FILTER(ARQUIVOS_RECEBIDOS!$F$2:$F$5010,ARQUIVOS_RECEBIDOS!$E$2:$E$5010=LD_01[[#This Row],[DOCUMENTO]])))</f>
        <v>R00.2</v>
      </c>
      <c r="K1430" s="12" cm="1">
        <f t="array" ref="K1430">_xlfn.UNIQUE(_xlfn._xlws.FILTER(ARQUIVOS[DATA RECEBIMENTO],(ARQUIVOS[DOCUMENTO]=LD_01[[#This Row],[DOCUMENTO]])*(ARQUIVOS[REVISÃO]=LD_01[[#This Row],[REVISÃO]])))</f>
        <v>46043</v>
      </c>
      <c r="L14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M1430" s="6" t="str">
        <f>LD_01[[#This Row],[PASTA]]&amp;"/"&amp;LD_01[[#This Row],[ARQUIVO]]</f>
        <v>MSV-163MS-647-650/33.TO/MSV-163MS-647-650-ACA-EXE-RT-C1-001-R00.2.pdf</v>
      </c>
    </row>
    <row r="1431" spans="1:13" ht="28.8" hidden="1" x14ac:dyDescent="0.3">
      <c r="A1431" s="6" t="s">
        <v>5903</v>
      </c>
      <c r="B1431" s="6" t="str">
        <f>VLOOKUP(LD_01[[#This Row],[DOCUMENTO]],_xlfn.SORTBY(ARQUIVOS_RECEBIDOS!$E$2:$F$5010,ARQUIVOS_RECEBIDOS!$F$2:$F$5010,-1),2,)</f>
        <v>R00.2</v>
      </c>
      <c r="C1431" s="15" t="s">
        <v>5988</v>
      </c>
      <c r="D1431" s="6" t="s">
        <v>5914</v>
      </c>
      <c r="E1431" s="8" t="s">
        <v>4173</v>
      </c>
      <c r="F1431" s="8" t="s">
        <v>4335</v>
      </c>
      <c r="G1431" s="6" t="str">
        <f>_xlfn.XLOOKUP(LD_01[[#This Row],[DISCIPLINA]],'CLASSES DE PROJETOS'!$F$3:$F$37,'CLASSES DE PROJETOS'!$C$3:$C$37)</f>
        <v>TR</v>
      </c>
      <c r="H1431" s="6" t="str">
        <f>_xlfn.TEXTJOIN("/",TRUE,"MSV-163MS-"&amp;LD_01[[#This Row],[TRECHO]],_xlfn.XLOOKUP(LD_01[[#This Row],[SIGLA]],'CLASSES DE PROJETOS'!$C$3:$C$37,'CLASSES DE PROJETOS'!$E$3:$E$37))</f>
        <v>MSV-163MS-647-650/34.TR</v>
      </c>
      <c r="I1431" s="6" t="str" cm="1">
        <f t="array" ref="I1431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J1431" s="6" t="str" cm="1">
        <f t="array" ref="J1431">_xlfn.TEXTJOIN(", ",TRUE,_xlfn.UNIQUE(_xlfn._xlws.FILTER(ARQUIVOS_RECEBIDOS!$F$2:$F$5010,ARQUIVOS_RECEBIDOS!$E$2:$E$5010=LD_01[[#This Row],[DOCUMENTO]])))</f>
        <v>R00.2</v>
      </c>
      <c r="K1431" s="12" cm="1">
        <f t="array" ref="K1431">_xlfn.UNIQUE(_xlfn._xlws.FILTER(ARQUIVOS[DATA RECEBIMENTO],(ARQUIVOS[DOCUMENTO]=LD_01[[#This Row],[DOCUMENTO]])*(ARQUIVOS[REVISÃO]=LD_01[[#This Row],[REVISÃO]])))</f>
        <v>46043</v>
      </c>
      <c r="L14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M1431" s="6" t="str">
        <f>LD_01[[#This Row],[PASTA]]&amp;"/"&amp;LD_01[[#This Row],[ARQUIVO]]</f>
        <v>MSV-163MS-647-650/34.TR/MSV-163MS-647-650-ACA-EXE-RT-E1-001-R00.2.pdf</v>
      </c>
    </row>
    <row r="1432" spans="1:13" ht="43.2" hidden="1" x14ac:dyDescent="0.3">
      <c r="A1432" s="6" t="s">
        <v>5815</v>
      </c>
      <c r="B1432" s="6" t="str">
        <f>VLOOKUP(LD_01[[#This Row],[DOCUMENTO]],_xlfn.SORTBY(ARQUIVOS_RECEBIDOS!$E$2:$F$5010,ARQUIVOS_RECEBIDOS!$F$2:$F$5010,-1),2,)</f>
        <v>R00.3</v>
      </c>
      <c r="C1432" s="15" t="s">
        <v>5988</v>
      </c>
      <c r="D1432" s="6" t="s">
        <v>5914</v>
      </c>
      <c r="E1432" s="8" t="s">
        <v>5980</v>
      </c>
      <c r="F1432" s="8" t="s">
        <v>4141</v>
      </c>
      <c r="G1432" s="6" t="str">
        <f>_xlfn.XLOOKUP(LD_01[[#This Row],[DISCIPLINA]],'CLASSES DE PROJETOS'!$F$3:$F$37,'CLASSES DE PROJETOS'!$C$3:$C$37)</f>
        <v>GE</v>
      </c>
      <c r="H1432" s="6" t="str">
        <f>_xlfn.TEXTJOIN("/",TRUE,"MSV-163MS-"&amp;LD_01[[#This Row],[TRECHO]],_xlfn.XLOOKUP(LD_01[[#This Row],[SIGLA]],'CLASSES DE PROJETOS'!$C$3:$C$37,'CLASSES DE PROJETOS'!$E$3:$E$37))</f>
        <v>MSV-163MS-647-650/18.GE</v>
      </c>
      <c r="I1432" s="6" t="str" cm="1">
        <f t="array" ref="I1432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J1432" s="6" t="str" cm="1">
        <f t="array" ref="J1432">_xlfn.TEXTJOIN(", ",TRUE,_xlfn.UNIQUE(_xlfn._xlws.FILTER(ARQUIVOS_RECEBIDOS!$F$2:$F$5010,ARQUIVOS_RECEBIDOS!$E$2:$E$5010=LD_01[[#This Row],[DOCUMENTO]])))</f>
        <v>R00.3</v>
      </c>
      <c r="K1432" s="12" cm="1">
        <f t="array" ref="K1432">_xlfn.UNIQUE(_xlfn._xlws.FILTER(ARQUIVOS[DATA RECEBIMENTO],(ARQUIVOS[DOCUMENTO]=LD_01[[#This Row],[DOCUMENTO]])*(ARQUIVOS[REVISÃO]=LD_01[[#This Row],[REVISÃO]])))</f>
        <v>46043</v>
      </c>
      <c r="L14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M1432" s="6" t="str">
        <f>LD_01[[#This Row],[PASTA]]&amp;"/"&amp;LD_01[[#This Row],[ARQUIVO]]</f>
        <v>MSV-163MS-647-650/18.GE/MSV-163MS-647-650-ACA-EXE-RT-F1-001-R00.3.pdf</v>
      </c>
    </row>
    <row r="1433" spans="1:13" ht="43.2" hidden="1" x14ac:dyDescent="0.3">
      <c r="A1433" s="6" t="s">
        <v>5876</v>
      </c>
      <c r="B1433" s="6" t="str">
        <f>VLOOKUP(LD_01[[#This Row],[DOCUMENTO]],_xlfn.SORTBY(ARQUIVOS_RECEBIDOS!$E$2:$F$5010,ARQUIVOS_RECEBIDOS!$F$2:$F$5010,-1),2,)</f>
        <v>R00.1</v>
      </c>
      <c r="C1433" s="15" t="s">
        <v>5988</v>
      </c>
      <c r="D1433" s="6" t="s">
        <v>5914</v>
      </c>
      <c r="E1433" s="8" t="s">
        <v>5981</v>
      </c>
      <c r="F1433" s="8" t="s">
        <v>4331</v>
      </c>
      <c r="G1433" s="6" t="str">
        <f>_xlfn.XLOOKUP(LD_01[[#This Row],[DISCIPLINA]],'CLASSES DE PROJETOS'!$F$3:$F$37,'CLASSES DE PROJETOS'!$C$3:$C$37)</f>
        <v>SI</v>
      </c>
      <c r="H1433" s="6" t="str">
        <f>_xlfn.TEXTJOIN("/",TRUE,"MSV-163MS-"&amp;LD_01[[#This Row],[TRECHO]],_xlfn.XLOOKUP(LD_01[[#This Row],[SIGLA]],'CLASSES DE PROJETOS'!$C$3:$C$37,'CLASSES DE PROJETOS'!$E$3:$E$37))</f>
        <v>MSV-163MS-647-650/31.SI</v>
      </c>
      <c r="I1433" s="6" t="str" cm="1">
        <f t="array" ref="I1433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J1433" s="6" t="str" cm="1">
        <f t="array" ref="J1433">_xlfn.TEXTJOIN(", ",TRUE,_xlfn.UNIQUE(_xlfn._xlws.FILTER(ARQUIVOS_RECEBIDOS!$F$2:$F$5010,ARQUIVOS_RECEBIDOS!$E$2:$E$5010=LD_01[[#This Row],[DOCUMENTO]])))</f>
        <v>R00.1</v>
      </c>
      <c r="K1433" s="12" cm="1">
        <f t="array" ref="K1433">_xlfn.UNIQUE(_xlfn._xlws.FILTER(ARQUIVOS[DATA RECEBIMENTO],(ARQUIVOS[DOCUMENTO]=LD_01[[#This Row],[DOCUMENTO]])*(ARQUIVOS[REVISÃO]=LD_01[[#This Row],[REVISÃO]])))</f>
        <v>46043</v>
      </c>
      <c r="L14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M1433" s="6" t="str">
        <f>LD_01[[#This Row],[PASTA]]&amp;"/"&amp;LD_01[[#This Row],[ARQUIVO]]</f>
        <v>MSV-163MS-647-650/31.SI/MSV-163MS-647-650-ACA-EXE-RT-J1-001-R00.1.pdf</v>
      </c>
    </row>
    <row r="1434" spans="1:13" ht="43.2" hidden="1" x14ac:dyDescent="0.3">
      <c r="A1434" s="6" t="s">
        <v>5844</v>
      </c>
      <c r="B1434" s="6" t="str">
        <f>VLOOKUP(LD_01[[#This Row],[DOCUMENTO]],_xlfn.SORTBY(ARQUIVOS_RECEBIDOS!$E$2:$F$5010,ARQUIVOS_RECEBIDOS!$F$2:$F$5010,-1),2,)</f>
        <v>R00.2</v>
      </c>
      <c r="C1434" s="15" t="s">
        <v>5988</v>
      </c>
      <c r="D1434" s="6" t="s">
        <v>5914</v>
      </c>
      <c r="E1434" s="8" t="s">
        <v>5982</v>
      </c>
      <c r="F1434" s="8" t="s">
        <v>4333</v>
      </c>
      <c r="G1434" s="6" t="str">
        <f>_xlfn.XLOOKUP(LD_01[[#This Row],[DISCIPLINA]],'CLASSES DE PROJETOS'!$F$3:$F$37,'CLASSES DE PROJETOS'!$C$3:$C$37)</f>
        <v>IN</v>
      </c>
      <c r="H1434" s="6" t="str">
        <f>_xlfn.TEXTJOIN("/",TRUE,"MSV-163MS-"&amp;LD_01[[#This Row],[TRECHO]],_xlfn.XLOOKUP(LD_01[[#This Row],[SIGLA]],'CLASSES DE PROJETOS'!$C$3:$C$37,'CLASSES DE PROJETOS'!$E$3:$E$37))</f>
        <v>MSV-163MS-647-650/23.IN</v>
      </c>
      <c r="I1434" s="6" t="str" cm="1">
        <f t="array" ref="I1434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J1434" s="6" t="str" cm="1">
        <f t="array" ref="J1434">_xlfn.TEXTJOIN(", ",TRUE,_xlfn.UNIQUE(_xlfn._xlws.FILTER(ARQUIVOS_RECEBIDOS!$F$2:$F$5010,ARQUIVOS_RECEBIDOS!$E$2:$E$5010=LD_01[[#This Row],[DOCUMENTO]])))</f>
        <v>R00.2</v>
      </c>
      <c r="K1434" s="12" cm="1">
        <f t="array" ref="K1434">_xlfn.UNIQUE(_xlfn._xlws.FILTER(ARQUIVOS[DATA RECEBIMENTO],(ARQUIVOS[DOCUMENTO]=LD_01[[#This Row],[DOCUMENTO]])*(ARQUIVOS[REVISÃO]=LD_01[[#This Row],[REVISÃO]])))</f>
        <v>46043</v>
      </c>
      <c r="L14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M1434" s="6" t="str">
        <f>LD_01[[#This Row],[PASTA]]&amp;"/"&amp;LD_01[[#This Row],[ARQUIVO]]</f>
        <v>MSV-163MS-647-650/23.IN/MSV-163MS-647-650-ACA-EXE-RT-M1-001-R00.2.pdf</v>
      </c>
    </row>
    <row r="1435" spans="1:13" ht="43.2" hidden="1" x14ac:dyDescent="0.3">
      <c r="A1435" s="6" t="s">
        <v>5848</v>
      </c>
      <c r="B1435" s="6" t="str">
        <f>VLOOKUP(LD_01[[#This Row],[DOCUMENTO]],_xlfn.SORTBY(ARQUIVOS_RECEBIDOS!$E$2:$F$5010,ARQUIVOS_RECEBIDOS!$F$2:$F$5010,-1),2,)</f>
        <v>R00.1</v>
      </c>
      <c r="C1435" s="15" t="s">
        <v>5988</v>
      </c>
      <c r="D1435" s="6" t="s">
        <v>5914</v>
      </c>
      <c r="E1435" s="8" t="s">
        <v>5983</v>
      </c>
      <c r="F1435" s="8" t="s">
        <v>4334</v>
      </c>
      <c r="G1435" s="6" t="str">
        <f>_xlfn.XLOOKUP(LD_01[[#This Row],[DISCIPLINA]],'CLASSES DE PROJETOS'!$F$3:$F$37,'CLASSES DE PROJETOS'!$C$3:$C$37)</f>
        <v>PA</v>
      </c>
      <c r="H1435" s="6" t="str">
        <f>_xlfn.TEXTJOIN("/",TRUE,"MSV-163MS-"&amp;LD_01[[#This Row],[TRECHO]],_xlfn.XLOOKUP(LD_01[[#This Row],[SIGLA]],'CLASSES DE PROJETOS'!$C$3:$C$37,'CLASSES DE PROJETOS'!$E$3:$E$37))</f>
        <v>MSV-163MS-647-650/27.PA</v>
      </c>
      <c r="I1435" s="6" t="str" cm="1">
        <f t="array" ref="I1435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J1435" s="6" t="str" cm="1">
        <f t="array" ref="J1435">_xlfn.TEXTJOIN(", ",TRUE,_xlfn.UNIQUE(_xlfn._xlws.FILTER(ARQUIVOS_RECEBIDOS!$F$2:$F$5010,ARQUIVOS_RECEBIDOS!$E$2:$E$5010=LD_01[[#This Row],[DOCUMENTO]])))</f>
        <v>R00.1</v>
      </c>
      <c r="K1435" s="12" cm="1">
        <f t="array" ref="K1435">_xlfn.UNIQUE(_xlfn._xlws.FILTER(ARQUIVOS[DATA RECEBIMENTO],(ARQUIVOS[DOCUMENTO]=LD_01[[#This Row],[DOCUMENTO]])*(ARQUIVOS[REVISÃO]=LD_01[[#This Row],[REVISÃO]])))</f>
        <v>46043</v>
      </c>
      <c r="L14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M1435" s="6" t="str">
        <f>LD_01[[#This Row],[PASTA]]&amp;"/"&amp;LD_01[[#This Row],[ARQUIVO]]</f>
        <v>MSV-163MS-647-650/27.PA/MSV-163MS-647-650-ACA-EXE-RT-N2-001-R00.1.pdf</v>
      </c>
    </row>
    <row r="1436" spans="1:13" ht="28.8" hidden="1" x14ac:dyDescent="0.3">
      <c r="A1436" s="6" t="s">
        <v>5906</v>
      </c>
      <c r="B1436" s="6" t="str">
        <f>VLOOKUP(LD_01[[#This Row],[DOCUMENTO]],_xlfn.SORTBY(ARQUIVOS_RECEBIDOS!$E$2:$F$5010,ARQUIVOS_RECEBIDOS!$F$2:$F$5010,-1),2,)</f>
        <v>R00.0</v>
      </c>
      <c r="C1436" s="15" t="s">
        <v>5988</v>
      </c>
      <c r="D1436" s="6" t="s">
        <v>5914</v>
      </c>
      <c r="E1436" s="8" t="s">
        <v>5916</v>
      </c>
      <c r="F1436" s="8" t="s">
        <v>4142</v>
      </c>
      <c r="G1436" s="6" t="str">
        <f>_xlfn.XLOOKUP(LD_01[[#This Row],[DISCIPLINA]],'CLASSES DE PROJETOS'!$F$3:$F$37,'CLASSES DE PROJETOS'!$C$3:$C$37)</f>
        <v>DR</v>
      </c>
      <c r="H1436" s="6" t="str">
        <f>_xlfn.TEXTJOIN("/",TRUE,"MSV-163MS-"&amp;LD_01[[#This Row],[TRECHO]],_xlfn.XLOOKUP(LD_01[[#This Row],[SIGLA]],'CLASSES DE PROJETOS'!$C$3:$C$37,'CLASSES DE PROJETOS'!$E$3:$E$37))</f>
        <v>MSV-163MS-647-650/10.DR</v>
      </c>
      <c r="I1436" s="6" t="str" cm="1">
        <f t="array" ref="I1436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J1436" s="6" t="str" cm="1">
        <f t="array" ref="J1436">_xlfn.TEXTJOIN(", ",TRUE,_xlfn.UNIQUE(_xlfn._xlws.FILTER(ARQUIVOS_RECEBIDOS!$F$2:$F$5010,ARQUIVOS_RECEBIDOS!$E$2:$E$5010=LD_01[[#This Row],[DOCUMENTO]])))</f>
        <v>R00.0</v>
      </c>
      <c r="K1436" s="12" cm="1">
        <f t="array" ref="K1436">_xlfn.UNIQUE(_xlfn._xlws.FILTER(ARQUIVOS[DATA RECEBIMENTO],(ARQUIVOS[DOCUMENTO]=LD_01[[#This Row],[DOCUMENTO]])*(ARQUIVOS[REVISÃO]=LD_01[[#This Row],[REVISÃO]])))</f>
        <v>46043</v>
      </c>
      <c r="L14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M1436" s="6" t="str">
        <f>LD_01[[#This Row],[PASTA]]&amp;"/"&amp;LD_01[[#This Row],[ARQUIVO]]</f>
        <v>MSV-163MS-647-650/10.DR/MSV-163MS-647-650-ACA-EXE-RT-N2-100-R00.0.pdf</v>
      </c>
    </row>
    <row r="1437" spans="1:13" ht="43.2" hidden="1" x14ac:dyDescent="0.3">
      <c r="A1437" s="6" t="s">
        <v>5780</v>
      </c>
      <c r="B1437" s="6" t="str">
        <f>VLOOKUP(LD_01[[#This Row],[DOCUMENTO]],_xlfn.SORTBY(ARQUIVOS_RECEBIDOS!$E$2:$F$5010,ARQUIVOS_RECEBIDOS!$F$2:$F$5010,-1),2,)</f>
        <v>R00.3</v>
      </c>
      <c r="C1437" s="15" t="s">
        <v>5988</v>
      </c>
      <c r="D1437" s="6" t="s">
        <v>5914</v>
      </c>
      <c r="E1437" s="8" t="s">
        <v>5984</v>
      </c>
      <c r="F1437" s="8" t="s">
        <v>4144</v>
      </c>
      <c r="G1437" s="6" t="str">
        <f>_xlfn.XLOOKUP(LD_01[[#This Row],[DISCIPLINA]],'CLASSES DE PROJETOS'!$F$3:$F$37,'CLASSES DE PROJETOS'!$C$3:$C$37)</f>
        <v>DV</v>
      </c>
      <c r="H1437" s="6" t="str">
        <f>_xlfn.TEXTJOIN("/",TRUE,"MSV-163MS-"&amp;LD_01[[#This Row],[TRECHO]],_xlfn.XLOOKUP(LD_01[[#This Row],[SIGLA]],'CLASSES DE PROJETOS'!$C$3:$C$37,'CLASSES DE PROJETOS'!$E$3:$E$37))</f>
        <v>MSV-163MS-647-650/12.DV</v>
      </c>
      <c r="I1437" s="6" t="str" cm="1">
        <f t="array" ref="I1437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J1437" s="6" t="str" cm="1">
        <f t="array" ref="J1437">_xlfn.TEXTJOIN(", ",TRUE,_xlfn.UNIQUE(_xlfn._xlws.FILTER(ARQUIVOS_RECEBIDOS!$F$2:$F$5010,ARQUIVOS_RECEBIDOS!$E$2:$E$5010=LD_01[[#This Row],[DOCUMENTO]])))</f>
        <v>R00.3</v>
      </c>
      <c r="K1437" s="12" cm="1">
        <f t="array" ref="K1437">_xlfn.UNIQUE(_xlfn._xlws.FILTER(ARQUIVOS[DATA RECEBIMENTO],(ARQUIVOS[DOCUMENTO]=LD_01[[#This Row],[DOCUMENTO]])*(ARQUIVOS[REVISÃO]=LD_01[[#This Row],[REVISÃO]])))</f>
        <v>46043</v>
      </c>
      <c r="L14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M1437" s="6" t="str">
        <f>LD_01[[#This Row],[PASTA]]&amp;"/"&amp;LD_01[[#This Row],[ARQUIVO]]</f>
        <v>MSV-163MS-647-650/12.DV/MSV-163MS-647-650-ACA-EXE-RT-O2-001-R00.3.pdf</v>
      </c>
    </row>
    <row r="1438" spans="1:13" ht="43.2" hidden="1" x14ac:dyDescent="0.3">
      <c r="A1438" s="6" t="s">
        <v>5768</v>
      </c>
      <c r="B1438" s="6" t="str">
        <f>VLOOKUP(LD_01[[#This Row],[DOCUMENTO]],_xlfn.SORTBY(ARQUIVOS_RECEBIDOS!$E$2:$F$5010,ARQUIVOS_RECEBIDOS!$F$2:$F$5010,-1),2,)</f>
        <v>R00.2</v>
      </c>
      <c r="C1438" s="15" t="s">
        <v>5988</v>
      </c>
      <c r="D1438" s="6" t="s">
        <v>5914</v>
      </c>
      <c r="E1438" s="8" t="s">
        <v>5985</v>
      </c>
      <c r="F1438" s="8" t="s">
        <v>4338</v>
      </c>
      <c r="G1438" s="6" t="str">
        <f>_xlfn.XLOOKUP(LD_01[[#This Row],[DISCIPLINA]],'CLASSES DE PROJETOS'!$F$3:$F$37,'CLASSES DE PROJETOS'!$C$3:$C$37)</f>
        <v>DS</v>
      </c>
      <c r="H1438" s="6" t="str">
        <f>_xlfn.TEXTJOIN("/",TRUE,"MSV-163MS-"&amp;LD_01[[#This Row],[TRECHO]],_xlfn.XLOOKUP(LD_01[[#This Row],[SIGLA]],'CLASSES DE PROJETOS'!$C$3:$C$37,'CLASSES DE PROJETOS'!$E$3:$E$37))</f>
        <v>MSV-163MS-647-650/11.DS</v>
      </c>
      <c r="I1438" s="6" t="str" cm="1">
        <f t="array" ref="I1438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J1438" s="6" t="str" cm="1">
        <f t="array" ref="J1438">_xlfn.TEXTJOIN(", ",TRUE,_xlfn.UNIQUE(_xlfn._xlws.FILTER(ARQUIVOS_RECEBIDOS!$F$2:$F$5010,ARQUIVOS_RECEBIDOS!$E$2:$E$5010=LD_01[[#This Row],[DOCUMENTO]])))</f>
        <v>R00.2</v>
      </c>
      <c r="K1438" s="12" cm="1">
        <f t="array" ref="K1438">_xlfn.UNIQUE(_xlfn._xlws.FILTER(ARQUIVOS[DATA RECEBIMENTO],(ARQUIVOS[DOCUMENTO]=LD_01[[#This Row],[DOCUMENTO]])*(ARQUIVOS[REVISÃO]=LD_01[[#This Row],[REVISÃO]])))</f>
        <v>46043</v>
      </c>
      <c r="L14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M1438" s="6" t="str">
        <f>LD_01[[#This Row],[PASTA]]&amp;"/"&amp;LD_01[[#This Row],[ARQUIVO]]</f>
        <v>MSV-163MS-647-650/11.DS/MSV-163MS-647-650-ACA-EXE-RT-Q1-001-R00.2.pdf</v>
      </c>
    </row>
  </sheetData>
  <mergeCells count="4">
    <mergeCell ref="A2:B2"/>
    <mergeCell ref="A1:J1"/>
    <mergeCell ref="E2:J2"/>
    <mergeCell ref="C2:D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567"/>
  <sheetViews>
    <sheetView topLeftCell="A3545" workbookViewId="0">
      <selection activeCell="A3550" sqref="A3550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_xlfn.XLOOKUP(E2,LD_PROJETOS!A:A,LD_PROJETOS!G:G)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_xlfn.XLOOKUP(E3,LD_PROJETOS!A:A,LD_PROJETOS!G:G)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_xlfn.XLOOKUP(E4,LD_PROJETOS!A:A,LD_PROJETOS!G:G)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_xlfn.XLOOKUP(E5,LD_PROJETOS!A:A,LD_PROJETOS!G:G)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_xlfn.XLOOKUP(E6,LD_PROJETOS!A:A,LD_PROJETOS!G:G)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_xlfn.XLOOKUP(E7,LD_PROJETOS!A:A,LD_PROJETOS!G:G)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_xlfn.XLOOKUP(E8,LD_PROJETOS!A:A,LD_PROJETOS!G:G)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_xlfn.XLOOKUP(E9,LD_PROJETOS!A:A,LD_PROJETOS!G:G)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_xlfn.XLOOKUP(E10,LD_PROJETOS!A:A,LD_PROJETOS!G:G)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_xlfn.XLOOKUP(E11,LD_PROJETOS!A:A,LD_PROJETOS!G:G)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_xlfn.XLOOKUP(E12,LD_PROJETOS!A:A,LD_PROJETOS!G:G)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_xlfn.XLOOKUP(E13,LD_PROJETOS!A:A,LD_PROJETOS!G:G)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_xlfn.XLOOKUP(E14,LD_PROJETOS!A:A,LD_PROJETOS!G:G)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_xlfn.XLOOKUP(E15,LD_PROJETOS!A:A,LD_PROJETOS!G:G)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_xlfn.XLOOKUP(E16,LD_PROJETOS!A:A,LD_PROJETOS!G:G)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_xlfn.XLOOKUP(E17,LD_PROJETOS!A:A,LD_PROJETOS!G:G)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_xlfn.XLOOKUP(E18,LD_PROJETOS!A:A,LD_PROJETOS!G:G)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_xlfn.XLOOKUP(E19,LD_PROJETOS!A:A,LD_PROJETOS!G:G)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_xlfn.XLOOKUP(E20,LD_PROJETOS!A:A,LD_PROJETOS!G:G)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_xlfn.XLOOKUP(E21,LD_PROJETOS!A:A,LD_PROJETOS!G:G)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_xlfn.XLOOKUP(E22,LD_PROJETOS!A:A,LD_PROJETOS!G:G)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_xlfn.XLOOKUP(E23,LD_PROJETOS!A:A,LD_PROJETOS!G:G)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_xlfn.XLOOKUP(E24,LD_PROJETOS!A:A,LD_PROJETOS!G:G)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_xlfn.XLOOKUP(E25,LD_PROJETOS!A:A,LD_PROJETOS!G:G)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_xlfn.XLOOKUP(E26,LD_PROJETOS!A:A,LD_PROJETOS!G:G)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_xlfn.XLOOKUP(E27,LD_PROJETOS!A:A,LD_PROJETOS!G:G)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_xlfn.XLOOKUP(E28,LD_PROJETOS!A:A,LD_PROJETOS!G:G)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_xlfn.XLOOKUP(E29,LD_PROJETOS!A:A,LD_PROJETOS!G:G)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_xlfn.XLOOKUP(E30,LD_PROJETOS!A:A,LD_PROJETOS!G:G)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_xlfn.XLOOKUP(E31,LD_PROJETOS!A:A,LD_PROJETOS!G:G)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_xlfn.XLOOKUP(E32,LD_PROJETOS!A:A,LD_PROJETOS!G:G)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_xlfn.XLOOKUP(E33,LD_PROJETOS!A:A,LD_PROJETOS!G:G)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_xlfn.XLOOKUP(E34,LD_PROJETOS!A:A,LD_PROJETOS!G:G)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_xlfn.XLOOKUP(E35,LD_PROJETOS!A:A,LD_PROJETOS!G:G)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_xlfn.XLOOKUP(E36,LD_PROJETOS!A:A,LD_PROJETOS!G:G)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_xlfn.XLOOKUP(E37,LD_PROJETOS!A:A,LD_PROJETOS!G:G)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_xlfn.XLOOKUP(E38,LD_PROJETOS!A:A,LD_PROJETOS!G:G)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_xlfn.XLOOKUP(E39,LD_PROJETOS!A:A,LD_PROJETOS!G:G)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_xlfn.XLOOKUP(E40,LD_PROJETOS!A:A,LD_PROJETOS!G:G)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_xlfn.XLOOKUP(E41,LD_PROJETOS!A:A,LD_PROJETOS!G:G)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_xlfn.XLOOKUP(E42,LD_PROJETOS!A:A,LD_PROJETOS!G:G)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_xlfn.XLOOKUP(E43,LD_PROJETOS!A:A,LD_PROJETOS!G:G)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_xlfn.XLOOKUP(E44,LD_PROJETOS!A:A,LD_PROJETOS!G:G)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_xlfn.XLOOKUP(E45,LD_PROJETOS!A:A,LD_PROJETOS!G:G)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_xlfn.XLOOKUP(E46,LD_PROJETOS!A:A,LD_PROJETOS!G:G)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_xlfn.XLOOKUP(E47,LD_PROJETOS!A:A,LD_PROJETOS!G:G)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_xlfn.XLOOKUP(E48,LD_PROJETOS!A:A,LD_PROJETOS!G:G)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_xlfn.XLOOKUP(E49,LD_PROJETOS!A:A,LD_PROJETOS!G:G)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_xlfn.XLOOKUP(E50,LD_PROJETOS!A:A,LD_PROJETOS!G:G)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_xlfn.XLOOKUP(E51,LD_PROJETOS!A:A,LD_PROJETOS!G:G)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_xlfn.XLOOKUP(E52,LD_PROJETOS!A:A,LD_PROJETOS!G:G)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_xlfn.XLOOKUP(E53,LD_PROJETOS!A:A,LD_PROJETOS!G:G)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_xlfn.XLOOKUP(E54,LD_PROJETOS!A:A,LD_PROJETOS!G:G)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_xlfn.XLOOKUP(E55,LD_PROJETOS!A:A,LD_PROJETOS!G:G)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_xlfn.XLOOKUP(E56,LD_PROJETOS!A:A,LD_PROJETOS!G:G)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_xlfn.XLOOKUP(E57,LD_PROJETOS!A:A,LD_PROJETOS!G:G)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_xlfn.XLOOKUP(E58,LD_PROJETOS!A:A,LD_PROJETOS!G:G)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_xlfn.XLOOKUP(E59,LD_PROJETOS!A:A,LD_PROJETOS!G:G)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_xlfn.XLOOKUP(E60,LD_PROJETOS!A:A,LD_PROJETOS!G:G)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_xlfn.XLOOKUP(E61,LD_PROJETOS!A:A,LD_PROJETOS!G:G)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_xlfn.XLOOKUP(E62,LD_PROJETOS!A:A,LD_PROJETOS!G:G)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_xlfn.XLOOKUP(E63,LD_PROJETOS!A:A,LD_PROJETOS!G:G)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_xlfn.XLOOKUP(E64,LD_PROJETOS!A:A,LD_PROJETOS!G:G)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_xlfn.XLOOKUP(E65,LD_PROJETOS!A:A,LD_PROJETOS!G:G)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_xlfn.XLOOKUP(E66,LD_PROJETOS!A:A,LD_PROJETOS!G:G)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_xlfn.XLOOKUP(E67,LD_PROJETOS!A:A,LD_PROJETOS!G:G)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_xlfn.XLOOKUP(E68,LD_PROJETOS!A:A,LD_PROJETOS!G:G)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_xlfn.XLOOKUP(E69,LD_PROJETOS!A:A,LD_PROJETOS!G:G)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_xlfn.XLOOKUP(E70,LD_PROJETOS!A:A,LD_PROJETOS!G:G)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_xlfn.XLOOKUP(E71,LD_PROJETOS!A:A,LD_PROJETOS!G:G)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_xlfn.XLOOKUP(E72,LD_PROJETOS!A:A,LD_PROJETOS!G:G)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_xlfn.XLOOKUP(E73,LD_PROJETOS!A:A,LD_PROJETOS!G:G)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_xlfn.XLOOKUP(E74,LD_PROJETOS!A:A,LD_PROJETOS!G:G)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_xlfn.XLOOKUP(E75,LD_PROJETOS!A:A,LD_PROJETOS!G:G)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_xlfn.XLOOKUP(E76,LD_PROJETOS!A:A,LD_PROJETOS!G:G)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_xlfn.XLOOKUP(E77,LD_PROJETOS!A:A,LD_PROJETOS!G:G)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_xlfn.XLOOKUP(E78,LD_PROJETOS!A:A,LD_PROJETOS!G:G)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_xlfn.XLOOKUP(E79,LD_PROJETOS!A:A,LD_PROJETOS!G:G)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_xlfn.XLOOKUP(E80,LD_PROJETOS!A:A,LD_PROJETOS!G:G)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_xlfn.XLOOKUP(E81,LD_PROJETOS!A:A,LD_PROJETOS!G:G)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_xlfn.XLOOKUP(E82,LD_PROJETOS!A:A,LD_PROJETOS!G:G)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_xlfn.XLOOKUP(E83,LD_PROJETOS!A:A,LD_PROJETOS!G:G)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_xlfn.XLOOKUP(E84,LD_PROJETOS!A:A,LD_PROJETOS!G:G)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_xlfn.XLOOKUP(E85,LD_PROJETOS!A:A,LD_PROJETOS!G:G)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_xlfn.XLOOKUP(E86,LD_PROJETOS!A:A,LD_PROJETOS!G:G)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_xlfn.XLOOKUP(E87,LD_PROJETOS!A:A,LD_PROJETOS!G:G)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_xlfn.XLOOKUP(E88,LD_PROJETOS!A:A,LD_PROJETOS!G:G)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_xlfn.XLOOKUP(E89,LD_PROJETOS!A:A,LD_PROJETOS!G:G)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_xlfn.XLOOKUP(E90,LD_PROJETOS!A:A,LD_PROJETOS!G:G)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_xlfn.XLOOKUP(E91,LD_PROJETOS!A:A,LD_PROJETOS!G:G)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_xlfn.XLOOKUP(E92,LD_PROJETOS!A:A,LD_PROJETOS!G:G)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_xlfn.XLOOKUP(E93,LD_PROJETOS!A:A,LD_PROJETOS!G:G)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_xlfn.XLOOKUP(E94,LD_PROJETOS!A:A,LD_PROJETOS!G:G)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_xlfn.XLOOKUP(E95,LD_PROJETOS!A:A,LD_PROJETOS!G:G)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_xlfn.XLOOKUP(E96,LD_PROJETOS!A:A,LD_PROJETOS!G:G)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_xlfn.XLOOKUP(E97,LD_PROJETOS!A:A,LD_PROJETOS!G:G)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_xlfn.XLOOKUP(E98,LD_PROJETOS!A:A,LD_PROJETOS!G:G)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_xlfn.XLOOKUP(E99,LD_PROJETOS!A:A,LD_PROJETOS!G:G)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_xlfn.XLOOKUP(E100,LD_PROJETOS!A:A,LD_PROJETOS!G:G)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_xlfn.XLOOKUP(E101,LD_PROJETOS!A:A,LD_PROJETOS!G:G)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_xlfn.XLOOKUP(E102,LD_PROJETOS!A:A,LD_PROJETOS!G:G)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_xlfn.XLOOKUP(E103,LD_PROJETOS!A:A,LD_PROJETOS!G:G)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_xlfn.XLOOKUP(E104,LD_PROJETOS!A:A,LD_PROJETOS!G:G)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_xlfn.XLOOKUP(E105,LD_PROJETOS!A:A,LD_PROJETOS!G:G)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_xlfn.XLOOKUP(E106,LD_PROJETOS!A:A,LD_PROJETOS!G:G)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_xlfn.XLOOKUP(E107,LD_PROJETOS!A:A,LD_PROJETOS!G:G)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_xlfn.XLOOKUP(E108,LD_PROJETOS!A:A,LD_PROJETOS!G:G)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_xlfn.XLOOKUP(E109,LD_PROJETOS!A:A,LD_PROJETOS!G:G)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_xlfn.XLOOKUP(E110,LD_PROJETOS!A:A,LD_PROJETOS!G:G)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_xlfn.XLOOKUP(E111,LD_PROJETOS!A:A,LD_PROJETOS!G:G)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_xlfn.XLOOKUP(E112,LD_PROJETOS!A:A,LD_PROJETOS!G:G)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_xlfn.XLOOKUP(E113,LD_PROJETOS!A:A,LD_PROJETOS!G:G)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_xlfn.XLOOKUP(E114,LD_PROJETOS!A:A,LD_PROJETOS!G:G)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_xlfn.XLOOKUP(E115,LD_PROJETOS!A:A,LD_PROJETOS!G:G)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_xlfn.XLOOKUP(E116,LD_PROJETOS!A:A,LD_PROJETOS!G:G)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_xlfn.XLOOKUP(E117,LD_PROJETOS!A:A,LD_PROJETOS!G:G)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_xlfn.XLOOKUP(E118,LD_PROJETOS!A:A,LD_PROJETOS!G:G)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_xlfn.XLOOKUP(E119,LD_PROJETOS!A:A,LD_PROJETOS!G:G)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_xlfn.XLOOKUP(E120,LD_PROJETOS!A:A,LD_PROJETOS!G:G)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_xlfn.XLOOKUP(E121,LD_PROJETOS!A:A,LD_PROJETOS!G:G)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_xlfn.XLOOKUP(E122,LD_PROJETOS!A:A,LD_PROJETOS!G:G)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_xlfn.XLOOKUP(E123,LD_PROJETOS!A:A,LD_PROJETOS!G:G)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_xlfn.XLOOKUP(E124,LD_PROJETOS!A:A,LD_PROJETOS!G:G)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_xlfn.XLOOKUP(E125,LD_PROJETOS!A:A,LD_PROJETOS!G:G)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_xlfn.XLOOKUP(E126,LD_PROJETOS!A:A,LD_PROJETOS!G:G)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_xlfn.XLOOKUP(E127,LD_PROJETOS!A:A,LD_PROJETOS!G:G)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_xlfn.XLOOKUP(E128,LD_PROJETOS!A:A,LD_PROJETOS!G:G)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_xlfn.XLOOKUP(E129,LD_PROJETOS!A:A,LD_PROJETOS!G:G)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_xlfn.XLOOKUP(E130,LD_PROJETOS!A:A,LD_PROJETOS!G:G)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_xlfn.XLOOKUP(E131,LD_PROJETOS!A:A,LD_PROJETOS!G:G)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_xlfn.XLOOKUP(E132,LD_PROJETOS!A:A,LD_PROJETOS!G:G)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_xlfn.XLOOKUP(E133,LD_PROJETOS!A:A,LD_PROJETOS!G:G)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_xlfn.XLOOKUP(E134,LD_PROJETOS!A:A,LD_PROJETOS!G:G)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_xlfn.XLOOKUP(E135,LD_PROJETOS!A:A,LD_PROJETOS!G:G)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_xlfn.XLOOKUP(E136,LD_PROJETOS!A:A,LD_PROJETOS!G:G)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_xlfn.XLOOKUP(E137,LD_PROJETOS!A:A,LD_PROJETOS!G:G)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_xlfn.XLOOKUP(E138,LD_PROJETOS!A:A,LD_PROJETOS!G:G)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_xlfn.XLOOKUP(E139,LD_PROJETOS!A:A,LD_PROJETOS!G:G)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_xlfn.XLOOKUP(E140,LD_PROJETOS!A:A,LD_PROJETOS!G:G)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_xlfn.XLOOKUP(E141,LD_PROJETOS!A:A,LD_PROJETOS!G:G)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_xlfn.XLOOKUP(E142,LD_PROJETOS!A:A,LD_PROJETOS!G:G)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_xlfn.XLOOKUP(E143,LD_PROJETOS!A:A,LD_PROJETOS!G:G)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_xlfn.XLOOKUP(E144,LD_PROJETOS!A:A,LD_PROJETOS!G:G)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_xlfn.XLOOKUP(E145,LD_PROJETOS!A:A,LD_PROJETOS!G:G)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_xlfn.XLOOKUP(E146,LD_PROJETOS!A:A,LD_PROJETOS!G:G)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_xlfn.XLOOKUP(E147,LD_PROJETOS!A:A,LD_PROJETOS!G:G)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_xlfn.XLOOKUP(E148,LD_PROJETOS!A:A,LD_PROJETOS!G:G)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_xlfn.XLOOKUP(E149,LD_PROJETOS!A:A,LD_PROJETOS!G:G)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_xlfn.XLOOKUP(E150,LD_PROJETOS!A:A,LD_PROJETOS!G:G)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_xlfn.XLOOKUP(E151,LD_PROJETOS!A:A,LD_PROJETOS!G:G)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_xlfn.XLOOKUP(E152,LD_PROJETOS!A:A,LD_PROJETOS!G:G)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_xlfn.XLOOKUP(E153,LD_PROJETOS!A:A,LD_PROJETOS!G:G)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_xlfn.XLOOKUP(E154,LD_PROJETOS!A:A,LD_PROJETOS!G:G)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_xlfn.XLOOKUP(E155,LD_PROJETOS!A:A,LD_PROJETOS!G:G)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_xlfn.XLOOKUP(E156,LD_PROJETOS!A:A,LD_PROJETOS!G:G)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_xlfn.XLOOKUP(E157,LD_PROJETOS!A:A,LD_PROJETOS!G:G)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_xlfn.XLOOKUP(E158,LD_PROJETOS!A:A,LD_PROJETOS!G:G)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_xlfn.XLOOKUP(E159,LD_PROJETOS!A:A,LD_PROJETOS!G:G)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_xlfn.XLOOKUP(E160,LD_PROJETOS!A:A,LD_PROJETOS!G:G)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_xlfn.XLOOKUP(E161,LD_PROJETOS!A:A,LD_PROJETOS!G:G)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_xlfn.XLOOKUP(E162,LD_PROJETOS!A:A,LD_PROJETOS!G:G)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_xlfn.XLOOKUP(E163,LD_PROJETOS!A:A,LD_PROJETOS!G:G)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_xlfn.XLOOKUP(E164,LD_PROJETOS!A:A,LD_PROJETOS!G:G)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_xlfn.XLOOKUP(E165,LD_PROJETOS!A:A,LD_PROJETOS!G:G)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_xlfn.XLOOKUP(E166,LD_PROJETOS!A:A,LD_PROJETOS!G:G)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_xlfn.XLOOKUP(E167,LD_PROJETOS!A:A,LD_PROJETOS!G:G)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_xlfn.XLOOKUP(E168,LD_PROJETOS!A:A,LD_PROJETOS!G:G)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_xlfn.XLOOKUP(E169,LD_PROJETOS!A:A,LD_PROJETOS!G:G)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_xlfn.XLOOKUP(E170,LD_PROJETOS!A:A,LD_PROJETOS!G:G)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_xlfn.XLOOKUP(E171,LD_PROJETOS!A:A,LD_PROJETOS!G:G)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_xlfn.XLOOKUP(E172,LD_PROJETOS!A:A,LD_PROJETOS!G:G)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_xlfn.XLOOKUP(E173,LD_PROJETOS!A:A,LD_PROJETOS!G:G)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_xlfn.XLOOKUP(E174,LD_PROJETOS!A:A,LD_PROJETOS!G:G)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_xlfn.XLOOKUP(E175,LD_PROJETOS!A:A,LD_PROJETOS!G:G)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_xlfn.XLOOKUP(E176,LD_PROJETOS!A:A,LD_PROJETOS!G:G)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_xlfn.XLOOKUP(E177,LD_PROJETOS!A:A,LD_PROJETOS!G:G)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_xlfn.XLOOKUP(E178,LD_PROJETOS!A:A,LD_PROJETOS!G:G)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_xlfn.XLOOKUP(E179,LD_PROJETOS!A:A,LD_PROJETOS!G:G)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_xlfn.XLOOKUP(E180,LD_PROJETOS!A:A,LD_PROJETOS!G:G)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_xlfn.XLOOKUP(E181,LD_PROJETOS!A:A,LD_PROJETOS!G:G)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_xlfn.XLOOKUP(E182,LD_PROJETOS!A:A,LD_PROJETOS!G:G)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_xlfn.XLOOKUP(E183,LD_PROJETOS!A:A,LD_PROJETOS!G:G)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_xlfn.XLOOKUP(E184,LD_PROJETOS!A:A,LD_PROJETOS!G:G)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_xlfn.XLOOKUP(E185,LD_PROJETOS!A:A,LD_PROJETOS!G:G)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_xlfn.XLOOKUP(E186,LD_PROJETOS!A:A,LD_PROJETOS!G:G)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_xlfn.XLOOKUP(E187,LD_PROJETOS!A:A,LD_PROJETOS!G:G)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_xlfn.XLOOKUP(E188,LD_PROJETOS!A:A,LD_PROJETOS!G:G)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_xlfn.XLOOKUP(E189,LD_PROJETOS!A:A,LD_PROJETOS!G:G)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_xlfn.XLOOKUP(E190,LD_PROJETOS!A:A,LD_PROJETOS!G:G)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_xlfn.XLOOKUP(E191,LD_PROJETOS!A:A,LD_PROJETOS!G:G)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_xlfn.XLOOKUP(E192,LD_PROJETOS!A:A,LD_PROJETOS!G:G)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_xlfn.XLOOKUP(E193,LD_PROJETOS!A:A,LD_PROJETOS!G:G)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_xlfn.XLOOKUP(E194,LD_PROJETOS!A:A,LD_PROJETOS!G:G)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_xlfn.XLOOKUP(E195,LD_PROJETOS!A:A,LD_PROJETOS!G:G)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_xlfn.XLOOKUP(E196,LD_PROJETOS!A:A,LD_PROJETOS!G:G)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_xlfn.XLOOKUP(E197,LD_PROJETOS!A:A,LD_PROJETOS!G:G)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_xlfn.XLOOKUP(E198,LD_PROJETOS!A:A,LD_PROJETOS!G:G)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_xlfn.XLOOKUP(E199,LD_PROJETOS!A:A,LD_PROJETOS!G:G)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_xlfn.XLOOKUP(E200,LD_PROJETOS!A:A,LD_PROJETOS!G:G)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_xlfn.XLOOKUP(E201,LD_PROJETOS!A:A,LD_PROJETOS!G:G)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_xlfn.XLOOKUP(E202,LD_PROJETOS!A:A,LD_PROJETOS!G:G)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_xlfn.XLOOKUP(E203,LD_PROJETOS!A:A,LD_PROJETOS!G:G)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_xlfn.XLOOKUP(E204,LD_PROJETOS!A:A,LD_PROJETOS!G:G)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_xlfn.XLOOKUP(E205,LD_PROJETOS!A:A,LD_PROJETOS!G:G)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_xlfn.XLOOKUP(E206,LD_PROJETOS!A:A,LD_PROJETOS!G:G)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_xlfn.XLOOKUP(E207,LD_PROJETOS!A:A,LD_PROJETOS!G:G)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_xlfn.XLOOKUP(E208,LD_PROJETOS!A:A,LD_PROJETOS!G:G)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_xlfn.XLOOKUP(E209,LD_PROJETOS!A:A,LD_PROJETOS!G:G)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_xlfn.XLOOKUP(E210,LD_PROJETOS!A:A,LD_PROJETOS!G:G)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_xlfn.XLOOKUP(E211,LD_PROJETOS!A:A,LD_PROJETOS!G:G)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_xlfn.XLOOKUP(E212,LD_PROJETOS!A:A,LD_PROJETOS!G:G)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_xlfn.XLOOKUP(E213,LD_PROJETOS!A:A,LD_PROJETOS!G:G)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_xlfn.XLOOKUP(E214,LD_PROJETOS!A:A,LD_PROJETOS!G:G)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_xlfn.XLOOKUP(E215,LD_PROJETOS!A:A,LD_PROJETOS!G:G)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_xlfn.XLOOKUP(E216,LD_PROJETOS!A:A,LD_PROJETOS!G:G)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_xlfn.XLOOKUP(E217,LD_PROJETOS!A:A,LD_PROJETOS!G:G)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_xlfn.XLOOKUP(E218,LD_PROJETOS!A:A,LD_PROJETOS!G:G)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_xlfn.XLOOKUP(E219,LD_PROJETOS!A:A,LD_PROJETOS!G:G)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_xlfn.XLOOKUP(E220,LD_PROJETOS!A:A,LD_PROJETOS!G:G)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_xlfn.XLOOKUP(E221,LD_PROJETOS!A:A,LD_PROJETOS!G:G)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_xlfn.XLOOKUP(E222,LD_PROJETOS!A:A,LD_PROJETOS!G:G)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_xlfn.XLOOKUP(E223,LD_PROJETOS!A:A,LD_PROJETOS!G:G)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_xlfn.XLOOKUP(E224,LD_PROJETOS!A:A,LD_PROJETOS!G:G)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_xlfn.XLOOKUP(E225,LD_PROJETOS!A:A,LD_PROJETOS!G:G)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_xlfn.XLOOKUP(E226,LD_PROJETOS!A:A,LD_PROJETOS!G:G)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_xlfn.XLOOKUP(E227,LD_PROJETOS!A:A,LD_PROJETOS!G:G)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_xlfn.XLOOKUP(E228,LD_PROJETOS!A:A,LD_PROJETOS!G:G)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_xlfn.XLOOKUP(E229,LD_PROJETOS!A:A,LD_PROJETOS!G:G)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_xlfn.XLOOKUP(E230,LD_PROJETOS!A:A,LD_PROJETOS!G:G)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_xlfn.XLOOKUP(E231,LD_PROJETOS!A:A,LD_PROJETOS!G:G)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_xlfn.XLOOKUP(E232,LD_PROJETOS!A:A,LD_PROJETOS!G:G)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_xlfn.XLOOKUP(E233,LD_PROJETOS!A:A,LD_PROJETOS!G:G)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_xlfn.XLOOKUP(E234,LD_PROJETOS!A:A,LD_PROJETOS!G:G)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_xlfn.XLOOKUP(E235,LD_PROJETOS!A:A,LD_PROJETOS!G:G)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_xlfn.XLOOKUP(E236,LD_PROJETOS!A:A,LD_PROJETOS!G:G)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_xlfn.XLOOKUP(E237,LD_PROJETOS!A:A,LD_PROJETOS!G:G)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_xlfn.XLOOKUP(E238,LD_PROJETOS!A:A,LD_PROJETOS!G:G)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_xlfn.XLOOKUP(E239,LD_PROJETOS!A:A,LD_PROJETOS!G:G)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_xlfn.XLOOKUP(E240,LD_PROJETOS!A:A,LD_PROJETOS!G:G)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_xlfn.XLOOKUP(E241,LD_PROJETOS!A:A,LD_PROJETOS!G:G)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_xlfn.XLOOKUP(E242,LD_PROJETOS!A:A,LD_PROJETOS!G:G)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_xlfn.XLOOKUP(E243,LD_PROJETOS!A:A,LD_PROJETOS!G:G)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_xlfn.XLOOKUP(E244,LD_PROJETOS!A:A,LD_PROJETOS!G:G)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_xlfn.XLOOKUP(E245,LD_PROJETOS!A:A,LD_PROJETOS!G:G)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_xlfn.XLOOKUP(E246,LD_PROJETOS!A:A,LD_PROJETOS!G:G)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_xlfn.XLOOKUP(E247,LD_PROJETOS!A:A,LD_PROJETOS!G:G)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_xlfn.XLOOKUP(E248,LD_PROJETOS!A:A,LD_PROJETOS!G:G)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_xlfn.XLOOKUP(E249,LD_PROJETOS!A:A,LD_PROJETOS!G:G)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_xlfn.XLOOKUP(E250,LD_PROJETOS!A:A,LD_PROJETOS!G:G)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_xlfn.XLOOKUP(E251,LD_PROJETOS!A:A,LD_PROJETOS!G:G)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_xlfn.XLOOKUP(E252,LD_PROJETOS!A:A,LD_PROJETOS!G:G)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_xlfn.XLOOKUP(E253,LD_PROJETOS!A:A,LD_PROJETOS!G:G)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_xlfn.XLOOKUP(E254,LD_PROJETOS!A:A,LD_PROJETOS!G:G)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_xlfn.XLOOKUP(E255,LD_PROJETOS!A:A,LD_PROJETOS!G:G)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_xlfn.XLOOKUP(E256,LD_PROJETOS!A:A,LD_PROJETOS!G:G)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_xlfn.XLOOKUP(E257,LD_PROJETOS!A:A,LD_PROJETOS!G:G)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_xlfn.XLOOKUP(E258,LD_PROJETOS!A:A,LD_PROJETOS!G:G)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_xlfn.XLOOKUP(E259,LD_PROJETOS!A:A,LD_PROJETOS!G:G)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_xlfn.XLOOKUP(E260,LD_PROJETOS!A:A,LD_PROJETOS!G:G)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_xlfn.XLOOKUP(E261,LD_PROJETOS!A:A,LD_PROJETOS!G:G)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_xlfn.XLOOKUP(E262,LD_PROJETOS!A:A,LD_PROJETOS!G:G)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_xlfn.XLOOKUP(E263,LD_PROJETOS!A:A,LD_PROJETOS!G:G)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_xlfn.XLOOKUP(E264,LD_PROJETOS!A:A,LD_PROJETOS!G:G)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_xlfn.XLOOKUP(E265,LD_PROJETOS!A:A,LD_PROJETOS!G:G)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_xlfn.XLOOKUP(E266,LD_PROJETOS!A:A,LD_PROJETOS!G:G)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_xlfn.XLOOKUP(E267,LD_PROJETOS!A:A,LD_PROJETOS!G:G)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_xlfn.XLOOKUP(E268,LD_PROJETOS!A:A,LD_PROJETOS!G:G)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_xlfn.XLOOKUP(E269,LD_PROJETOS!A:A,LD_PROJETOS!G:G)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_xlfn.XLOOKUP(E270,LD_PROJETOS!A:A,LD_PROJETOS!G:G)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_xlfn.XLOOKUP(E271,LD_PROJETOS!A:A,LD_PROJETOS!G:G)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_xlfn.XLOOKUP(E272,LD_PROJETOS!A:A,LD_PROJETOS!G:G)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_xlfn.XLOOKUP(E273,LD_PROJETOS!A:A,LD_PROJETOS!G:G)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_xlfn.XLOOKUP(E274,LD_PROJETOS!A:A,LD_PROJETOS!G:G)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_xlfn.XLOOKUP(E275,LD_PROJETOS!A:A,LD_PROJETOS!G:G)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_xlfn.XLOOKUP(E276,LD_PROJETOS!A:A,LD_PROJETOS!G:G)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_xlfn.XLOOKUP(E277,LD_PROJETOS!A:A,LD_PROJETOS!G:G)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_xlfn.XLOOKUP(E278,LD_PROJETOS!A:A,LD_PROJETOS!G:G)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_xlfn.XLOOKUP(E279,LD_PROJETOS!A:A,LD_PROJETOS!G:G)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_xlfn.XLOOKUP(E280,LD_PROJETOS!A:A,LD_PROJETOS!G:G)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_xlfn.XLOOKUP(E281,LD_PROJETOS!A:A,LD_PROJETOS!G:G)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_xlfn.XLOOKUP(E282,LD_PROJETOS!A:A,LD_PROJETOS!G:G)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_xlfn.XLOOKUP(E283,LD_PROJETOS!A:A,LD_PROJETOS!G:G)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_xlfn.XLOOKUP(E284,LD_PROJETOS!A:A,LD_PROJETOS!G:G)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_xlfn.XLOOKUP(E285,LD_PROJETOS!A:A,LD_PROJETOS!G:G)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_xlfn.XLOOKUP(E286,LD_PROJETOS!A:A,LD_PROJETOS!G:G)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_xlfn.XLOOKUP(E287,LD_PROJETOS!A:A,LD_PROJETOS!G:G)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_xlfn.XLOOKUP(E288,LD_PROJETOS!A:A,LD_PROJETOS!G:G)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_xlfn.XLOOKUP(E289,LD_PROJETOS!A:A,LD_PROJETOS!G:G)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_xlfn.XLOOKUP(E290,LD_PROJETOS!A:A,LD_PROJETOS!G:G)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_xlfn.XLOOKUP(E291,LD_PROJETOS!A:A,LD_PROJETOS!G:G)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_xlfn.XLOOKUP(E292,LD_PROJETOS!A:A,LD_PROJETOS!G:G)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_xlfn.XLOOKUP(E293,LD_PROJETOS!A:A,LD_PROJETOS!G:G)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_xlfn.XLOOKUP(E294,LD_PROJETOS!A:A,LD_PROJETOS!G:G)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_xlfn.XLOOKUP(E295,LD_PROJETOS!A:A,LD_PROJETOS!G:G)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_xlfn.XLOOKUP(E296,LD_PROJETOS!A:A,LD_PROJETOS!G:G)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_xlfn.XLOOKUP(E297,LD_PROJETOS!A:A,LD_PROJETOS!G:G)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_xlfn.XLOOKUP(E298,LD_PROJETOS!A:A,LD_PROJETOS!G:G)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_xlfn.XLOOKUP(E299,LD_PROJETOS!A:A,LD_PROJETOS!G:G)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_xlfn.XLOOKUP(E300,LD_PROJETOS!A:A,LD_PROJETOS!G:G)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_xlfn.XLOOKUP(E301,LD_PROJETOS!A:A,LD_PROJETOS!G:G)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_xlfn.XLOOKUP(E302,LD_PROJETOS!A:A,LD_PROJETOS!G:G)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_xlfn.XLOOKUP(E303,LD_PROJETOS!A:A,LD_PROJETOS!G:G)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_xlfn.XLOOKUP(E304,LD_PROJETOS!A:A,LD_PROJETOS!G:G)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_xlfn.XLOOKUP(E305,LD_PROJETOS!A:A,LD_PROJETOS!G:G)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_xlfn.XLOOKUP(E306,LD_PROJETOS!A:A,LD_PROJETOS!G:G)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_xlfn.XLOOKUP(E307,LD_PROJETOS!A:A,LD_PROJETOS!G:G)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_xlfn.XLOOKUP(E308,LD_PROJETOS!A:A,LD_PROJETOS!G:G)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_xlfn.XLOOKUP(E309,LD_PROJETOS!A:A,LD_PROJETOS!G:G)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_xlfn.XLOOKUP(E310,LD_PROJETOS!A:A,LD_PROJETOS!G:G)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_xlfn.XLOOKUP(E311,LD_PROJETOS!A:A,LD_PROJETOS!G:G)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_xlfn.XLOOKUP(E312,LD_PROJETOS!A:A,LD_PROJETOS!G:G)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_xlfn.XLOOKUP(E313,LD_PROJETOS!A:A,LD_PROJETOS!G:G)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_xlfn.XLOOKUP(E314,LD_PROJETOS!A:A,LD_PROJETOS!G:G)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_xlfn.XLOOKUP(E315,LD_PROJETOS!A:A,LD_PROJETOS!G:G)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_xlfn.XLOOKUP(E316,LD_PROJETOS!A:A,LD_PROJETOS!G:G)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_xlfn.XLOOKUP(E317,LD_PROJETOS!A:A,LD_PROJETOS!G:G)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_xlfn.XLOOKUP(E318,LD_PROJETOS!A:A,LD_PROJETOS!G:G)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_xlfn.XLOOKUP(E319,LD_PROJETOS!A:A,LD_PROJETOS!G:G)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_xlfn.XLOOKUP(E320,LD_PROJETOS!A:A,LD_PROJETOS!G:G)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_xlfn.XLOOKUP(E321,LD_PROJETOS!A:A,LD_PROJETOS!G:G)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_xlfn.XLOOKUP(E322,LD_PROJETOS!A:A,LD_PROJETOS!G:G)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_xlfn.XLOOKUP(E323,LD_PROJETOS!A:A,LD_PROJETOS!G:G)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_xlfn.XLOOKUP(E324,LD_PROJETOS!A:A,LD_PROJETOS!G:G)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_xlfn.XLOOKUP(E325,LD_PROJETOS!A:A,LD_PROJETOS!G:G)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_xlfn.XLOOKUP(E326,LD_PROJETOS!A:A,LD_PROJETOS!G:G)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_xlfn.XLOOKUP(E327,LD_PROJETOS!A:A,LD_PROJETOS!G:G)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_xlfn.XLOOKUP(E328,LD_PROJETOS!A:A,LD_PROJETOS!G:G)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_xlfn.XLOOKUP(E329,LD_PROJETOS!A:A,LD_PROJETOS!G:G)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_xlfn.XLOOKUP(E330,LD_PROJETOS!A:A,LD_PROJETOS!G:G)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_xlfn.XLOOKUP(E331,LD_PROJETOS!A:A,LD_PROJETOS!G:G)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_xlfn.XLOOKUP(E332,LD_PROJETOS!A:A,LD_PROJETOS!G:G)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_xlfn.XLOOKUP(E333,LD_PROJETOS!A:A,LD_PROJETOS!G:G)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_xlfn.XLOOKUP(E334,LD_PROJETOS!A:A,LD_PROJETOS!G:G)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_xlfn.XLOOKUP(E335,LD_PROJETOS!A:A,LD_PROJETOS!G:G)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_xlfn.XLOOKUP(E336,LD_PROJETOS!A:A,LD_PROJETOS!G:G)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_xlfn.XLOOKUP(E337,LD_PROJETOS!A:A,LD_PROJETOS!G:G)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_xlfn.XLOOKUP(E338,LD_PROJETOS!A:A,LD_PROJETOS!G:G)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_xlfn.XLOOKUP(E339,LD_PROJETOS!A:A,LD_PROJETOS!G:G)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_xlfn.XLOOKUP(E340,LD_PROJETOS!A:A,LD_PROJETOS!G:G)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_xlfn.XLOOKUP(E341,LD_PROJETOS!A:A,LD_PROJETOS!G:G)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_xlfn.XLOOKUP(E342,LD_PROJETOS!A:A,LD_PROJETOS!G:G)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_xlfn.XLOOKUP(E343,LD_PROJETOS!A:A,LD_PROJETOS!G:G)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_xlfn.XLOOKUP(E344,LD_PROJETOS!A:A,LD_PROJETOS!G:G)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_xlfn.XLOOKUP(E345,LD_PROJETOS!A:A,LD_PROJETOS!G:G)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_xlfn.XLOOKUP(E346,LD_PROJETOS!A:A,LD_PROJETOS!G:G)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_xlfn.XLOOKUP(E347,LD_PROJETOS!A:A,LD_PROJETOS!G:G)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_xlfn.XLOOKUP(E348,LD_PROJETOS!A:A,LD_PROJETOS!G:G)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_xlfn.XLOOKUP(E349,LD_PROJETOS!A:A,LD_PROJETOS!G:G)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_xlfn.XLOOKUP(E350,LD_PROJETOS!A:A,LD_PROJETOS!G:G)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_xlfn.XLOOKUP(E351,LD_PROJETOS!A:A,LD_PROJETOS!G:G)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_xlfn.XLOOKUP(E352,LD_PROJETOS!A:A,LD_PROJETOS!G:G)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_xlfn.XLOOKUP(E353,LD_PROJETOS!A:A,LD_PROJETOS!G:G)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_xlfn.XLOOKUP(E354,LD_PROJETOS!A:A,LD_PROJETOS!G:G)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_xlfn.XLOOKUP(E355,LD_PROJETOS!A:A,LD_PROJETOS!G:G)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_xlfn.XLOOKUP(E356,LD_PROJETOS!A:A,LD_PROJETOS!G:G)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_xlfn.XLOOKUP(E357,LD_PROJETOS!A:A,LD_PROJETOS!G:G)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_xlfn.XLOOKUP(E358,LD_PROJETOS!A:A,LD_PROJETOS!G:G)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_xlfn.XLOOKUP(E359,LD_PROJETOS!A:A,LD_PROJETOS!G:G)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_xlfn.XLOOKUP(E360,LD_PROJETOS!A:A,LD_PROJETOS!G:G)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_xlfn.XLOOKUP(E361,LD_PROJETOS!A:A,LD_PROJETOS!G:G)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_xlfn.XLOOKUP(E362,LD_PROJETOS!A:A,LD_PROJETOS!G:G)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_xlfn.XLOOKUP(E363,LD_PROJETOS!A:A,LD_PROJETOS!G:G)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_xlfn.XLOOKUP(E364,LD_PROJETOS!A:A,LD_PROJETOS!G:G)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_xlfn.XLOOKUP(E365,LD_PROJETOS!A:A,LD_PROJETOS!G:G)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_xlfn.XLOOKUP(E366,LD_PROJETOS!A:A,LD_PROJETOS!G:G)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_xlfn.XLOOKUP(E367,LD_PROJETOS!A:A,LD_PROJETOS!G:G)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_xlfn.XLOOKUP(E368,LD_PROJETOS!A:A,LD_PROJETOS!G:G)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_xlfn.XLOOKUP(E369,LD_PROJETOS!A:A,LD_PROJETOS!G:G)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_xlfn.XLOOKUP(E370,LD_PROJETOS!A:A,LD_PROJETOS!G:G)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_xlfn.XLOOKUP(E371,LD_PROJETOS!A:A,LD_PROJETOS!G:G)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_xlfn.XLOOKUP(E372,LD_PROJETOS!A:A,LD_PROJETOS!G:G)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_xlfn.XLOOKUP(E373,LD_PROJETOS!A:A,LD_PROJETOS!G:G)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_xlfn.XLOOKUP(E374,LD_PROJETOS!A:A,LD_PROJETOS!G:G)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_xlfn.XLOOKUP(E375,LD_PROJETOS!A:A,LD_PROJETOS!G:G)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_xlfn.XLOOKUP(E376,LD_PROJETOS!A:A,LD_PROJETOS!G:G)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_xlfn.XLOOKUP(E377,LD_PROJETOS!A:A,LD_PROJETOS!G:G)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_xlfn.XLOOKUP(E378,LD_PROJETOS!A:A,LD_PROJETOS!G:G)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_xlfn.XLOOKUP(E379,LD_PROJETOS!A:A,LD_PROJETOS!G:G)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_xlfn.XLOOKUP(E380,LD_PROJETOS!A:A,LD_PROJETOS!G:G)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_xlfn.XLOOKUP(E381,LD_PROJETOS!A:A,LD_PROJETOS!G:G)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_xlfn.XLOOKUP(E382,LD_PROJETOS!A:A,LD_PROJETOS!G:G)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_xlfn.XLOOKUP(E383,LD_PROJETOS!A:A,LD_PROJETOS!G:G)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_xlfn.XLOOKUP(E384,LD_PROJETOS!A:A,LD_PROJETOS!G:G)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_xlfn.XLOOKUP(E385,LD_PROJETOS!A:A,LD_PROJETOS!G:G)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_xlfn.XLOOKUP(E386,LD_PROJETOS!A:A,LD_PROJETOS!G:G)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_xlfn.XLOOKUP(E387,LD_PROJETOS!A:A,LD_PROJETOS!G:G)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_xlfn.XLOOKUP(E388,LD_PROJETOS!A:A,LD_PROJETOS!G:G)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_xlfn.XLOOKUP(E389,LD_PROJETOS!A:A,LD_PROJETOS!G:G)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_xlfn.XLOOKUP(E390,LD_PROJETOS!A:A,LD_PROJETOS!G:G)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_xlfn.XLOOKUP(E391,LD_PROJETOS!A:A,LD_PROJETOS!G:G)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_xlfn.XLOOKUP(E392,LD_PROJETOS!A:A,LD_PROJETOS!G:G)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_xlfn.XLOOKUP(E393,LD_PROJETOS!A:A,LD_PROJETOS!G:G)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_xlfn.XLOOKUP(E394,LD_PROJETOS!A:A,LD_PROJETOS!G:G)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_xlfn.XLOOKUP(E395,LD_PROJETOS!A:A,LD_PROJETOS!G:G)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_xlfn.XLOOKUP(E396,LD_PROJETOS!A:A,LD_PROJETOS!G:G)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_xlfn.XLOOKUP(E397,LD_PROJETOS!A:A,LD_PROJETOS!G:G)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_xlfn.XLOOKUP(E398,LD_PROJETOS!A:A,LD_PROJETOS!G:G)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_xlfn.XLOOKUP(E399,LD_PROJETOS!A:A,LD_PROJETOS!G:G)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_xlfn.XLOOKUP(E400,LD_PROJETOS!A:A,LD_PROJETOS!G:G)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_xlfn.XLOOKUP(E401,LD_PROJETOS!A:A,LD_PROJETOS!G:G)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_xlfn.XLOOKUP(E402,LD_PROJETOS!A:A,LD_PROJETOS!G:G)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_xlfn.XLOOKUP(E403,LD_PROJETOS!A:A,LD_PROJETOS!G:G)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_xlfn.XLOOKUP(E404,LD_PROJETOS!A:A,LD_PROJETOS!G:G)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_xlfn.XLOOKUP(E405,LD_PROJETOS!A:A,LD_PROJETOS!G:G)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_xlfn.XLOOKUP(E406,LD_PROJETOS!A:A,LD_PROJETOS!G:G)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_xlfn.XLOOKUP(E407,LD_PROJETOS!A:A,LD_PROJETOS!G:G)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_xlfn.XLOOKUP(E408,LD_PROJETOS!A:A,LD_PROJETOS!G:G)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_xlfn.XLOOKUP(E409,LD_PROJETOS!A:A,LD_PROJETOS!G:G)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_xlfn.XLOOKUP(E410,LD_PROJETOS!A:A,LD_PROJETOS!G:G)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_xlfn.XLOOKUP(E411,LD_PROJETOS!A:A,LD_PROJETOS!G:G)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_xlfn.XLOOKUP(E412,LD_PROJETOS!A:A,LD_PROJETOS!G:G)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_xlfn.XLOOKUP(E413,LD_PROJETOS!A:A,LD_PROJETOS!G:G)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_xlfn.XLOOKUP(E414,LD_PROJETOS!A:A,LD_PROJETOS!G:G)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_xlfn.XLOOKUP(E415,LD_PROJETOS!A:A,LD_PROJETOS!G:G)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_xlfn.XLOOKUP(E416,LD_PROJETOS!A:A,LD_PROJETOS!G:G)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_xlfn.XLOOKUP(E417,LD_PROJETOS!A:A,LD_PROJETOS!G:G)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_xlfn.XLOOKUP(E418,LD_PROJETOS!A:A,LD_PROJETOS!G:G)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_xlfn.XLOOKUP(E419,LD_PROJETOS!A:A,LD_PROJETOS!G:G)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_xlfn.XLOOKUP(E420,LD_PROJETOS!A:A,LD_PROJETOS!G:G)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_xlfn.XLOOKUP(E421,LD_PROJETOS!A:A,LD_PROJETOS!G:G)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_xlfn.XLOOKUP(E422,LD_PROJETOS!A:A,LD_PROJETOS!G:G)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_xlfn.XLOOKUP(E423,LD_PROJETOS!A:A,LD_PROJETOS!G:G)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_xlfn.XLOOKUP(E424,LD_PROJETOS!A:A,LD_PROJETOS!G:G)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_xlfn.XLOOKUP(E425,LD_PROJETOS!A:A,LD_PROJETOS!G:G)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_xlfn.XLOOKUP(E426,LD_PROJETOS!A:A,LD_PROJETOS!G:G)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_xlfn.XLOOKUP(E427,LD_PROJETOS!A:A,LD_PROJETOS!G:G)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_xlfn.XLOOKUP(E428,LD_PROJETOS!A:A,LD_PROJETOS!G:G)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_xlfn.XLOOKUP(E429,LD_PROJETOS!A:A,LD_PROJETOS!G:G)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_xlfn.XLOOKUP(E430,LD_PROJETOS!A:A,LD_PROJETOS!G:G)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_xlfn.XLOOKUP(E431,LD_PROJETOS!A:A,LD_PROJETOS!G:G)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_xlfn.XLOOKUP(E432,LD_PROJETOS!A:A,LD_PROJETOS!G:G)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_xlfn.XLOOKUP(E433,LD_PROJETOS!A:A,LD_PROJETOS!G:G)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_xlfn.XLOOKUP(E434,LD_PROJETOS!A:A,LD_PROJETOS!G:G)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_xlfn.XLOOKUP(E435,LD_PROJETOS!A:A,LD_PROJETOS!G:G)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_xlfn.XLOOKUP(E436,LD_PROJETOS!A:A,LD_PROJETOS!G:G)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_xlfn.XLOOKUP(E437,LD_PROJETOS!A:A,LD_PROJETOS!G:G)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_xlfn.XLOOKUP(E438,LD_PROJETOS!A:A,LD_PROJETOS!G:G)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_xlfn.XLOOKUP(E439,LD_PROJETOS!A:A,LD_PROJETOS!G:G)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_xlfn.XLOOKUP(E440,LD_PROJETOS!A:A,LD_PROJETOS!G:G)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_xlfn.XLOOKUP(E441,LD_PROJETOS!A:A,LD_PROJETOS!G:G)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_xlfn.XLOOKUP(E442,LD_PROJETOS!A:A,LD_PROJETOS!G:G)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_xlfn.XLOOKUP(E443,LD_PROJETOS!A:A,LD_PROJETOS!G:G)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_xlfn.XLOOKUP(E444,LD_PROJETOS!A:A,LD_PROJETOS!G:G)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_xlfn.XLOOKUP(E445,LD_PROJETOS!A:A,LD_PROJETOS!G:G)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_xlfn.XLOOKUP(E446,LD_PROJETOS!A:A,LD_PROJETOS!G:G)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_xlfn.XLOOKUP(E447,LD_PROJETOS!A:A,LD_PROJETOS!G:G)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_xlfn.XLOOKUP(E448,LD_PROJETOS!A:A,LD_PROJETOS!G:G)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_xlfn.XLOOKUP(E449,LD_PROJETOS!A:A,LD_PROJETOS!G:G)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_xlfn.XLOOKUP(E450,LD_PROJETOS!A:A,LD_PROJETOS!G:G)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_xlfn.XLOOKUP(E451,LD_PROJETOS!A:A,LD_PROJETOS!G:G)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_xlfn.XLOOKUP(E452,LD_PROJETOS!A:A,LD_PROJETOS!G:G)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_xlfn.XLOOKUP(E453,LD_PROJETOS!A:A,LD_PROJETOS!G:G)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_xlfn.XLOOKUP(E454,LD_PROJETOS!A:A,LD_PROJETOS!G:G)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_xlfn.XLOOKUP(E455,LD_PROJETOS!A:A,LD_PROJETOS!G:G)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_xlfn.XLOOKUP(E456,LD_PROJETOS!A:A,LD_PROJETOS!G:G)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_xlfn.XLOOKUP(E457,LD_PROJETOS!A:A,LD_PROJETOS!G:G)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_xlfn.XLOOKUP(E458,LD_PROJETOS!A:A,LD_PROJETOS!G:G)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_xlfn.XLOOKUP(E459,LD_PROJETOS!A:A,LD_PROJETOS!G:G)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_xlfn.XLOOKUP(E460,LD_PROJETOS!A:A,LD_PROJETOS!G:G)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_xlfn.XLOOKUP(E461,LD_PROJETOS!A:A,LD_PROJETOS!G:G)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_xlfn.XLOOKUP(E462,LD_PROJETOS!A:A,LD_PROJETOS!G:G)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_xlfn.XLOOKUP(E463,LD_PROJETOS!A:A,LD_PROJETOS!G:G)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_xlfn.XLOOKUP(E464,LD_PROJETOS!A:A,LD_PROJETOS!G:G)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_xlfn.XLOOKUP(E465,LD_PROJETOS!A:A,LD_PROJETOS!G:G)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_xlfn.XLOOKUP(E466,LD_PROJETOS!A:A,LD_PROJETOS!G:G)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_xlfn.XLOOKUP(E467,LD_PROJETOS!A:A,LD_PROJETOS!G:G)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_xlfn.XLOOKUP(E468,LD_PROJETOS!A:A,LD_PROJETOS!G:G)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_xlfn.XLOOKUP(E469,LD_PROJETOS!A:A,LD_PROJETOS!G:G)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_xlfn.XLOOKUP(E470,LD_PROJETOS!A:A,LD_PROJETOS!G:G)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_xlfn.XLOOKUP(E471,LD_PROJETOS!A:A,LD_PROJETOS!G:G)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_xlfn.XLOOKUP(E472,LD_PROJETOS!A:A,LD_PROJETOS!G:G)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_xlfn.XLOOKUP(E473,LD_PROJETOS!A:A,LD_PROJETOS!G:G)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_xlfn.XLOOKUP(E474,LD_PROJETOS!A:A,LD_PROJETOS!G:G)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_xlfn.XLOOKUP(E475,LD_PROJETOS!A:A,LD_PROJETOS!G:G)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_xlfn.XLOOKUP(E476,LD_PROJETOS!A:A,LD_PROJETOS!G:G)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_xlfn.XLOOKUP(E477,LD_PROJETOS!A:A,LD_PROJETOS!G:G)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_xlfn.XLOOKUP(E478,LD_PROJETOS!A:A,LD_PROJETOS!G:G)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_xlfn.XLOOKUP(E479,LD_PROJETOS!A:A,LD_PROJETOS!G:G)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_xlfn.XLOOKUP(E480,LD_PROJETOS!A:A,LD_PROJETOS!G:G)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_xlfn.XLOOKUP(E481,LD_PROJETOS!A:A,LD_PROJETOS!G:G)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_xlfn.XLOOKUP(E482,LD_PROJETOS!A:A,LD_PROJETOS!G:G)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_xlfn.XLOOKUP(E483,LD_PROJETOS!A:A,LD_PROJETOS!G:G)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_xlfn.XLOOKUP(E484,LD_PROJETOS!A:A,LD_PROJETOS!G:G)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_xlfn.XLOOKUP(E485,LD_PROJETOS!A:A,LD_PROJETOS!G:G)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_xlfn.XLOOKUP(E486,LD_PROJETOS!A:A,LD_PROJETOS!G:G)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_xlfn.XLOOKUP(E487,LD_PROJETOS!A:A,LD_PROJETOS!G:G)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_xlfn.XLOOKUP(E488,LD_PROJETOS!A:A,LD_PROJETOS!G:G)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_xlfn.XLOOKUP(E489,LD_PROJETOS!A:A,LD_PROJETOS!G:G)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_xlfn.XLOOKUP(E490,LD_PROJETOS!A:A,LD_PROJETOS!G:G)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_xlfn.XLOOKUP(E491,LD_PROJETOS!A:A,LD_PROJETOS!G:G)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_xlfn.XLOOKUP(E492,LD_PROJETOS!A:A,LD_PROJETOS!G:G)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_xlfn.XLOOKUP(E493,LD_PROJETOS!A:A,LD_PROJETOS!G:G)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_xlfn.XLOOKUP(E494,LD_PROJETOS!A:A,LD_PROJETOS!G:G)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_xlfn.XLOOKUP(E495,LD_PROJETOS!A:A,LD_PROJETOS!G:G)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_xlfn.XLOOKUP(E496,LD_PROJETOS!A:A,LD_PROJETOS!G:G)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_xlfn.XLOOKUP(E497,LD_PROJETOS!A:A,LD_PROJETOS!G:G)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_xlfn.XLOOKUP(E498,LD_PROJETOS!A:A,LD_PROJETOS!G:G)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_xlfn.XLOOKUP(E499,LD_PROJETOS!A:A,LD_PROJETOS!G:G)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_xlfn.XLOOKUP(E500,LD_PROJETOS!A:A,LD_PROJETOS!G:G)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_xlfn.XLOOKUP(E501,LD_PROJETOS!A:A,LD_PROJETOS!G:G)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_xlfn.XLOOKUP(E502,LD_PROJETOS!A:A,LD_PROJETOS!G:G)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_xlfn.XLOOKUP(E503,LD_PROJETOS!A:A,LD_PROJETOS!G:G)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_xlfn.XLOOKUP(E504,LD_PROJETOS!A:A,LD_PROJETOS!G:G)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_xlfn.XLOOKUP(E505,LD_PROJETOS!A:A,LD_PROJETOS!G:G)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_xlfn.XLOOKUP(E506,LD_PROJETOS!A:A,LD_PROJETOS!G:G)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_xlfn.XLOOKUP(E507,LD_PROJETOS!A:A,LD_PROJETOS!G:G)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_xlfn.XLOOKUP(E508,LD_PROJETOS!A:A,LD_PROJETOS!G:G)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_xlfn.XLOOKUP(E509,LD_PROJETOS!A:A,LD_PROJETOS!G:G)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_xlfn.XLOOKUP(E510,LD_PROJETOS!A:A,LD_PROJETOS!G:G)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_xlfn.XLOOKUP(E511,LD_PROJETOS!A:A,LD_PROJETOS!G:G)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_xlfn.XLOOKUP(E512,LD_PROJETOS!A:A,LD_PROJETOS!G:G)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_xlfn.XLOOKUP(E513,LD_PROJETOS!A:A,LD_PROJETOS!G:G)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_xlfn.XLOOKUP(E514,LD_PROJETOS!A:A,LD_PROJETOS!G:G)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_xlfn.XLOOKUP(E515,LD_PROJETOS!A:A,LD_PROJETOS!G:G)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_xlfn.XLOOKUP(E516,LD_PROJETOS!A:A,LD_PROJETOS!G:G)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_xlfn.XLOOKUP(E517,LD_PROJETOS!A:A,LD_PROJETOS!G:G)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_xlfn.XLOOKUP(E518,LD_PROJETOS!A:A,LD_PROJETOS!G:G)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_xlfn.XLOOKUP(E519,LD_PROJETOS!A:A,LD_PROJETOS!G:G)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_xlfn.XLOOKUP(E520,LD_PROJETOS!A:A,LD_PROJETOS!G:G)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_xlfn.XLOOKUP(E521,LD_PROJETOS!A:A,LD_PROJETOS!G:G)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_xlfn.XLOOKUP(E522,LD_PROJETOS!A:A,LD_PROJETOS!G:G)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_xlfn.XLOOKUP(E523,LD_PROJETOS!A:A,LD_PROJETOS!G:G)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_xlfn.XLOOKUP(E524,LD_PROJETOS!A:A,LD_PROJETOS!G:G)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_xlfn.XLOOKUP(E525,LD_PROJETOS!A:A,LD_PROJETOS!G:G)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_xlfn.XLOOKUP(E526,LD_PROJETOS!A:A,LD_PROJETOS!G:G)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_xlfn.XLOOKUP(E527,LD_PROJETOS!A:A,LD_PROJETOS!G:G)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_xlfn.XLOOKUP(E528,LD_PROJETOS!A:A,LD_PROJETOS!G:G)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_xlfn.XLOOKUP(E529,LD_PROJETOS!A:A,LD_PROJETOS!G:G)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_xlfn.XLOOKUP(E530,LD_PROJETOS!A:A,LD_PROJETOS!G:G)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_xlfn.XLOOKUP(E531,LD_PROJETOS!A:A,LD_PROJETOS!G:G)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_xlfn.XLOOKUP(E532,LD_PROJETOS!A:A,LD_PROJETOS!G:G)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_xlfn.XLOOKUP(E533,LD_PROJETOS!A:A,LD_PROJETOS!G:G)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_xlfn.XLOOKUP(E534,LD_PROJETOS!A:A,LD_PROJETOS!G:G)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_xlfn.XLOOKUP(E535,LD_PROJETOS!A:A,LD_PROJETOS!G:G)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_xlfn.XLOOKUP(E536,LD_PROJETOS!A:A,LD_PROJETOS!G:G)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_xlfn.XLOOKUP(E537,LD_PROJETOS!A:A,LD_PROJETOS!G:G)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_xlfn.XLOOKUP(E538,LD_PROJETOS!A:A,LD_PROJETOS!G:G)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_xlfn.XLOOKUP(E539,LD_PROJETOS!A:A,LD_PROJETOS!G:G)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_xlfn.XLOOKUP(E540,LD_PROJETOS!A:A,LD_PROJETOS!G:G)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_xlfn.XLOOKUP(E541,LD_PROJETOS!A:A,LD_PROJETOS!G:G)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_xlfn.XLOOKUP(E542,LD_PROJETOS!A:A,LD_PROJETOS!G:G)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_xlfn.XLOOKUP(E543,LD_PROJETOS!A:A,LD_PROJETOS!G:G)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_xlfn.XLOOKUP(E544,LD_PROJETOS!A:A,LD_PROJETOS!G:G)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_xlfn.XLOOKUP(E545,LD_PROJETOS!A:A,LD_PROJETOS!G:G)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_xlfn.XLOOKUP(E546,LD_PROJETOS!A:A,LD_PROJETOS!G:G)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_xlfn.XLOOKUP(E547,LD_PROJETOS!A:A,LD_PROJETOS!G:G)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_xlfn.XLOOKUP(E548,LD_PROJETOS!A:A,LD_PROJETOS!G:G)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_xlfn.XLOOKUP(E549,LD_PROJETOS!A:A,LD_PROJETOS!G:G)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_xlfn.XLOOKUP(E550,LD_PROJETOS!A:A,LD_PROJETOS!G:G)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_xlfn.XLOOKUP(E551,LD_PROJETOS!A:A,LD_PROJETOS!G:G)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_xlfn.XLOOKUP(E552,LD_PROJETOS!A:A,LD_PROJETOS!G:G)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_xlfn.XLOOKUP(E553,LD_PROJETOS!A:A,LD_PROJETOS!G:G)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_xlfn.XLOOKUP(E554,LD_PROJETOS!A:A,LD_PROJETOS!G:G)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_xlfn.XLOOKUP(E555,LD_PROJETOS!A:A,LD_PROJETOS!G:G)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_xlfn.XLOOKUP(E556,LD_PROJETOS!A:A,LD_PROJETOS!G:G)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_xlfn.XLOOKUP(E557,LD_PROJETOS!A:A,LD_PROJETOS!G:G)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_xlfn.XLOOKUP(E558,LD_PROJETOS!A:A,LD_PROJETOS!G:G)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_xlfn.XLOOKUP(E559,LD_PROJETOS!A:A,LD_PROJETOS!G:G)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_xlfn.XLOOKUP(E560,LD_PROJETOS!A:A,LD_PROJETOS!G:G)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_xlfn.XLOOKUP(E561,LD_PROJETOS!A:A,LD_PROJETOS!G:G)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_xlfn.XLOOKUP(E562,LD_PROJETOS!A:A,LD_PROJETOS!G:G)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_xlfn.XLOOKUP(E563,LD_PROJETOS!A:A,LD_PROJETOS!G:G)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_xlfn.XLOOKUP(E564,LD_PROJETOS!A:A,LD_PROJETOS!G:G)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_xlfn.XLOOKUP(E565,LD_PROJETOS!A:A,LD_PROJETOS!G:G)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_xlfn.XLOOKUP(E566,LD_PROJETOS!A:A,LD_PROJETOS!G:G)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_xlfn.XLOOKUP(E567,LD_PROJETOS!A:A,LD_PROJETOS!G:G)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_xlfn.XLOOKUP(E568,LD_PROJETOS!A:A,LD_PROJETOS!G:G)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_xlfn.XLOOKUP(E569,LD_PROJETOS!A:A,LD_PROJETOS!G:G)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_xlfn.XLOOKUP(E570,LD_PROJETOS!A:A,LD_PROJETOS!G:G)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_xlfn.XLOOKUP(E571,LD_PROJETOS!A:A,LD_PROJETOS!G:G)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_xlfn.XLOOKUP(E572,LD_PROJETOS!A:A,LD_PROJETOS!G:G)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_xlfn.XLOOKUP(E573,LD_PROJETOS!A:A,LD_PROJETOS!G:G)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_xlfn.XLOOKUP(E574,LD_PROJETOS!A:A,LD_PROJETOS!G:G)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_xlfn.XLOOKUP(E575,LD_PROJETOS!A:A,LD_PROJETOS!G:G)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_xlfn.XLOOKUP(E576,LD_PROJETOS!A:A,LD_PROJETOS!G:G)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_xlfn.XLOOKUP(E577,LD_PROJETOS!A:A,LD_PROJETOS!G:G)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_xlfn.XLOOKUP(E578,LD_PROJETOS!A:A,LD_PROJETOS!G:G)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_xlfn.XLOOKUP(E579,LD_PROJETOS!A:A,LD_PROJETOS!G:G)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_xlfn.XLOOKUP(E580,LD_PROJETOS!A:A,LD_PROJETOS!G:G)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_xlfn.XLOOKUP(E581,LD_PROJETOS!A:A,LD_PROJETOS!G:G)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_xlfn.XLOOKUP(E582,LD_PROJETOS!A:A,LD_PROJETOS!G:G)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_xlfn.XLOOKUP(E583,LD_PROJETOS!A:A,LD_PROJETOS!G:G)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_xlfn.XLOOKUP(E584,LD_PROJETOS!A:A,LD_PROJETOS!G:G)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_xlfn.XLOOKUP(E585,LD_PROJETOS!A:A,LD_PROJETOS!G:G)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_xlfn.XLOOKUP(E586,LD_PROJETOS!A:A,LD_PROJETOS!G:G)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_xlfn.XLOOKUP(E587,LD_PROJETOS!A:A,LD_PROJETOS!G:G)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_xlfn.XLOOKUP(E588,LD_PROJETOS!A:A,LD_PROJETOS!G:G)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_xlfn.XLOOKUP(E589,LD_PROJETOS!A:A,LD_PROJETOS!G:G)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_xlfn.XLOOKUP(E590,LD_PROJETOS!A:A,LD_PROJETOS!G:G)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_xlfn.XLOOKUP(E591,LD_PROJETOS!A:A,LD_PROJETOS!G:G)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_xlfn.XLOOKUP(E592,LD_PROJETOS!A:A,LD_PROJETOS!G:G)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_xlfn.XLOOKUP(E593,LD_PROJETOS!A:A,LD_PROJETOS!G:G)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_xlfn.XLOOKUP(E594,LD_PROJETOS!A:A,LD_PROJETOS!G:G)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_xlfn.XLOOKUP(E595,LD_PROJETOS!A:A,LD_PROJETOS!G:G)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_xlfn.XLOOKUP(E596,LD_PROJETOS!A:A,LD_PROJETOS!G:G)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_xlfn.XLOOKUP(E597,LD_PROJETOS!A:A,LD_PROJETOS!G:G)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_xlfn.XLOOKUP(E598,LD_PROJETOS!A:A,LD_PROJETOS!G:G)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_xlfn.XLOOKUP(E599,LD_PROJETOS!A:A,LD_PROJETOS!G:G)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_xlfn.XLOOKUP(E600,LD_PROJETOS!A:A,LD_PROJETOS!G:G)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_xlfn.XLOOKUP(E601,LD_PROJETOS!A:A,LD_PROJETOS!G:G)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_xlfn.XLOOKUP(E602,LD_PROJETOS!A:A,LD_PROJETOS!G:G)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_xlfn.XLOOKUP(E603,LD_PROJETOS!A:A,LD_PROJETOS!G:G)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_xlfn.XLOOKUP(E604,LD_PROJETOS!A:A,LD_PROJETOS!G:G)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_xlfn.XLOOKUP(E605,LD_PROJETOS!A:A,LD_PROJETOS!G:G)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_xlfn.XLOOKUP(E606,LD_PROJETOS!A:A,LD_PROJETOS!G:G)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_xlfn.XLOOKUP(E607,LD_PROJETOS!A:A,LD_PROJETOS!G:G)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_xlfn.XLOOKUP(E608,LD_PROJETOS!A:A,LD_PROJETOS!G:G)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_xlfn.XLOOKUP(E609,LD_PROJETOS!A:A,LD_PROJETOS!G:G)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_xlfn.XLOOKUP(E610,LD_PROJETOS!A:A,LD_PROJETOS!G:G)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_xlfn.XLOOKUP(E611,LD_PROJETOS!A:A,LD_PROJETOS!G:G)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_xlfn.XLOOKUP(E612,LD_PROJETOS!A:A,LD_PROJETOS!G:G)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_xlfn.XLOOKUP(E613,LD_PROJETOS!A:A,LD_PROJETOS!G:G)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_xlfn.XLOOKUP(E614,LD_PROJETOS!A:A,LD_PROJETOS!G:G)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_xlfn.XLOOKUP(E615,LD_PROJETOS!A:A,LD_PROJETOS!G:G)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_xlfn.XLOOKUP(E616,LD_PROJETOS!A:A,LD_PROJETOS!G:G)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_xlfn.XLOOKUP(E617,LD_PROJETOS!A:A,LD_PROJETOS!G:G)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_xlfn.XLOOKUP(E618,LD_PROJETOS!A:A,LD_PROJETOS!G:G)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_xlfn.XLOOKUP(E619,LD_PROJETOS!A:A,LD_PROJETOS!G:G)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_xlfn.XLOOKUP(E620,LD_PROJETOS!A:A,LD_PROJETOS!G:G)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_xlfn.XLOOKUP(E621,LD_PROJETOS!A:A,LD_PROJETOS!G:G)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_xlfn.XLOOKUP(E622,LD_PROJETOS!A:A,LD_PROJETOS!G:G)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_xlfn.XLOOKUP(E623,LD_PROJETOS!A:A,LD_PROJETOS!G:G)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_xlfn.XLOOKUP(E624,LD_PROJETOS!A:A,LD_PROJETOS!G:G)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_xlfn.XLOOKUP(E625,LD_PROJETOS!A:A,LD_PROJETOS!G:G)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_xlfn.XLOOKUP(E626,LD_PROJETOS!A:A,LD_PROJETOS!G:G)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_xlfn.XLOOKUP(E627,LD_PROJETOS!A:A,LD_PROJETOS!G:G)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_xlfn.XLOOKUP(E628,LD_PROJETOS!A:A,LD_PROJETOS!G:G)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_xlfn.XLOOKUP(E629,LD_PROJETOS!A:A,LD_PROJETOS!G:G)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_xlfn.XLOOKUP(E630,LD_PROJETOS!A:A,LD_PROJETOS!G:G)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_xlfn.XLOOKUP(E631,LD_PROJETOS!A:A,LD_PROJETOS!G:G)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_xlfn.XLOOKUP(E632,LD_PROJETOS!A:A,LD_PROJETOS!G:G)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_xlfn.XLOOKUP(E633,LD_PROJETOS!A:A,LD_PROJETOS!G:G)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_xlfn.XLOOKUP(E634,LD_PROJETOS!A:A,LD_PROJETOS!G:G)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_xlfn.XLOOKUP(E635,LD_PROJETOS!A:A,LD_PROJETOS!G:G)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_xlfn.XLOOKUP(E636,LD_PROJETOS!A:A,LD_PROJETOS!G:G)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_xlfn.XLOOKUP(E637,LD_PROJETOS!A:A,LD_PROJETOS!G:G)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_xlfn.XLOOKUP(E638,LD_PROJETOS!A:A,LD_PROJETOS!G:G)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_xlfn.XLOOKUP(E639,LD_PROJETOS!A:A,LD_PROJETOS!G:G)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_xlfn.XLOOKUP(E640,LD_PROJETOS!A:A,LD_PROJETOS!G:G)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_xlfn.XLOOKUP(E641,LD_PROJETOS!A:A,LD_PROJETOS!G:G)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_xlfn.XLOOKUP(E642,LD_PROJETOS!A:A,LD_PROJETOS!G:G)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_xlfn.XLOOKUP(E643,LD_PROJETOS!A:A,LD_PROJETOS!G:G)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_xlfn.XLOOKUP(E644,LD_PROJETOS!A:A,LD_PROJETOS!G:G)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_xlfn.XLOOKUP(E645,LD_PROJETOS!A:A,LD_PROJETOS!G:G)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_xlfn.XLOOKUP(E646,LD_PROJETOS!A:A,LD_PROJETOS!G:G)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_xlfn.XLOOKUP(E647,LD_PROJETOS!A:A,LD_PROJETOS!G:G)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_xlfn.XLOOKUP(E648,LD_PROJETOS!A:A,LD_PROJETOS!G:G)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_xlfn.XLOOKUP(E649,LD_PROJETOS!A:A,LD_PROJETOS!G:G)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_xlfn.XLOOKUP(E650,LD_PROJETOS!A:A,LD_PROJETOS!G:G)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_xlfn.XLOOKUP(E651,LD_PROJETOS!A:A,LD_PROJETOS!G:G)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_xlfn.XLOOKUP(E652,LD_PROJETOS!A:A,LD_PROJETOS!G:G)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_xlfn.XLOOKUP(E653,LD_PROJETOS!A:A,LD_PROJETOS!G:G)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_xlfn.XLOOKUP(E654,LD_PROJETOS!A:A,LD_PROJETOS!G:G)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_xlfn.XLOOKUP(E655,LD_PROJETOS!A:A,LD_PROJETOS!G:G)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_xlfn.XLOOKUP(E656,LD_PROJETOS!A:A,LD_PROJETOS!G:G)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_xlfn.XLOOKUP(E657,LD_PROJETOS!A:A,LD_PROJETOS!G:G)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_xlfn.XLOOKUP(E658,LD_PROJETOS!A:A,LD_PROJETOS!G:G)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_xlfn.XLOOKUP(E659,LD_PROJETOS!A:A,LD_PROJETOS!G:G)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_xlfn.XLOOKUP(E660,LD_PROJETOS!A:A,LD_PROJETOS!G:G)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_xlfn.XLOOKUP(E661,LD_PROJETOS!A:A,LD_PROJETOS!G:G)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_xlfn.XLOOKUP(E662,LD_PROJETOS!A:A,LD_PROJETOS!G:G)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_xlfn.XLOOKUP(E663,LD_PROJETOS!A:A,LD_PROJETOS!G:G)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_xlfn.XLOOKUP(E664,LD_PROJETOS!A:A,LD_PROJETOS!G:G)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_xlfn.XLOOKUP(E665,LD_PROJETOS!A:A,LD_PROJETOS!G:G)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_xlfn.XLOOKUP(E666,LD_PROJETOS!A:A,LD_PROJETOS!G:G)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_xlfn.XLOOKUP(E667,LD_PROJETOS!A:A,LD_PROJETOS!G:G)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_xlfn.XLOOKUP(E668,LD_PROJETOS!A:A,LD_PROJETOS!G:G)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_xlfn.XLOOKUP(E669,LD_PROJETOS!A:A,LD_PROJETOS!G:G)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_xlfn.XLOOKUP(E670,LD_PROJETOS!A:A,LD_PROJETOS!G:G)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_xlfn.XLOOKUP(E671,LD_PROJETOS!A:A,LD_PROJETOS!G:G)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_xlfn.XLOOKUP(E672,LD_PROJETOS!A:A,LD_PROJETOS!G:G)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_xlfn.XLOOKUP(E673,LD_PROJETOS!A:A,LD_PROJETOS!G:G)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_xlfn.XLOOKUP(E674,LD_PROJETOS!A:A,LD_PROJETOS!G:G)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_xlfn.XLOOKUP(E675,LD_PROJETOS!A:A,LD_PROJETOS!G:G)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_xlfn.XLOOKUP(E676,LD_PROJETOS!A:A,LD_PROJETOS!G:G)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_xlfn.XLOOKUP(E677,LD_PROJETOS!A:A,LD_PROJETOS!G:G)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_xlfn.XLOOKUP(E678,LD_PROJETOS!A:A,LD_PROJETOS!G:G)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_xlfn.XLOOKUP(E679,LD_PROJETOS!A:A,LD_PROJETOS!G:G)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_xlfn.XLOOKUP(E680,LD_PROJETOS!A:A,LD_PROJETOS!G:G)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_xlfn.XLOOKUP(E681,LD_PROJETOS!A:A,LD_PROJETOS!G:G)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_xlfn.XLOOKUP(E682,LD_PROJETOS!A:A,LD_PROJETOS!G:G)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_xlfn.XLOOKUP(E683,LD_PROJETOS!A:A,LD_PROJETOS!G:G)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_xlfn.XLOOKUP(E684,LD_PROJETOS!A:A,LD_PROJETOS!G:G)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_xlfn.XLOOKUP(E685,LD_PROJETOS!A:A,LD_PROJETOS!G:G)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_xlfn.XLOOKUP(E686,LD_PROJETOS!A:A,LD_PROJETOS!G:G)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_xlfn.XLOOKUP(E687,LD_PROJETOS!A:A,LD_PROJETOS!G:G)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_xlfn.XLOOKUP(E688,LD_PROJETOS!A:A,LD_PROJETOS!G:G)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_xlfn.XLOOKUP(E689,LD_PROJETOS!A:A,LD_PROJETOS!G:G)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_xlfn.XLOOKUP(E690,LD_PROJETOS!A:A,LD_PROJETOS!G:G)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_xlfn.XLOOKUP(E691,LD_PROJETOS!A:A,LD_PROJETOS!G:G)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_xlfn.XLOOKUP(E692,LD_PROJETOS!A:A,LD_PROJETOS!G:G)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_xlfn.XLOOKUP(E693,LD_PROJETOS!A:A,LD_PROJETOS!G:G)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_xlfn.XLOOKUP(E694,LD_PROJETOS!A:A,LD_PROJETOS!G:G)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_xlfn.XLOOKUP(E695,LD_PROJETOS!A:A,LD_PROJETOS!G:G)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_xlfn.XLOOKUP(E696,LD_PROJETOS!A:A,LD_PROJETOS!G:G)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_xlfn.XLOOKUP(E697,LD_PROJETOS!A:A,LD_PROJETOS!G:G)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_xlfn.XLOOKUP(E698,LD_PROJETOS!A:A,LD_PROJETOS!G:G)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_xlfn.XLOOKUP(E699,LD_PROJETOS!A:A,LD_PROJETOS!G:G)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_xlfn.XLOOKUP(E700,LD_PROJETOS!A:A,LD_PROJETOS!G:G)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_xlfn.XLOOKUP(E701,LD_PROJETOS!A:A,LD_PROJETOS!G:G)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_xlfn.XLOOKUP(E702,LD_PROJETOS!A:A,LD_PROJETOS!G:G)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_xlfn.XLOOKUP(E703,LD_PROJETOS!A:A,LD_PROJETOS!G:G)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_xlfn.XLOOKUP(E704,LD_PROJETOS!A:A,LD_PROJETOS!G:G)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_xlfn.XLOOKUP(E705,LD_PROJETOS!A:A,LD_PROJETOS!G:G)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_xlfn.XLOOKUP(E706,LD_PROJETOS!A:A,LD_PROJETOS!G:G)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_xlfn.XLOOKUP(E707,LD_PROJETOS!A:A,LD_PROJETOS!G:G)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_xlfn.XLOOKUP(E708,LD_PROJETOS!A:A,LD_PROJETOS!G:G)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_xlfn.XLOOKUP(E709,LD_PROJETOS!A:A,LD_PROJETOS!G:G)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_xlfn.XLOOKUP(E710,LD_PROJETOS!A:A,LD_PROJETOS!G:G)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_xlfn.XLOOKUP(E711,LD_PROJETOS!A:A,LD_PROJETOS!G:G)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_xlfn.XLOOKUP(E712,LD_PROJETOS!A:A,LD_PROJETOS!G:G)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_xlfn.XLOOKUP(E713,LD_PROJETOS!A:A,LD_PROJETOS!G:G)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_xlfn.XLOOKUP(E714,LD_PROJETOS!A:A,LD_PROJETOS!G:G)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_xlfn.XLOOKUP(E715,LD_PROJETOS!A:A,LD_PROJETOS!G:G)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_xlfn.XLOOKUP(E716,LD_PROJETOS!A:A,LD_PROJETOS!G:G)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_xlfn.XLOOKUP(E717,LD_PROJETOS!A:A,LD_PROJETOS!G:G)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_xlfn.XLOOKUP(E718,LD_PROJETOS!A:A,LD_PROJETOS!G:G)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_xlfn.XLOOKUP(E719,LD_PROJETOS!A:A,LD_PROJETOS!G:G)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_xlfn.XLOOKUP(E720,LD_PROJETOS!A:A,LD_PROJETOS!G:G)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_xlfn.XLOOKUP(E721,LD_PROJETOS!A:A,LD_PROJETOS!G:G)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_xlfn.XLOOKUP(E722,LD_PROJETOS!A:A,LD_PROJETOS!G:G)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_xlfn.XLOOKUP(E723,LD_PROJETOS!A:A,LD_PROJETOS!G:G)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_xlfn.XLOOKUP(E724,LD_PROJETOS!A:A,LD_PROJETOS!G:G)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_xlfn.XLOOKUP(E725,LD_PROJETOS!A:A,LD_PROJETOS!G:G)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_xlfn.XLOOKUP(E726,LD_PROJETOS!A:A,LD_PROJETOS!G:G)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_xlfn.XLOOKUP(E727,LD_PROJETOS!A:A,LD_PROJETOS!G:G)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_xlfn.XLOOKUP(E728,LD_PROJETOS!A:A,LD_PROJETOS!G:G)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_xlfn.XLOOKUP(E729,LD_PROJETOS!A:A,LD_PROJETOS!G:G)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_xlfn.XLOOKUP(E730,LD_PROJETOS!A:A,LD_PROJETOS!G:G)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_xlfn.XLOOKUP(E731,LD_PROJETOS!A:A,LD_PROJETOS!G:G)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_xlfn.XLOOKUP(E732,LD_PROJETOS!A:A,LD_PROJETOS!G:G)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_xlfn.XLOOKUP(E733,LD_PROJETOS!A:A,LD_PROJETOS!G:G)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_xlfn.XLOOKUP(E734,LD_PROJETOS!A:A,LD_PROJETOS!G:G)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_xlfn.XLOOKUP(E735,LD_PROJETOS!A:A,LD_PROJETOS!G:G)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_xlfn.XLOOKUP(E736,LD_PROJETOS!A:A,LD_PROJETOS!G:G)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_xlfn.XLOOKUP(E737,LD_PROJETOS!A:A,LD_PROJETOS!G:G)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_xlfn.XLOOKUP(E738,LD_PROJETOS!A:A,LD_PROJETOS!G:G)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_xlfn.XLOOKUP(E739,LD_PROJETOS!A:A,LD_PROJETOS!G:G)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_xlfn.XLOOKUP(E740,LD_PROJETOS!A:A,LD_PROJETOS!G:G)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_xlfn.XLOOKUP(E741,LD_PROJETOS!A:A,LD_PROJETOS!G:G)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_xlfn.XLOOKUP(E742,LD_PROJETOS!A:A,LD_PROJETOS!G:G)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_xlfn.XLOOKUP(E743,LD_PROJETOS!A:A,LD_PROJETOS!G:G)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_xlfn.XLOOKUP(E744,LD_PROJETOS!A:A,LD_PROJETOS!G:G)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_xlfn.XLOOKUP(E745,LD_PROJETOS!A:A,LD_PROJETOS!G:G)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_xlfn.XLOOKUP(E746,LD_PROJETOS!A:A,LD_PROJETOS!G:G)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_xlfn.XLOOKUP(E747,LD_PROJETOS!A:A,LD_PROJETOS!G:G)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_xlfn.XLOOKUP(E748,LD_PROJETOS!A:A,LD_PROJETOS!G:G)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_xlfn.XLOOKUP(E749,LD_PROJETOS!A:A,LD_PROJETOS!G:G)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_xlfn.XLOOKUP(E750,LD_PROJETOS!A:A,LD_PROJETOS!G:G)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_xlfn.XLOOKUP(E751,LD_PROJETOS!A:A,LD_PROJETOS!G:G)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_xlfn.XLOOKUP(E752,LD_PROJETOS!A:A,LD_PROJETOS!G:G)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_xlfn.XLOOKUP(E753,LD_PROJETOS!A:A,LD_PROJETOS!G:G)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_xlfn.XLOOKUP(E754,LD_PROJETOS!A:A,LD_PROJETOS!G:G)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_xlfn.XLOOKUP(E755,LD_PROJETOS!A:A,LD_PROJETOS!G:G)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_xlfn.XLOOKUP(E756,LD_PROJETOS!A:A,LD_PROJETOS!G:G)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_xlfn.XLOOKUP(E757,LD_PROJETOS!A:A,LD_PROJETOS!G:G)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_xlfn.XLOOKUP(E758,LD_PROJETOS!A:A,LD_PROJETOS!G:G)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_xlfn.XLOOKUP(E759,LD_PROJETOS!A:A,LD_PROJETOS!G:G)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_xlfn.XLOOKUP(E760,LD_PROJETOS!A:A,LD_PROJETOS!G:G)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_xlfn.XLOOKUP(E761,LD_PROJETOS!A:A,LD_PROJETOS!G:G)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_xlfn.XLOOKUP(E762,LD_PROJETOS!A:A,LD_PROJETOS!G:G)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_xlfn.XLOOKUP(E763,LD_PROJETOS!A:A,LD_PROJETOS!G:G)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_xlfn.XLOOKUP(E764,LD_PROJETOS!A:A,LD_PROJETOS!G:G)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_xlfn.XLOOKUP(E765,LD_PROJETOS!A:A,LD_PROJETOS!G:G)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_xlfn.XLOOKUP(E766,LD_PROJETOS!A:A,LD_PROJETOS!G:G)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_xlfn.XLOOKUP(E767,LD_PROJETOS!A:A,LD_PROJETOS!G:G)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_xlfn.XLOOKUP(E768,LD_PROJETOS!A:A,LD_PROJETOS!G:G)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_xlfn.XLOOKUP(E769,LD_PROJETOS!A:A,LD_PROJETOS!G:G)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_xlfn.XLOOKUP(E770,LD_PROJETOS!A:A,LD_PROJETOS!G:G)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_xlfn.XLOOKUP(E771,LD_PROJETOS!A:A,LD_PROJETOS!G:G)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_xlfn.XLOOKUP(E772,LD_PROJETOS!A:A,LD_PROJETOS!G:G)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_xlfn.XLOOKUP(E773,LD_PROJETOS!A:A,LD_PROJETOS!G:G)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_xlfn.XLOOKUP(E774,LD_PROJETOS!A:A,LD_PROJETOS!G:G)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_xlfn.XLOOKUP(E775,LD_PROJETOS!A:A,LD_PROJETOS!G:G)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_xlfn.XLOOKUP(E776,LD_PROJETOS!A:A,LD_PROJETOS!G:G)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_xlfn.XLOOKUP(E777,LD_PROJETOS!A:A,LD_PROJETOS!G:G)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_xlfn.XLOOKUP(E778,LD_PROJETOS!A:A,LD_PROJETOS!G:G)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_xlfn.XLOOKUP(E779,LD_PROJETOS!A:A,LD_PROJETOS!G:G)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_xlfn.XLOOKUP(E780,LD_PROJETOS!A:A,LD_PROJETOS!G:G)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_xlfn.XLOOKUP(E781,LD_PROJETOS!A:A,LD_PROJETOS!G:G)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_xlfn.XLOOKUP(E782,LD_PROJETOS!A:A,LD_PROJETOS!G:G)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_xlfn.XLOOKUP(E783,LD_PROJETOS!A:A,LD_PROJETOS!G:G)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_xlfn.XLOOKUP(E784,LD_PROJETOS!A:A,LD_PROJETOS!G:G)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_xlfn.XLOOKUP(E785,LD_PROJETOS!A:A,LD_PROJETOS!G:G)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_xlfn.XLOOKUP(E786,LD_PROJETOS!A:A,LD_PROJETOS!G:G)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_xlfn.XLOOKUP(E787,LD_PROJETOS!A:A,LD_PROJETOS!G:G)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_xlfn.XLOOKUP(E788,LD_PROJETOS!A:A,LD_PROJETOS!G:G)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_xlfn.XLOOKUP(E789,LD_PROJETOS!A:A,LD_PROJETOS!G:G)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_xlfn.XLOOKUP(E790,LD_PROJETOS!A:A,LD_PROJETOS!G:G)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_xlfn.XLOOKUP(E791,LD_PROJETOS!A:A,LD_PROJETOS!G:G)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_xlfn.XLOOKUP(E792,LD_PROJETOS!A:A,LD_PROJETOS!G:G)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_xlfn.XLOOKUP(E793,LD_PROJETOS!A:A,LD_PROJETOS!G:G)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_xlfn.XLOOKUP(E794,LD_PROJETOS!A:A,LD_PROJETOS!G:G)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_xlfn.XLOOKUP(E795,LD_PROJETOS!A:A,LD_PROJETOS!G:G)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_xlfn.XLOOKUP(E796,LD_PROJETOS!A:A,LD_PROJETOS!G:G)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_xlfn.XLOOKUP(E797,LD_PROJETOS!A:A,LD_PROJETOS!G:G)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_xlfn.XLOOKUP(E798,LD_PROJETOS!A:A,LD_PROJETOS!G:G)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_xlfn.XLOOKUP(E799,LD_PROJETOS!A:A,LD_PROJETOS!G:G)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_xlfn.XLOOKUP(E800,LD_PROJETOS!A:A,LD_PROJETOS!G:G)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_xlfn.XLOOKUP(E801,LD_PROJETOS!A:A,LD_PROJETOS!G:G)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_xlfn.XLOOKUP(E802,LD_PROJETOS!A:A,LD_PROJETOS!G:G)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_xlfn.XLOOKUP(E803,LD_PROJETOS!A:A,LD_PROJETOS!G:G)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_xlfn.XLOOKUP(E804,LD_PROJETOS!A:A,LD_PROJETOS!G:G)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_xlfn.XLOOKUP(E805,LD_PROJETOS!A:A,LD_PROJETOS!G:G)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_xlfn.XLOOKUP(E806,LD_PROJETOS!A:A,LD_PROJETOS!G:G)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_xlfn.XLOOKUP(E807,LD_PROJETOS!A:A,LD_PROJETOS!G:G)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_xlfn.XLOOKUP(E808,LD_PROJETOS!A:A,LD_PROJETOS!G:G)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_xlfn.XLOOKUP(E809,LD_PROJETOS!A:A,LD_PROJETOS!G:G)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_xlfn.XLOOKUP(E810,LD_PROJETOS!A:A,LD_PROJETOS!G:G)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_xlfn.XLOOKUP(E811,LD_PROJETOS!A:A,LD_PROJETOS!G:G)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_xlfn.XLOOKUP(E812,LD_PROJETOS!A:A,LD_PROJETOS!G:G)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_xlfn.XLOOKUP(E813,LD_PROJETOS!A:A,LD_PROJETOS!G:G)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_xlfn.XLOOKUP(E814,LD_PROJETOS!A:A,LD_PROJETOS!G:G)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_xlfn.XLOOKUP(E815,LD_PROJETOS!A:A,LD_PROJETOS!G:G)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_xlfn.XLOOKUP(E816,LD_PROJETOS!A:A,LD_PROJETOS!G:G)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_xlfn.XLOOKUP(E817,LD_PROJETOS!A:A,LD_PROJETOS!G:G)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_xlfn.XLOOKUP(E818,LD_PROJETOS!A:A,LD_PROJETOS!G:G)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_xlfn.XLOOKUP(E819,LD_PROJETOS!A:A,LD_PROJETOS!G:G)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_xlfn.XLOOKUP(E820,LD_PROJETOS!A:A,LD_PROJETOS!G:G)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_xlfn.XLOOKUP(E821,LD_PROJETOS!A:A,LD_PROJETOS!G:G)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_xlfn.XLOOKUP(E822,LD_PROJETOS!A:A,LD_PROJETOS!G:G)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_xlfn.XLOOKUP(E823,LD_PROJETOS!A:A,LD_PROJETOS!G:G)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_xlfn.XLOOKUP(E824,LD_PROJETOS!A:A,LD_PROJETOS!G:G)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_xlfn.XLOOKUP(E825,LD_PROJETOS!A:A,LD_PROJETOS!G:G)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_xlfn.XLOOKUP(E826,LD_PROJETOS!A:A,LD_PROJETOS!G:G)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_xlfn.XLOOKUP(E827,LD_PROJETOS!A:A,LD_PROJETOS!G:G)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_xlfn.XLOOKUP(E828,LD_PROJETOS!A:A,LD_PROJETOS!G:G)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_xlfn.XLOOKUP(E829,LD_PROJETOS!A:A,LD_PROJETOS!G:G)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_xlfn.XLOOKUP(E830,LD_PROJETOS!A:A,LD_PROJETOS!G:G)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_xlfn.XLOOKUP(E831,LD_PROJETOS!A:A,LD_PROJETOS!G:G)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_xlfn.XLOOKUP(E832,LD_PROJETOS!A:A,LD_PROJETOS!G:G)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_xlfn.XLOOKUP(E833,LD_PROJETOS!A:A,LD_PROJETOS!G:G)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_xlfn.XLOOKUP(E834,LD_PROJETOS!A:A,LD_PROJETOS!G:G)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_xlfn.XLOOKUP(E835,LD_PROJETOS!A:A,LD_PROJETOS!G:G)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_xlfn.XLOOKUP(E836,LD_PROJETOS!A:A,LD_PROJETOS!G:G)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_xlfn.XLOOKUP(E837,LD_PROJETOS!A:A,LD_PROJETOS!G:G)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_xlfn.XLOOKUP(E838,LD_PROJETOS!A:A,LD_PROJETOS!G:G)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_xlfn.XLOOKUP(E839,LD_PROJETOS!A:A,LD_PROJETOS!G:G)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_xlfn.XLOOKUP(E840,LD_PROJETOS!A:A,LD_PROJETOS!G:G)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_xlfn.XLOOKUP(E841,LD_PROJETOS!A:A,LD_PROJETOS!G:G)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_xlfn.XLOOKUP(E842,LD_PROJETOS!A:A,LD_PROJETOS!G:G)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_xlfn.XLOOKUP(E843,LD_PROJETOS!A:A,LD_PROJETOS!G:G)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_xlfn.XLOOKUP(E844,LD_PROJETOS!A:A,LD_PROJETOS!G:G)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_xlfn.XLOOKUP(E845,LD_PROJETOS!A:A,LD_PROJETOS!G:G)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_xlfn.XLOOKUP(E846,LD_PROJETOS!A:A,LD_PROJETOS!G:G)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_xlfn.XLOOKUP(E847,LD_PROJETOS!A:A,LD_PROJETOS!G:G)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_xlfn.XLOOKUP(E848,LD_PROJETOS!A:A,LD_PROJETOS!G:G)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_xlfn.XLOOKUP(E849,LD_PROJETOS!A:A,LD_PROJETOS!G:G)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_xlfn.XLOOKUP(E850,LD_PROJETOS!A:A,LD_PROJETOS!G:G)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_xlfn.XLOOKUP(E851,LD_PROJETOS!A:A,LD_PROJETOS!G:G)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_xlfn.XLOOKUP(E852,LD_PROJETOS!A:A,LD_PROJETOS!G:G)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_xlfn.XLOOKUP(E853,LD_PROJETOS!A:A,LD_PROJETOS!G:G)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_xlfn.XLOOKUP(E854,LD_PROJETOS!A:A,LD_PROJETOS!G:G)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_xlfn.XLOOKUP(E855,LD_PROJETOS!A:A,LD_PROJETOS!G:G)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_xlfn.XLOOKUP(E856,LD_PROJETOS!A:A,LD_PROJETOS!G:G)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_xlfn.XLOOKUP(E857,LD_PROJETOS!A:A,LD_PROJETOS!G:G)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_xlfn.XLOOKUP(E858,LD_PROJETOS!A:A,LD_PROJETOS!G:G)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_xlfn.XLOOKUP(E859,LD_PROJETOS!A:A,LD_PROJETOS!G:G)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_xlfn.XLOOKUP(E860,LD_PROJETOS!A:A,LD_PROJETOS!G:G)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_xlfn.XLOOKUP(E861,LD_PROJETOS!A:A,LD_PROJETOS!G:G)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_xlfn.XLOOKUP(E862,LD_PROJETOS!A:A,LD_PROJETOS!G:G)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_xlfn.XLOOKUP(E863,LD_PROJETOS!A:A,LD_PROJETOS!G:G)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_xlfn.XLOOKUP(E864,LD_PROJETOS!A:A,LD_PROJETOS!G:G)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_xlfn.XLOOKUP(E865,LD_PROJETOS!A:A,LD_PROJETOS!G:G)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_xlfn.XLOOKUP(E866,LD_PROJETOS!A:A,LD_PROJETOS!G:G)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_xlfn.XLOOKUP(E867,LD_PROJETOS!A:A,LD_PROJETOS!G:G)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_xlfn.XLOOKUP(E868,LD_PROJETOS!A:A,LD_PROJETOS!G:G)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_xlfn.XLOOKUP(E869,LD_PROJETOS!A:A,LD_PROJETOS!G:G)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_xlfn.XLOOKUP(E870,LD_PROJETOS!A:A,LD_PROJETOS!G:G)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_xlfn.XLOOKUP(E871,LD_PROJETOS!A:A,LD_PROJETOS!G:G)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_xlfn.XLOOKUP(E872,LD_PROJETOS!A:A,LD_PROJETOS!G:G)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_xlfn.XLOOKUP(E873,LD_PROJETOS!A:A,LD_PROJETOS!G:G)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_xlfn.XLOOKUP(E874,LD_PROJETOS!A:A,LD_PROJETOS!G:G)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_xlfn.XLOOKUP(E875,LD_PROJETOS!A:A,LD_PROJETOS!G:G)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_xlfn.XLOOKUP(E876,LD_PROJETOS!A:A,LD_PROJETOS!G:G)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_xlfn.XLOOKUP(E877,LD_PROJETOS!A:A,LD_PROJETOS!G:G)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_xlfn.XLOOKUP(E878,LD_PROJETOS!A:A,LD_PROJETOS!G:G)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_xlfn.XLOOKUP(E879,LD_PROJETOS!A:A,LD_PROJETOS!G:G)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_xlfn.XLOOKUP(E880,LD_PROJETOS!A:A,LD_PROJETOS!G:G)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_xlfn.XLOOKUP(E881,LD_PROJETOS!A:A,LD_PROJETOS!G:G)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_xlfn.XLOOKUP(E882,LD_PROJETOS!A:A,LD_PROJETOS!G:G)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_xlfn.XLOOKUP(E883,LD_PROJETOS!A:A,LD_PROJETOS!G:G)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_xlfn.XLOOKUP(E884,LD_PROJETOS!A:A,LD_PROJETOS!G:G)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_xlfn.XLOOKUP(E885,LD_PROJETOS!A:A,LD_PROJETOS!G:G)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_xlfn.XLOOKUP(E886,LD_PROJETOS!A:A,LD_PROJETOS!G:G)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_xlfn.XLOOKUP(E887,LD_PROJETOS!A:A,LD_PROJETOS!G:G)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_xlfn.XLOOKUP(E888,LD_PROJETOS!A:A,LD_PROJETOS!G:G)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_xlfn.XLOOKUP(E889,LD_PROJETOS!A:A,LD_PROJETOS!G:G)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_xlfn.XLOOKUP(E890,LD_PROJETOS!A:A,LD_PROJETOS!G:G)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_xlfn.XLOOKUP(E891,LD_PROJETOS!A:A,LD_PROJETOS!G:G)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_xlfn.XLOOKUP(E892,LD_PROJETOS!A:A,LD_PROJETOS!G:G)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_xlfn.XLOOKUP(E893,LD_PROJETOS!A:A,LD_PROJETOS!G:G)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_xlfn.XLOOKUP(E894,LD_PROJETOS!A:A,LD_PROJETOS!G:G)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_xlfn.XLOOKUP(E895,LD_PROJETOS!A:A,LD_PROJETOS!G:G)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_xlfn.XLOOKUP(E896,LD_PROJETOS!A:A,LD_PROJETOS!G:G)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_xlfn.XLOOKUP(E897,LD_PROJETOS!A:A,LD_PROJETOS!G:G)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_xlfn.XLOOKUP(E898,LD_PROJETOS!A:A,LD_PROJETOS!G:G)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_xlfn.XLOOKUP(E899,LD_PROJETOS!A:A,LD_PROJETOS!G:G)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_xlfn.XLOOKUP(E900,LD_PROJETOS!A:A,LD_PROJETOS!G:G)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_xlfn.XLOOKUP(E901,LD_PROJETOS!A:A,LD_PROJETOS!G:G)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_xlfn.XLOOKUP(E902,LD_PROJETOS!A:A,LD_PROJETOS!G:G)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_xlfn.XLOOKUP(E903,LD_PROJETOS!A:A,LD_PROJETOS!G:G)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_xlfn.XLOOKUP(E904,LD_PROJETOS!A:A,LD_PROJETOS!G:G)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_xlfn.XLOOKUP(E905,LD_PROJETOS!A:A,LD_PROJETOS!G:G)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_xlfn.XLOOKUP(E906,LD_PROJETOS!A:A,LD_PROJETOS!G:G)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_xlfn.XLOOKUP(E907,LD_PROJETOS!A:A,LD_PROJETOS!G:G)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_xlfn.XLOOKUP(E908,LD_PROJETOS!A:A,LD_PROJETOS!G:G)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_xlfn.XLOOKUP(E909,LD_PROJETOS!A:A,LD_PROJETOS!G:G)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_xlfn.XLOOKUP(E910,LD_PROJETOS!A:A,LD_PROJETOS!G:G)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_xlfn.XLOOKUP(E911,LD_PROJETOS!A:A,LD_PROJETOS!G:G)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_xlfn.XLOOKUP(E912,LD_PROJETOS!A:A,LD_PROJETOS!G:G)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_xlfn.XLOOKUP(E913,LD_PROJETOS!A:A,LD_PROJETOS!G:G)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_xlfn.XLOOKUP(E914,LD_PROJETOS!A:A,LD_PROJETOS!G:G)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_xlfn.XLOOKUP(E915,LD_PROJETOS!A:A,LD_PROJETOS!G:G)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_xlfn.XLOOKUP(E916,LD_PROJETOS!A:A,LD_PROJETOS!G:G)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_xlfn.XLOOKUP(E917,LD_PROJETOS!A:A,LD_PROJETOS!G:G)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_xlfn.XLOOKUP(E918,LD_PROJETOS!A:A,LD_PROJETOS!G:G)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_xlfn.XLOOKUP(E919,LD_PROJETOS!A:A,LD_PROJETOS!G:G)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_xlfn.XLOOKUP(E920,LD_PROJETOS!A:A,LD_PROJETOS!G:G)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_xlfn.XLOOKUP(E921,LD_PROJETOS!A:A,LD_PROJETOS!G:G)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_xlfn.XLOOKUP(E922,LD_PROJETOS!A:A,LD_PROJETOS!G:G)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_xlfn.XLOOKUP(E923,LD_PROJETOS!A:A,LD_PROJETOS!G:G)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_xlfn.XLOOKUP(E924,LD_PROJETOS!A:A,LD_PROJETOS!G:G)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_xlfn.XLOOKUP(E925,LD_PROJETOS!A:A,LD_PROJETOS!G:G)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_xlfn.XLOOKUP(E926,LD_PROJETOS!A:A,LD_PROJETOS!G:G)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_xlfn.XLOOKUP(E927,LD_PROJETOS!A:A,LD_PROJETOS!G:G)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_xlfn.XLOOKUP(E928,LD_PROJETOS!A:A,LD_PROJETOS!G:G)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_xlfn.XLOOKUP(E929,LD_PROJETOS!A:A,LD_PROJETOS!G:G)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_xlfn.XLOOKUP(E930,LD_PROJETOS!A:A,LD_PROJETOS!G:G)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_xlfn.XLOOKUP(E931,LD_PROJETOS!A:A,LD_PROJETOS!G:G)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_xlfn.XLOOKUP(E932,LD_PROJETOS!A:A,LD_PROJETOS!G:G)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_xlfn.XLOOKUP(E933,LD_PROJETOS!A:A,LD_PROJETOS!G:G)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_xlfn.XLOOKUP(E934,LD_PROJETOS!A:A,LD_PROJETOS!G:G)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_xlfn.XLOOKUP(E935,LD_PROJETOS!A:A,LD_PROJETOS!G:G)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_xlfn.XLOOKUP(E936,LD_PROJETOS!A:A,LD_PROJETOS!G:G)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_xlfn.XLOOKUP(E937,LD_PROJETOS!A:A,LD_PROJETOS!G:G)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_xlfn.XLOOKUP(E938,LD_PROJETOS!A:A,LD_PROJETOS!G:G)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_xlfn.XLOOKUP(E939,LD_PROJETOS!A:A,LD_PROJETOS!G:G)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_xlfn.XLOOKUP(E940,LD_PROJETOS!A:A,LD_PROJETOS!G:G)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_xlfn.XLOOKUP(E941,LD_PROJETOS!A:A,LD_PROJETOS!G:G)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_xlfn.XLOOKUP(E942,LD_PROJETOS!A:A,LD_PROJETOS!G:G)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_xlfn.XLOOKUP(E943,LD_PROJETOS!A:A,LD_PROJETOS!G:G)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_xlfn.XLOOKUP(E944,LD_PROJETOS!A:A,LD_PROJETOS!G:G)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_xlfn.XLOOKUP(E945,LD_PROJETOS!A:A,LD_PROJETOS!G:G)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_xlfn.XLOOKUP(E946,LD_PROJETOS!A:A,LD_PROJETOS!G:G)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_xlfn.XLOOKUP(E947,LD_PROJETOS!A:A,LD_PROJETOS!G:G)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_xlfn.XLOOKUP(E948,LD_PROJETOS!A:A,LD_PROJETOS!G:G)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_xlfn.XLOOKUP(E949,LD_PROJETOS!A:A,LD_PROJETOS!G:G)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_xlfn.XLOOKUP(E950,LD_PROJETOS!A:A,LD_PROJETOS!G:G)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_xlfn.XLOOKUP(E951,LD_PROJETOS!A:A,LD_PROJETOS!G:G)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_xlfn.XLOOKUP(E952,LD_PROJETOS!A:A,LD_PROJETOS!G:G)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_xlfn.XLOOKUP(E953,LD_PROJETOS!A:A,LD_PROJETOS!G:G)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_xlfn.XLOOKUP(E954,LD_PROJETOS!A:A,LD_PROJETOS!G:G)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_xlfn.XLOOKUP(E955,LD_PROJETOS!A:A,LD_PROJETOS!G:G)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_xlfn.XLOOKUP(E956,LD_PROJETOS!A:A,LD_PROJETOS!G:G)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_xlfn.XLOOKUP(E957,LD_PROJETOS!A:A,LD_PROJETOS!G:G)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_xlfn.XLOOKUP(E958,LD_PROJETOS!A:A,LD_PROJETOS!G:G)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_xlfn.XLOOKUP(E959,LD_PROJETOS!A:A,LD_PROJETOS!G:G)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_xlfn.XLOOKUP(E960,LD_PROJETOS!A:A,LD_PROJETOS!G:G)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_xlfn.XLOOKUP(E961,LD_PROJETOS!A:A,LD_PROJETOS!G:G)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_xlfn.XLOOKUP(E962,LD_PROJETOS!A:A,LD_PROJETOS!G:G)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_xlfn.XLOOKUP(E963,LD_PROJETOS!A:A,LD_PROJETOS!G:G)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_xlfn.XLOOKUP(E964,LD_PROJETOS!A:A,LD_PROJETOS!G:G)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_xlfn.XLOOKUP(E965,LD_PROJETOS!A:A,LD_PROJETOS!G:G)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_xlfn.XLOOKUP(E966,LD_PROJETOS!A:A,LD_PROJETOS!G:G)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_xlfn.XLOOKUP(E967,LD_PROJETOS!A:A,LD_PROJETOS!G:G)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_xlfn.XLOOKUP(E968,LD_PROJETOS!A:A,LD_PROJETOS!G:G)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_xlfn.XLOOKUP(E969,LD_PROJETOS!A:A,LD_PROJETOS!G:G)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_xlfn.XLOOKUP(E970,LD_PROJETOS!A:A,LD_PROJETOS!G:G)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_xlfn.XLOOKUP(E971,LD_PROJETOS!A:A,LD_PROJETOS!G:G)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_xlfn.XLOOKUP(E972,LD_PROJETOS!A:A,LD_PROJETOS!G:G)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_xlfn.XLOOKUP(E973,LD_PROJETOS!A:A,LD_PROJETOS!G:G)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_xlfn.XLOOKUP(E974,LD_PROJETOS!A:A,LD_PROJETOS!G:G)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_xlfn.XLOOKUP(E975,LD_PROJETOS!A:A,LD_PROJETOS!G:G)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_xlfn.XLOOKUP(E976,LD_PROJETOS!A:A,LD_PROJETOS!G:G)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_xlfn.XLOOKUP(E977,LD_PROJETOS!A:A,LD_PROJETOS!G:G)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_xlfn.XLOOKUP(E978,LD_PROJETOS!A:A,LD_PROJETOS!G:G)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_xlfn.XLOOKUP(E979,LD_PROJETOS!A:A,LD_PROJETOS!G:G)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_xlfn.XLOOKUP(E980,LD_PROJETOS!A:A,LD_PROJETOS!G:G)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_xlfn.XLOOKUP(E981,LD_PROJETOS!A:A,LD_PROJETOS!G:G)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_xlfn.XLOOKUP(E982,LD_PROJETOS!A:A,LD_PROJETOS!G:G)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_xlfn.XLOOKUP(E983,LD_PROJETOS!A:A,LD_PROJETOS!G:G)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_xlfn.XLOOKUP(E984,LD_PROJETOS!A:A,LD_PROJETOS!G:G)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_xlfn.XLOOKUP(E985,LD_PROJETOS!A:A,LD_PROJETOS!G:G)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_xlfn.XLOOKUP(E986,LD_PROJETOS!A:A,LD_PROJETOS!G:G)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_xlfn.XLOOKUP(E987,LD_PROJETOS!A:A,LD_PROJETOS!G:G)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_xlfn.XLOOKUP(E988,LD_PROJETOS!A:A,LD_PROJETOS!G:G)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_xlfn.XLOOKUP(E989,LD_PROJETOS!A:A,LD_PROJETOS!G:G)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_xlfn.XLOOKUP(E990,LD_PROJETOS!A:A,LD_PROJETOS!G:G)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_xlfn.XLOOKUP(E991,LD_PROJETOS!A:A,LD_PROJETOS!G:G)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_xlfn.XLOOKUP(E992,LD_PROJETOS!A:A,LD_PROJETOS!G:G)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_xlfn.XLOOKUP(E993,LD_PROJETOS!A:A,LD_PROJETOS!G:G)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_xlfn.XLOOKUP(E994,LD_PROJETOS!A:A,LD_PROJETOS!G:G)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_xlfn.XLOOKUP(E995,LD_PROJETOS!A:A,LD_PROJETOS!G:G)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_xlfn.XLOOKUP(E996,LD_PROJETOS!A:A,LD_PROJETOS!G:G)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_xlfn.XLOOKUP(E997,LD_PROJETOS!A:A,LD_PROJETOS!G:G)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_xlfn.XLOOKUP(E998,LD_PROJETOS!A:A,LD_PROJETOS!G:G)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_xlfn.XLOOKUP(E999,LD_PROJETOS!A:A,LD_PROJETOS!G:G)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_xlfn.XLOOKUP(E1000,LD_PROJETOS!A:A,LD_PROJETOS!G:G)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_xlfn.XLOOKUP(E1001,LD_PROJETOS!A:A,LD_PROJETOS!G:G)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_xlfn.XLOOKUP(E1002,LD_PROJETOS!A:A,LD_PROJETOS!G:G)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_xlfn.XLOOKUP(E1003,LD_PROJETOS!A:A,LD_PROJETOS!G:G)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_xlfn.XLOOKUP(E1004,LD_PROJETOS!A:A,LD_PROJETOS!G:G)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_xlfn.XLOOKUP(E1005,LD_PROJETOS!A:A,LD_PROJETOS!G:G)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_xlfn.XLOOKUP(E1006,LD_PROJETOS!A:A,LD_PROJETOS!G:G)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_xlfn.XLOOKUP(E1007,LD_PROJETOS!A:A,LD_PROJETOS!G:G)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_xlfn.XLOOKUP(E1008,LD_PROJETOS!A:A,LD_PROJETOS!G:G)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_xlfn.XLOOKUP(E1009,LD_PROJETOS!A:A,LD_PROJETOS!G:G)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_xlfn.XLOOKUP(E1010,LD_PROJETOS!A:A,LD_PROJETOS!G:G)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_xlfn.XLOOKUP(E1011,LD_PROJETOS!A:A,LD_PROJETOS!G:G)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_xlfn.XLOOKUP(E1012,LD_PROJETOS!A:A,LD_PROJETOS!G:G)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_xlfn.XLOOKUP(E1013,LD_PROJETOS!A:A,LD_PROJETOS!G:G)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_xlfn.XLOOKUP(E1014,LD_PROJETOS!A:A,LD_PROJETOS!G:G)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_xlfn.XLOOKUP(E1015,LD_PROJETOS!A:A,LD_PROJETOS!G:G)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_xlfn.XLOOKUP(E1016,LD_PROJETOS!A:A,LD_PROJETOS!G:G)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_xlfn.XLOOKUP(E1017,LD_PROJETOS!A:A,LD_PROJETOS!G:G)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_xlfn.XLOOKUP(E1018,LD_PROJETOS!A:A,LD_PROJETOS!G:G)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_xlfn.XLOOKUP(E1019,LD_PROJETOS!A:A,LD_PROJETOS!G:G)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_xlfn.XLOOKUP(E1020,LD_PROJETOS!A:A,LD_PROJETOS!G:G)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_xlfn.XLOOKUP(E1021,LD_PROJETOS!A:A,LD_PROJETOS!G:G)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_xlfn.XLOOKUP(E1022,LD_PROJETOS!A:A,LD_PROJETOS!G:G)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_xlfn.XLOOKUP(E1023,LD_PROJETOS!A:A,LD_PROJETOS!G:G)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_xlfn.XLOOKUP(E1024,LD_PROJETOS!A:A,LD_PROJETOS!G:G)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_xlfn.XLOOKUP(E1025,LD_PROJETOS!A:A,LD_PROJETOS!G:G)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_xlfn.XLOOKUP(E1026,LD_PROJETOS!A:A,LD_PROJETOS!G:G)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_xlfn.XLOOKUP(E1027,LD_PROJETOS!A:A,LD_PROJETOS!G:G)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_xlfn.XLOOKUP(E1028,LD_PROJETOS!A:A,LD_PROJETOS!G:G)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_xlfn.XLOOKUP(E1029,LD_PROJETOS!A:A,LD_PROJETOS!G:G)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_xlfn.XLOOKUP(E1030,LD_PROJETOS!A:A,LD_PROJETOS!G:G)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_xlfn.XLOOKUP(E1031,LD_PROJETOS!A:A,LD_PROJETOS!G:G)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_xlfn.XLOOKUP(E1032,LD_PROJETOS!A:A,LD_PROJETOS!G:G)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_xlfn.XLOOKUP(E1033,LD_PROJETOS!A:A,LD_PROJETOS!G:G)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_xlfn.XLOOKUP(E1034,LD_PROJETOS!A:A,LD_PROJETOS!G:G)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_xlfn.XLOOKUP(E1035,LD_PROJETOS!A:A,LD_PROJETOS!G:G)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_xlfn.XLOOKUP(E1036,LD_PROJETOS!A:A,LD_PROJETOS!G:G)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_xlfn.XLOOKUP(E1037,LD_PROJETOS!A:A,LD_PROJETOS!G:G)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_xlfn.XLOOKUP(E1038,LD_PROJETOS!A:A,LD_PROJETOS!G:G)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_xlfn.XLOOKUP(E1039,LD_PROJETOS!A:A,LD_PROJETOS!G:G)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_xlfn.XLOOKUP(E1040,LD_PROJETOS!A:A,LD_PROJETOS!G:G)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_xlfn.XLOOKUP(E1041,LD_PROJETOS!A:A,LD_PROJETOS!G:G)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_xlfn.XLOOKUP(E1042,LD_PROJETOS!A:A,LD_PROJETOS!G:G)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_xlfn.XLOOKUP(E1043,LD_PROJETOS!A:A,LD_PROJETOS!G:G)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_xlfn.XLOOKUP(E1044,LD_PROJETOS!A:A,LD_PROJETOS!G:G)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_xlfn.XLOOKUP(E1045,LD_PROJETOS!A:A,LD_PROJETOS!G:G)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_xlfn.XLOOKUP(E1046,LD_PROJETOS!A:A,LD_PROJETOS!G:G)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_xlfn.XLOOKUP(E1047,LD_PROJETOS!A:A,LD_PROJETOS!G:G)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_xlfn.XLOOKUP(E1048,LD_PROJETOS!A:A,LD_PROJETOS!G:G)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_xlfn.XLOOKUP(E1049,LD_PROJETOS!A:A,LD_PROJETOS!G:G)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_xlfn.XLOOKUP(E1050,LD_PROJETOS!A:A,LD_PROJETOS!G:G)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_xlfn.XLOOKUP(E1051,LD_PROJETOS!A:A,LD_PROJETOS!G:G)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_xlfn.XLOOKUP(E1052,LD_PROJETOS!A:A,LD_PROJETOS!G:G)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_xlfn.XLOOKUP(E1053,LD_PROJETOS!A:A,LD_PROJETOS!G:G)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_xlfn.XLOOKUP(E1054,LD_PROJETOS!A:A,LD_PROJETOS!G:G)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_xlfn.XLOOKUP(E1055,LD_PROJETOS!A:A,LD_PROJETOS!G:G)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_xlfn.XLOOKUP(E1056,LD_PROJETOS!A:A,LD_PROJETOS!G:G)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_xlfn.XLOOKUP(E1057,LD_PROJETOS!A:A,LD_PROJETOS!G:G)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_xlfn.XLOOKUP(E1058,LD_PROJETOS!A:A,LD_PROJETOS!G:G)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_xlfn.XLOOKUP(E1059,LD_PROJETOS!A:A,LD_PROJETOS!G:G)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_xlfn.XLOOKUP(E1060,LD_PROJETOS!A:A,LD_PROJETOS!G:G)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_xlfn.XLOOKUP(E1061,LD_PROJETOS!A:A,LD_PROJETOS!G:G)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_xlfn.XLOOKUP(E1062,LD_PROJETOS!A:A,LD_PROJETOS!G:G)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_xlfn.XLOOKUP(E1063,LD_PROJETOS!A:A,LD_PROJETOS!G:G)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_xlfn.XLOOKUP(E1064,LD_PROJETOS!A:A,LD_PROJETOS!G:G)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_xlfn.XLOOKUP(E1065,LD_PROJETOS!A:A,LD_PROJETOS!G:G)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_xlfn.XLOOKUP(E1066,LD_PROJETOS!A:A,LD_PROJETOS!G:G)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_xlfn.XLOOKUP(E1067,LD_PROJETOS!A:A,LD_PROJETOS!G:G)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_xlfn.XLOOKUP(E1068,LD_PROJETOS!A:A,LD_PROJETOS!G:G)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_xlfn.XLOOKUP(E1069,LD_PROJETOS!A:A,LD_PROJETOS!G:G)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_xlfn.XLOOKUP(E1070,LD_PROJETOS!A:A,LD_PROJETOS!G:G)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_xlfn.XLOOKUP(E1071,LD_PROJETOS!A:A,LD_PROJETOS!G:G)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_xlfn.XLOOKUP(E1072,LD_PROJETOS!A:A,LD_PROJETOS!G:G)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_xlfn.XLOOKUP(E1073,LD_PROJETOS!A:A,LD_PROJETOS!G:G)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_xlfn.XLOOKUP(E1074,LD_PROJETOS!A:A,LD_PROJETOS!G:G)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_xlfn.XLOOKUP(E1075,LD_PROJETOS!A:A,LD_PROJETOS!G:G)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_xlfn.XLOOKUP(E1076,LD_PROJETOS!A:A,LD_PROJETOS!G:G)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_xlfn.XLOOKUP(E1077,LD_PROJETOS!A:A,LD_PROJETOS!G:G)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_xlfn.XLOOKUP(E1078,LD_PROJETOS!A:A,LD_PROJETOS!G:G)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_xlfn.XLOOKUP(E1079,LD_PROJETOS!A:A,LD_PROJETOS!G:G)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_xlfn.XLOOKUP(E1080,LD_PROJETOS!A:A,LD_PROJETOS!G:G)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_xlfn.XLOOKUP(E1081,LD_PROJETOS!A:A,LD_PROJETOS!G:G)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_xlfn.XLOOKUP(E1082,LD_PROJETOS!A:A,LD_PROJETOS!G:G)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_xlfn.XLOOKUP(E1083,LD_PROJETOS!A:A,LD_PROJETOS!G:G)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_xlfn.XLOOKUP(E1084,LD_PROJETOS!A:A,LD_PROJETOS!G:G)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_xlfn.XLOOKUP(E1085,LD_PROJETOS!A:A,LD_PROJETOS!G:G)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_xlfn.XLOOKUP(E1086,LD_PROJETOS!A:A,LD_PROJETOS!G:G)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_xlfn.XLOOKUP(E1087,LD_PROJETOS!A:A,LD_PROJETOS!G:G)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_xlfn.XLOOKUP(E1088,LD_PROJETOS!A:A,LD_PROJETOS!G:G)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_xlfn.XLOOKUP(E1089,LD_PROJETOS!A:A,LD_PROJETOS!G:G)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_xlfn.XLOOKUP(E1090,LD_PROJETOS!A:A,LD_PROJETOS!G:G)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_xlfn.XLOOKUP(E1091,LD_PROJETOS!A:A,LD_PROJETOS!G:G)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_xlfn.XLOOKUP(E1092,LD_PROJETOS!A:A,LD_PROJETOS!G:G)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_xlfn.XLOOKUP(E1093,LD_PROJETOS!A:A,LD_PROJETOS!G:G)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_xlfn.XLOOKUP(E1094,LD_PROJETOS!A:A,LD_PROJETOS!G:G)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_xlfn.XLOOKUP(E1095,LD_PROJETOS!A:A,LD_PROJETOS!G:G)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_xlfn.XLOOKUP(E1096,LD_PROJETOS!A:A,LD_PROJETOS!G:G)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_xlfn.XLOOKUP(E1097,LD_PROJETOS!A:A,LD_PROJETOS!G:G)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_xlfn.XLOOKUP(E1098,LD_PROJETOS!A:A,LD_PROJETOS!G:G)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_xlfn.XLOOKUP(E1099,LD_PROJETOS!A:A,LD_PROJETOS!G:G)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_xlfn.XLOOKUP(E1100,LD_PROJETOS!A:A,LD_PROJETOS!G:G)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_xlfn.XLOOKUP(E1101,LD_PROJETOS!A:A,LD_PROJETOS!G:G)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_xlfn.XLOOKUP(E1102,LD_PROJETOS!A:A,LD_PROJETOS!G:G)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_xlfn.XLOOKUP(E1103,LD_PROJETOS!A:A,LD_PROJETOS!G:G)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_xlfn.XLOOKUP(E1104,LD_PROJETOS!A:A,LD_PROJETOS!G:G)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_xlfn.XLOOKUP(E1105,LD_PROJETOS!A:A,LD_PROJETOS!G:G)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_xlfn.XLOOKUP(E1106,LD_PROJETOS!A:A,LD_PROJETOS!G:G)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_xlfn.XLOOKUP(E1107,LD_PROJETOS!A:A,LD_PROJETOS!G:G)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_xlfn.XLOOKUP(E1108,LD_PROJETOS!A:A,LD_PROJETOS!G:G)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_xlfn.XLOOKUP(E1109,LD_PROJETOS!A:A,LD_PROJETOS!G:G)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_xlfn.XLOOKUP(E1110,LD_PROJETOS!A:A,LD_PROJETOS!G:G)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_xlfn.XLOOKUP(E1111,LD_PROJETOS!A:A,LD_PROJETOS!G:G)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_xlfn.XLOOKUP(E1112,LD_PROJETOS!A:A,LD_PROJETOS!G:G)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_xlfn.XLOOKUP(E1113,LD_PROJETOS!A:A,LD_PROJETOS!G:G)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_xlfn.XLOOKUP(E1114,LD_PROJETOS!A:A,LD_PROJETOS!G:G)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_xlfn.XLOOKUP(E1115,LD_PROJETOS!A:A,LD_PROJETOS!G:G)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_xlfn.XLOOKUP(E1116,LD_PROJETOS!A:A,LD_PROJETOS!G:G)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_xlfn.XLOOKUP(E1117,LD_PROJETOS!A:A,LD_PROJETOS!G:G)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_xlfn.XLOOKUP(E1118,LD_PROJETOS!A:A,LD_PROJETOS!G:G)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_xlfn.XLOOKUP(E1119,LD_PROJETOS!A:A,LD_PROJETOS!G:G)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_xlfn.XLOOKUP(E1120,LD_PROJETOS!A:A,LD_PROJETOS!G:G)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_xlfn.XLOOKUP(E1121,LD_PROJETOS!A:A,LD_PROJETOS!G:G)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_xlfn.XLOOKUP(E1122,LD_PROJETOS!A:A,LD_PROJETOS!G:G)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_xlfn.XLOOKUP(E1123,LD_PROJETOS!A:A,LD_PROJETOS!G:G)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_xlfn.XLOOKUP(E1124,LD_PROJETOS!A:A,LD_PROJETOS!G:G)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_xlfn.XLOOKUP(E1125,LD_PROJETOS!A:A,LD_PROJETOS!G:G)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_xlfn.XLOOKUP(E1126,LD_PROJETOS!A:A,LD_PROJETOS!G:G)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_xlfn.XLOOKUP(E1127,LD_PROJETOS!A:A,LD_PROJETOS!G:G)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_xlfn.XLOOKUP(E1128,LD_PROJETOS!A:A,LD_PROJETOS!G:G)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_xlfn.XLOOKUP(E1129,LD_PROJETOS!A:A,LD_PROJETOS!G:G)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_xlfn.XLOOKUP(E1130,LD_PROJETOS!A:A,LD_PROJETOS!G:G)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_xlfn.XLOOKUP(E1131,LD_PROJETOS!A:A,LD_PROJETOS!G:G)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_xlfn.XLOOKUP(E1132,LD_PROJETOS!A:A,LD_PROJETOS!G:G)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_xlfn.XLOOKUP(E1133,LD_PROJETOS!A:A,LD_PROJETOS!G:G)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_xlfn.XLOOKUP(E1134,LD_PROJETOS!A:A,LD_PROJETOS!G:G)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_xlfn.XLOOKUP(E1135,LD_PROJETOS!A:A,LD_PROJETOS!G:G)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_xlfn.XLOOKUP(E1136,LD_PROJETOS!A:A,LD_PROJETOS!G:G)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_xlfn.XLOOKUP(E1137,LD_PROJETOS!A:A,LD_PROJETOS!G:G)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_xlfn.XLOOKUP(E1138,LD_PROJETOS!A:A,LD_PROJETOS!G:G)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_xlfn.XLOOKUP(E1139,LD_PROJETOS!A:A,LD_PROJETOS!G:G)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_xlfn.XLOOKUP(E1140,LD_PROJETOS!A:A,LD_PROJETOS!G:G)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_xlfn.XLOOKUP(E1141,LD_PROJETOS!A:A,LD_PROJETOS!G:G)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_xlfn.XLOOKUP(E1142,LD_PROJETOS!A:A,LD_PROJETOS!G:G)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_xlfn.XLOOKUP(E1143,LD_PROJETOS!A:A,LD_PROJETOS!G:G)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_xlfn.XLOOKUP(E1144,LD_PROJETOS!A:A,LD_PROJETOS!G:G)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_xlfn.XLOOKUP(E1145,LD_PROJETOS!A:A,LD_PROJETOS!G:G)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_xlfn.XLOOKUP(E1146,LD_PROJETOS!A:A,LD_PROJETOS!G:G)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_xlfn.XLOOKUP(E1147,LD_PROJETOS!A:A,LD_PROJETOS!G:G)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_xlfn.XLOOKUP(E1148,LD_PROJETOS!A:A,LD_PROJETOS!G:G)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_xlfn.XLOOKUP(E1149,LD_PROJETOS!A:A,LD_PROJETOS!G:G)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_xlfn.XLOOKUP(E1150,LD_PROJETOS!A:A,LD_PROJETOS!G:G)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_xlfn.XLOOKUP(E1151,LD_PROJETOS!A:A,LD_PROJETOS!G:G)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_xlfn.XLOOKUP(E1152,LD_PROJETOS!A:A,LD_PROJETOS!G:G)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_xlfn.XLOOKUP(E1153,LD_PROJETOS!A:A,LD_PROJETOS!G:G)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_xlfn.XLOOKUP(E1154,LD_PROJETOS!A:A,LD_PROJETOS!G:G)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_xlfn.XLOOKUP(E1155,LD_PROJETOS!A:A,LD_PROJETOS!G:G)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_xlfn.XLOOKUP(E1156,LD_PROJETOS!A:A,LD_PROJETOS!G:G)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_xlfn.XLOOKUP(E1157,LD_PROJETOS!A:A,LD_PROJETOS!G:G)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_xlfn.XLOOKUP(E1158,LD_PROJETOS!A:A,LD_PROJETOS!G:G)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_xlfn.XLOOKUP(E1159,LD_PROJETOS!A:A,LD_PROJETOS!G:G)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_xlfn.XLOOKUP(E1160,LD_PROJETOS!A:A,LD_PROJETOS!G:G)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_xlfn.XLOOKUP(E1161,LD_PROJETOS!A:A,LD_PROJETOS!G:G)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_xlfn.XLOOKUP(E1162,LD_PROJETOS!A:A,LD_PROJETOS!G:G)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_xlfn.XLOOKUP(E1163,LD_PROJETOS!A:A,LD_PROJETOS!G:G)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_xlfn.XLOOKUP(E1164,LD_PROJETOS!A:A,LD_PROJETOS!G:G)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_xlfn.XLOOKUP(E1165,LD_PROJETOS!A:A,LD_PROJETOS!G:G)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_xlfn.XLOOKUP(E1166,LD_PROJETOS!A:A,LD_PROJETOS!G:G)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_xlfn.XLOOKUP(E1167,LD_PROJETOS!A:A,LD_PROJETOS!G:G)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_xlfn.XLOOKUP(E1168,LD_PROJETOS!A:A,LD_PROJETOS!G:G)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_xlfn.XLOOKUP(E1169,LD_PROJETOS!A:A,LD_PROJETOS!G:G)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_xlfn.XLOOKUP(E1170,LD_PROJETOS!A:A,LD_PROJETOS!G:G)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_xlfn.XLOOKUP(E1171,LD_PROJETOS!A:A,LD_PROJETOS!G:G)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_xlfn.XLOOKUP(E1172,LD_PROJETOS!A:A,LD_PROJETOS!G:G)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_xlfn.XLOOKUP(E1173,LD_PROJETOS!A:A,LD_PROJETOS!G:G)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_xlfn.XLOOKUP(E1174,LD_PROJETOS!A:A,LD_PROJETOS!G:G)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_xlfn.XLOOKUP(E1175,LD_PROJETOS!A:A,LD_PROJETOS!G:G)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_xlfn.XLOOKUP(E1176,LD_PROJETOS!A:A,LD_PROJETOS!G:G)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_xlfn.XLOOKUP(E1177,LD_PROJETOS!A:A,LD_PROJETOS!G:G)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_xlfn.XLOOKUP(E1178,LD_PROJETOS!A:A,LD_PROJETOS!G:G)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_xlfn.XLOOKUP(E1179,LD_PROJETOS!A:A,LD_PROJETOS!G:G)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_xlfn.XLOOKUP(E1180,LD_PROJETOS!A:A,LD_PROJETOS!G:G)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_xlfn.XLOOKUP(E1181,LD_PROJETOS!A:A,LD_PROJETOS!G:G)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_xlfn.XLOOKUP(E1182,LD_PROJETOS!A:A,LD_PROJETOS!G:G)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_xlfn.XLOOKUP(E1183,LD_PROJETOS!A:A,LD_PROJETOS!G:G)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_xlfn.XLOOKUP(E1184,LD_PROJETOS!A:A,LD_PROJETOS!G:G)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_xlfn.XLOOKUP(E1185,LD_PROJETOS!A:A,LD_PROJETOS!G:G)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_xlfn.XLOOKUP(E1186,LD_PROJETOS!A:A,LD_PROJETOS!G:G)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_xlfn.XLOOKUP(E1187,LD_PROJETOS!A:A,LD_PROJETOS!G:G)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_xlfn.XLOOKUP(E1188,LD_PROJETOS!A:A,LD_PROJETOS!G:G)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_xlfn.XLOOKUP(E1189,LD_PROJETOS!A:A,LD_PROJETOS!G:G)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_xlfn.XLOOKUP(E1190,LD_PROJETOS!A:A,LD_PROJETOS!G:G)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_xlfn.XLOOKUP(E1191,LD_PROJETOS!A:A,LD_PROJETOS!G:G)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_xlfn.XLOOKUP(E1192,LD_PROJETOS!A:A,LD_PROJETOS!G:G)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_xlfn.XLOOKUP(E1193,LD_PROJETOS!A:A,LD_PROJETOS!G:G)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_xlfn.XLOOKUP(E1194,LD_PROJETOS!A:A,LD_PROJETOS!G:G)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_xlfn.XLOOKUP(E1195,LD_PROJETOS!A:A,LD_PROJETOS!G:G)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_xlfn.XLOOKUP(E1196,LD_PROJETOS!A:A,LD_PROJETOS!G:G)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_xlfn.XLOOKUP(E1197,LD_PROJETOS!A:A,LD_PROJETOS!G:G)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_xlfn.XLOOKUP(E1198,LD_PROJETOS!A:A,LD_PROJETOS!G:G)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_xlfn.XLOOKUP(E1199,LD_PROJETOS!A:A,LD_PROJETOS!G:G)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_xlfn.XLOOKUP(E1200,LD_PROJETOS!A:A,LD_PROJETOS!G:G)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_xlfn.XLOOKUP(E1201,LD_PROJETOS!A:A,LD_PROJETOS!G:G)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_xlfn.XLOOKUP(E1202,LD_PROJETOS!A:A,LD_PROJETOS!G:G)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_xlfn.XLOOKUP(E1203,LD_PROJETOS!A:A,LD_PROJETOS!G:G)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_xlfn.XLOOKUP(E1204,LD_PROJETOS!A:A,LD_PROJETOS!G:G)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_xlfn.XLOOKUP(E1205,LD_PROJETOS!A:A,LD_PROJETOS!G:G)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_xlfn.XLOOKUP(E1206,LD_PROJETOS!A:A,LD_PROJETOS!G:G)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_xlfn.XLOOKUP(E1207,LD_PROJETOS!A:A,LD_PROJETOS!G:G)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_xlfn.XLOOKUP(E1208,LD_PROJETOS!A:A,LD_PROJETOS!G:G)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_xlfn.XLOOKUP(E1209,LD_PROJETOS!A:A,LD_PROJETOS!G:G)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_xlfn.XLOOKUP(E1210,LD_PROJETOS!A:A,LD_PROJETOS!G:G)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_xlfn.XLOOKUP(E1211,LD_PROJETOS!A:A,LD_PROJETOS!G:G)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_xlfn.XLOOKUP(E1212,LD_PROJETOS!A:A,LD_PROJETOS!G:G)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_xlfn.XLOOKUP(E1213,LD_PROJETOS!A:A,LD_PROJETOS!G:G)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_xlfn.XLOOKUP(E1214,LD_PROJETOS!A:A,LD_PROJETOS!G:G)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_xlfn.XLOOKUP(E1215,LD_PROJETOS!A:A,LD_PROJETOS!G:G)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_xlfn.XLOOKUP(E1216,LD_PROJETOS!A:A,LD_PROJETOS!G:G)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_xlfn.XLOOKUP(E1217,LD_PROJETOS!A:A,LD_PROJETOS!G:G)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_xlfn.XLOOKUP(E1218,LD_PROJETOS!A:A,LD_PROJETOS!G:G)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_xlfn.XLOOKUP(E1219,LD_PROJETOS!A:A,LD_PROJETOS!G:G)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_xlfn.XLOOKUP(E1220,LD_PROJETOS!A:A,LD_PROJETOS!G:G)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_xlfn.XLOOKUP(E1221,LD_PROJETOS!A:A,LD_PROJETOS!G:G)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_xlfn.XLOOKUP(E1222,LD_PROJETOS!A:A,LD_PROJETOS!G:G)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_xlfn.XLOOKUP(E1223,LD_PROJETOS!A:A,LD_PROJETOS!G:G)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_xlfn.XLOOKUP(E1224,LD_PROJETOS!A:A,LD_PROJETOS!G:G)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_xlfn.XLOOKUP(E1225,LD_PROJETOS!A:A,LD_PROJETOS!G:G)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_xlfn.XLOOKUP(E1226,LD_PROJETOS!A:A,LD_PROJETOS!G:G)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_xlfn.XLOOKUP(E1227,LD_PROJETOS!A:A,LD_PROJETOS!G:G)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_xlfn.XLOOKUP(E1228,LD_PROJETOS!A:A,LD_PROJETOS!G:G)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_xlfn.XLOOKUP(E1229,LD_PROJETOS!A:A,LD_PROJETOS!G:G)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_xlfn.XLOOKUP(E1230,LD_PROJETOS!A:A,LD_PROJETOS!G:G)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_xlfn.XLOOKUP(E1231,LD_PROJETOS!A:A,LD_PROJETOS!G:G)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_xlfn.XLOOKUP(E1232,LD_PROJETOS!A:A,LD_PROJETOS!G:G)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_xlfn.XLOOKUP(E1233,LD_PROJETOS!A:A,LD_PROJETOS!G:G)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_xlfn.XLOOKUP(E1234,LD_PROJETOS!A:A,LD_PROJETOS!G:G)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_xlfn.XLOOKUP(E1235,LD_PROJETOS!A:A,LD_PROJETOS!G:G)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_xlfn.XLOOKUP(E1236,LD_PROJETOS!A:A,LD_PROJETOS!G:G)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_xlfn.XLOOKUP(E1237,LD_PROJETOS!A:A,LD_PROJETOS!G:G)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_xlfn.XLOOKUP(E1238,LD_PROJETOS!A:A,LD_PROJETOS!G:G)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_xlfn.XLOOKUP(E1239,LD_PROJETOS!A:A,LD_PROJETOS!G:G)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_xlfn.XLOOKUP(E1240,LD_PROJETOS!A:A,LD_PROJETOS!G:G)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_xlfn.XLOOKUP(E1241,LD_PROJETOS!A:A,LD_PROJETOS!G:G)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_xlfn.XLOOKUP(E1242,LD_PROJETOS!A:A,LD_PROJETOS!G:G)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_xlfn.XLOOKUP(E1243,LD_PROJETOS!A:A,LD_PROJETOS!G:G)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_xlfn.XLOOKUP(E1244,LD_PROJETOS!A:A,LD_PROJETOS!G:G)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_xlfn.XLOOKUP(E1245,LD_PROJETOS!A:A,LD_PROJETOS!G:G)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_xlfn.XLOOKUP(E1246,LD_PROJETOS!A:A,LD_PROJETOS!G:G)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_xlfn.XLOOKUP(E1247,LD_PROJETOS!A:A,LD_PROJETOS!G:G)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_xlfn.XLOOKUP(E1248,LD_PROJETOS!A:A,LD_PROJETOS!G:G)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_xlfn.XLOOKUP(E1249,LD_PROJETOS!A:A,LD_PROJETOS!G:G)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_xlfn.XLOOKUP(E1250,LD_PROJETOS!A:A,LD_PROJETOS!G:G)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_xlfn.XLOOKUP(E1251,LD_PROJETOS!A:A,LD_PROJETOS!G:G)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_xlfn.XLOOKUP(E1252,LD_PROJETOS!A:A,LD_PROJETOS!G:G)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_xlfn.XLOOKUP(E1253,LD_PROJETOS!A:A,LD_PROJETOS!G:G)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_xlfn.XLOOKUP(E1254,LD_PROJETOS!A:A,LD_PROJETOS!G:G)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_xlfn.XLOOKUP(E1255,LD_PROJETOS!A:A,LD_PROJETOS!G:G)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_xlfn.XLOOKUP(E1256,LD_PROJETOS!A:A,LD_PROJETOS!G:G)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_xlfn.XLOOKUP(E1257,LD_PROJETOS!A:A,LD_PROJETOS!G:G)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_xlfn.XLOOKUP(E1258,LD_PROJETOS!A:A,LD_PROJETOS!G:G)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_xlfn.XLOOKUP(E1259,LD_PROJETOS!A:A,LD_PROJETOS!G:G)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_xlfn.XLOOKUP(E1260,LD_PROJETOS!A:A,LD_PROJETOS!G:G)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_xlfn.XLOOKUP(E1261,LD_PROJETOS!A:A,LD_PROJETOS!G:G)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_xlfn.XLOOKUP(E1262,LD_PROJETOS!A:A,LD_PROJETOS!G:G)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_xlfn.XLOOKUP(E1263,LD_PROJETOS!A:A,LD_PROJETOS!G:G)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_xlfn.XLOOKUP(E1264,LD_PROJETOS!A:A,LD_PROJETOS!G:G)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_xlfn.XLOOKUP(E1265,LD_PROJETOS!A:A,LD_PROJETOS!G:G)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_xlfn.XLOOKUP(E1266,LD_PROJETOS!A:A,LD_PROJETOS!G:G)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_xlfn.XLOOKUP(E1267,LD_PROJETOS!A:A,LD_PROJETOS!G:G)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_xlfn.XLOOKUP(E1268,LD_PROJETOS!A:A,LD_PROJETOS!G:G)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_xlfn.XLOOKUP(E1269,LD_PROJETOS!A:A,LD_PROJETOS!G:G)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_xlfn.XLOOKUP(E1270,LD_PROJETOS!A:A,LD_PROJETOS!G:G)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_xlfn.XLOOKUP(E1271,LD_PROJETOS!A:A,LD_PROJETOS!G:G)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_xlfn.XLOOKUP(E1272,LD_PROJETOS!A:A,LD_PROJETOS!G:G)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_xlfn.XLOOKUP(E1273,LD_PROJETOS!A:A,LD_PROJETOS!G:G)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_xlfn.XLOOKUP(E1274,LD_PROJETOS!A:A,LD_PROJETOS!G:G)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_xlfn.XLOOKUP(E1275,LD_PROJETOS!A:A,LD_PROJETOS!G:G)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_xlfn.XLOOKUP(E1276,LD_PROJETOS!A:A,LD_PROJETOS!G:G)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_xlfn.XLOOKUP(E1277,LD_PROJETOS!A:A,LD_PROJETOS!G:G)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_xlfn.XLOOKUP(E1278,LD_PROJETOS!A:A,LD_PROJETOS!G:G)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_xlfn.XLOOKUP(E1279,LD_PROJETOS!A:A,LD_PROJETOS!G:G)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_xlfn.XLOOKUP(E1280,LD_PROJETOS!A:A,LD_PROJETOS!G:G)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_xlfn.XLOOKUP(E1281,LD_PROJETOS!A:A,LD_PROJETOS!G:G)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_xlfn.XLOOKUP(E1282,LD_PROJETOS!A:A,LD_PROJETOS!G:G)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_xlfn.XLOOKUP(E1283,LD_PROJETOS!A:A,LD_PROJETOS!G:G)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_xlfn.XLOOKUP(E1284,LD_PROJETOS!A:A,LD_PROJETOS!G:G)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_xlfn.XLOOKUP(E1285,LD_PROJETOS!A:A,LD_PROJETOS!G:G)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_xlfn.XLOOKUP(E1286,LD_PROJETOS!A:A,LD_PROJETOS!G:G)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_xlfn.XLOOKUP(E1287,LD_PROJETOS!A:A,LD_PROJETOS!G:G)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_xlfn.XLOOKUP(E1288,LD_PROJETOS!A:A,LD_PROJETOS!G:G)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_xlfn.XLOOKUP(E1289,LD_PROJETOS!A:A,LD_PROJETOS!G:G)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_xlfn.XLOOKUP(E1290,LD_PROJETOS!A:A,LD_PROJETOS!G:G)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_xlfn.XLOOKUP(E1291,LD_PROJETOS!A:A,LD_PROJETOS!G:G)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_xlfn.XLOOKUP(E1292,LD_PROJETOS!A:A,LD_PROJETOS!G:G)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_xlfn.XLOOKUP(E1293,LD_PROJETOS!A:A,LD_PROJETOS!G:G)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_xlfn.XLOOKUP(E1294,LD_PROJETOS!A:A,LD_PROJETOS!G:G)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_xlfn.XLOOKUP(E1295,LD_PROJETOS!A:A,LD_PROJETOS!G:G)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_xlfn.XLOOKUP(E1296,LD_PROJETOS!A:A,LD_PROJETOS!G:G)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_xlfn.XLOOKUP(E1297,LD_PROJETOS!A:A,LD_PROJETOS!G:G)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_xlfn.XLOOKUP(E1298,LD_PROJETOS!A:A,LD_PROJETOS!G:G)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_xlfn.XLOOKUP(E1299,LD_PROJETOS!A:A,LD_PROJETOS!G:G)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_xlfn.XLOOKUP(E1300,LD_PROJETOS!A:A,LD_PROJETOS!G:G)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_xlfn.XLOOKUP(E1301,LD_PROJETOS!A:A,LD_PROJETOS!G:G)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_xlfn.XLOOKUP(E1302,LD_PROJETOS!A:A,LD_PROJETOS!G:G)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_xlfn.XLOOKUP(E1303,LD_PROJETOS!A:A,LD_PROJETOS!G:G)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_xlfn.XLOOKUP(E1304,LD_PROJETOS!A:A,LD_PROJETOS!G:G)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_xlfn.XLOOKUP(E1305,LD_PROJETOS!A:A,LD_PROJETOS!G:G)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_xlfn.XLOOKUP(E1306,LD_PROJETOS!A:A,LD_PROJETOS!G:G)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_xlfn.XLOOKUP(E1307,LD_PROJETOS!A:A,LD_PROJETOS!G:G)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_xlfn.XLOOKUP(E1308,LD_PROJETOS!A:A,LD_PROJETOS!G:G)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_xlfn.XLOOKUP(E1309,LD_PROJETOS!A:A,LD_PROJETOS!G:G)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_xlfn.XLOOKUP(E1310,LD_PROJETOS!A:A,LD_PROJETOS!G:G)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_xlfn.XLOOKUP(E1311,LD_PROJETOS!A:A,LD_PROJETOS!G:G)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_xlfn.XLOOKUP(E1312,LD_PROJETOS!A:A,LD_PROJETOS!G:G)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_xlfn.XLOOKUP(E1313,LD_PROJETOS!A:A,LD_PROJETOS!G:G)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_xlfn.XLOOKUP(E1314,LD_PROJETOS!A:A,LD_PROJETOS!G:G)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_xlfn.XLOOKUP(E1315,LD_PROJETOS!A:A,LD_PROJETOS!G:G)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_xlfn.XLOOKUP(E1316,LD_PROJETOS!A:A,LD_PROJETOS!G:G)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_xlfn.XLOOKUP(E1317,LD_PROJETOS!A:A,LD_PROJETOS!G:G)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_xlfn.XLOOKUP(E1318,LD_PROJETOS!A:A,LD_PROJETOS!G:G)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_xlfn.XLOOKUP(E1319,LD_PROJETOS!A:A,LD_PROJETOS!G:G)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_xlfn.XLOOKUP(E1320,LD_PROJETOS!A:A,LD_PROJETOS!G:G)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_xlfn.XLOOKUP(E1321,LD_PROJETOS!A:A,LD_PROJETOS!G:G)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_xlfn.XLOOKUP(E1322,LD_PROJETOS!A:A,LD_PROJETOS!G:G)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_xlfn.XLOOKUP(E1323,LD_PROJETOS!A:A,LD_PROJETOS!G:G)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_xlfn.XLOOKUP(E1324,LD_PROJETOS!A:A,LD_PROJETOS!G:G)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_xlfn.XLOOKUP(E1325,LD_PROJETOS!A:A,LD_PROJETOS!G:G)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_xlfn.XLOOKUP(E1326,LD_PROJETOS!A:A,LD_PROJETOS!G:G)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_xlfn.XLOOKUP(E1327,LD_PROJETOS!A:A,LD_PROJETOS!G:G)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_xlfn.XLOOKUP(E1328,LD_PROJETOS!A:A,LD_PROJETOS!G:G)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_xlfn.XLOOKUP(E1329,LD_PROJETOS!A:A,LD_PROJETOS!G:G)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_xlfn.XLOOKUP(E1330,LD_PROJETOS!A:A,LD_PROJETOS!G:G)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_xlfn.XLOOKUP(E1331,LD_PROJETOS!A:A,LD_PROJETOS!G:G)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_xlfn.XLOOKUP(E1332,LD_PROJETOS!A:A,LD_PROJETOS!G:G)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_xlfn.XLOOKUP(E1333,LD_PROJETOS!A:A,LD_PROJETOS!G:G)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_xlfn.XLOOKUP(E1334,LD_PROJETOS!A:A,LD_PROJETOS!G:G)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_xlfn.XLOOKUP(E1335,LD_PROJETOS!A:A,LD_PROJETOS!G:G)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_xlfn.XLOOKUP(E1336,LD_PROJETOS!A:A,LD_PROJETOS!G:G)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_xlfn.XLOOKUP(E1337,LD_PROJETOS!A:A,LD_PROJETOS!G:G)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_xlfn.XLOOKUP(E1338,LD_PROJETOS!A:A,LD_PROJETOS!G:G)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_xlfn.XLOOKUP(E1339,LD_PROJETOS!A:A,LD_PROJETOS!G:G)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_xlfn.XLOOKUP(E1340,LD_PROJETOS!A:A,LD_PROJETOS!G:G)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_xlfn.XLOOKUP(E1341,LD_PROJETOS!A:A,LD_PROJETOS!G:G)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_xlfn.XLOOKUP(E1342,LD_PROJETOS!A:A,LD_PROJETOS!G:G)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_xlfn.XLOOKUP(E1343,LD_PROJETOS!A:A,LD_PROJETOS!G:G)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_xlfn.XLOOKUP(E1344,LD_PROJETOS!A:A,LD_PROJETOS!G:G)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_xlfn.XLOOKUP(E1345,LD_PROJETOS!A:A,LD_PROJETOS!G:G)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_xlfn.XLOOKUP(E1346,LD_PROJETOS!A:A,LD_PROJETOS!G:G)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_xlfn.XLOOKUP(E1347,LD_PROJETOS!A:A,LD_PROJETOS!G:G)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_xlfn.XLOOKUP(E1348,LD_PROJETOS!A:A,LD_PROJETOS!G:G)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_xlfn.XLOOKUP(E1349,LD_PROJETOS!A:A,LD_PROJETOS!G:G)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_xlfn.XLOOKUP(E1350,LD_PROJETOS!A:A,LD_PROJETOS!G:G)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_xlfn.XLOOKUP(E1351,LD_PROJETOS!A:A,LD_PROJETOS!G:G)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_xlfn.XLOOKUP(E1352,LD_PROJETOS!A:A,LD_PROJETOS!G:G)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_xlfn.XLOOKUP(E1353,LD_PROJETOS!A:A,LD_PROJETOS!G:G)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_xlfn.XLOOKUP(E1354,LD_PROJETOS!A:A,LD_PROJETOS!G:G)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_xlfn.XLOOKUP(E1355,LD_PROJETOS!A:A,LD_PROJETOS!G:G)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_xlfn.XLOOKUP(E1356,LD_PROJETOS!A:A,LD_PROJETOS!G:G)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_xlfn.XLOOKUP(E1357,LD_PROJETOS!A:A,LD_PROJETOS!G:G)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_xlfn.XLOOKUP(E1358,LD_PROJETOS!A:A,LD_PROJETOS!G:G)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_xlfn.XLOOKUP(E1359,LD_PROJETOS!A:A,LD_PROJETOS!G:G)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_xlfn.XLOOKUP(E1360,LD_PROJETOS!A:A,LD_PROJETOS!G:G)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_xlfn.XLOOKUP(E1361,LD_PROJETOS!A:A,LD_PROJETOS!G:G)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_xlfn.XLOOKUP(E1362,LD_PROJETOS!A:A,LD_PROJETOS!G:G)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_xlfn.XLOOKUP(E1363,LD_PROJETOS!A:A,LD_PROJETOS!G:G)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_xlfn.XLOOKUP(E1364,LD_PROJETOS!A:A,LD_PROJETOS!G:G)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_xlfn.XLOOKUP(E1365,LD_PROJETOS!A:A,LD_PROJETOS!G:G)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_xlfn.XLOOKUP(E1366,LD_PROJETOS!A:A,LD_PROJETOS!G:G)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_xlfn.XLOOKUP(E1367,LD_PROJETOS!A:A,LD_PROJETOS!G:G)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_xlfn.XLOOKUP(E1368,LD_PROJETOS!A:A,LD_PROJETOS!G:G)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_xlfn.XLOOKUP(E1369,LD_PROJETOS!A:A,LD_PROJETOS!G:G)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_xlfn.XLOOKUP(E1370,LD_PROJETOS!A:A,LD_PROJETOS!G:G)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_xlfn.XLOOKUP(E1371,LD_PROJETOS!A:A,LD_PROJETOS!G:G)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_xlfn.XLOOKUP(E1372,LD_PROJETOS!A:A,LD_PROJETOS!G:G)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_xlfn.XLOOKUP(E1373,LD_PROJETOS!A:A,LD_PROJETOS!G:G)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_xlfn.XLOOKUP(E1374,LD_PROJETOS!A:A,LD_PROJETOS!G:G)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_xlfn.XLOOKUP(E1375,LD_PROJETOS!A:A,LD_PROJETOS!G:G)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_xlfn.XLOOKUP(E1376,LD_PROJETOS!A:A,LD_PROJETOS!G:G)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_xlfn.XLOOKUP(E1377,LD_PROJETOS!A:A,LD_PROJETOS!G:G)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_xlfn.XLOOKUP(E1378,LD_PROJETOS!A:A,LD_PROJETOS!G:G)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_xlfn.XLOOKUP(E1379,LD_PROJETOS!A:A,LD_PROJETOS!G:G)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_xlfn.XLOOKUP(E1380,LD_PROJETOS!A:A,LD_PROJETOS!G:G)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_xlfn.XLOOKUP(E1381,LD_PROJETOS!A:A,LD_PROJETOS!G:G)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_xlfn.XLOOKUP(E1382,LD_PROJETOS!A:A,LD_PROJETOS!G:G)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_xlfn.XLOOKUP(E1383,LD_PROJETOS!A:A,LD_PROJETOS!G:G)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_xlfn.XLOOKUP(E1384,LD_PROJETOS!A:A,LD_PROJETOS!G:G)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_xlfn.XLOOKUP(E1385,LD_PROJETOS!A:A,LD_PROJETOS!G:G)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_xlfn.XLOOKUP(E1386,LD_PROJETOS!A:A,LD_PROJETOS!G:G)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_xlfn.XLOOKUP(E1387,LD_PROJETOS!A:A,LD_PROJETOS!G:G)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_xlfn.XLOOKUP(E1388,LD_PROJETOS!A:A,LD_PROJETOS!G:G)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_xlfn.XLOOKUP(E1389,LD_PROJETOS!A:A,LD_PROJETOS!G:G)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_xlfn.XLOOKUP(E1390,LD_PROJETOS!A:A,LD_PROJETOS!G:G)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_xlfn.XLOOKUP(E1391,LD_PROJETOS!A:A,LD_PROJETOS!G:G)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_xlfn.XLOOKUP(E1392,LD_PROJETOS!A:A,LD_PROJETOS!G:G)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_xlfn.XLOOKUP(E1393,LD_PROJETOS!A:A,LD_PROJETOS!G:G)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_xlfn.XLOOKUP(E1394,LD_PROJETOS!A:A,LD_PROJETOS!G:G)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_xlfn.XLOOKUP(E1395,LD_PROJETOS!A:A,LD_PROJETOS!G:G)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_xlfn.XLOOKUP(E1396,LD_PROJETOS!A:A,LD_PROJETOS!G:G)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_xlfn.XLOOKUP(E1397,LD_PROJETOS!A:A,LD_PROJETOS!G:G)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_xlfn.XLOOKUP(E1398,LD_PROJETOS!A:A,LD_PROJETOS!G:G)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_xlfn.XLOOKUP(E1399,LD_PROJETOS!A:A,LD_PROJETOS!G:G)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_xlfn.XLOOKUP(E1400,LD_PROJETOS!A:A,LD_PROJETOS!G:G)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_xlfn.XLOOKUP(E1401,LD_PROJETOS!A:A,LD_PROJETOS!G:G)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_xlfn.XLOOKUP(E1402,LD_PROJETOS!A:A,LD_PROJETOS!G:G)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_xlfn.XLOOKUP(E1403,LD_PROJETOS!A:A,LD_PROJETOS!G:G)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_xlfn.XLOOKUP(E1404,LD_PROJETOS!A:A,LD_PROJETOS!G:G)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_xlfn.XLOOKUP(E1405,LD_PROJETOS!A:A,LD_PROJETOS!G:G)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_xlfn.XLOOKUP(E1406,LD_PROJETOS!A:A,LD_PROJETOS!G:G)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_xlfn.XLOOKUP(E1407,LD_PROJETOS!A:A,LD_PROJETOS!G:G)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_xlfn.XLOOKUP(E1408,LD_PROJETOS!A:A,LD_PROJETOS!G:G)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_xlfn.XLOOKUP(E1409,LD_PROJETOS!A:A,LD_PROJETOS!G:G)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_xlfn.XLOOKUP(E1410,LD_PROJETOS!A:A,LD_PROJETOS!G:G)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_xlfn.XLOOKUP(E1411,LD_PROJETOS!A:A,LD_PROJETOS!G:G)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_xlfn.XLOOKUP(E1412,LD_PROJETOS!A:A,LD_PROJETOS!G:G)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_xlfn.XLOOKUP(E1413,LD_PROJETOS!A:A,LD_PROJETOS!G:G)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_xlfn.XLOOKUP(E1414,LD_PROJETOS!A:A,LD_PROJETOS!G:G)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_xlfn.XLOOKUP(E1415,LD_PROJETOS!A:A,LD_PROJETOS!G:G)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_xlfn.XLOOKUP(E1416,LD_PROJETOS!A:A,LD_PROJETOS!G:G)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_xlfn.XLOOKUP(E1417,LD_PROJETOS!A:A,LD_PROJETOS!G:G)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_xlfn.XLOOKUP(E1418,LD_PROJETOS!A:A,LD_PROJETOS!G:G)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_xlfn.XLOOKUP(E1419,LD_PROJETOS!A:A,LD_PROJETOS!G:G)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_xlfn.XLOOKUP(E1420,LD_PROJETOS!A:A,LD_PROJETOS!G:G)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_xlfn.XLOOKUP(E1421,LD_PROJETOS!A:A,LD_PROJETOS!G:G)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_xlfn.XLOOKUP(E1422,LD_PROJETOS!A:A,LD_PROJETOS!G:G)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_xlfn.XLOOKUP(E1423,LD_PROJETOS!A:A,LD_PROJETOS!G:G)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_xlfn.XLOOKUP(E1424,LD_PROJETOS!A:A,LD_PROJETOS!G:G)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_xlfn.XLOOKUP(E1425,LD_PROJETOS!A:A,LD_PROJETOS!G:G)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_xlfn.XLOOKUP(E1426,LD_PROJETOS!A:A,LD_PROJETOS!G:G)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_xlfn.XLOOKUP(E1427,LD_PROJETOS!A:A,LD_PROJETOS!G:G)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_xlfn.XLOOKUP(E1428,LD_PROJETOS!A:A,LD_PROJETOS!G:G)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_xlfn.XLOOKUP(E1429,LD_PROJETOS!A:A,LD_PROJETOS!G:G)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_xlfn.XLOOKUP(E1430,LD_PROJETOS!A:A,LD_PROJETOS!G:G)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_xlfn.XLOOKUP(E1431,LD_PROJETOS!A:A,LD_PROJETOS!G:G)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_xlfn.XLOOKUP(E1432,LD_PROJETOS!A:A,LD_PROJETOS!G:G)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_xlfn.XLOOKUP(E1433,LD_PROJETOS!A:A,LD_PROJETOS!G:G)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_xlfn.XLOOKUP(E1434,LD_PROJETOS!A:A,LD_PROJETOS!G:G)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_xlfn.XLOOKUP(E1435,LD_PROJETOS!A:A,LD_PROJETOS!G:G)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_xlfn.XLOOKUP(E1436,LD_PROJETOS!A:A,LD_PROJETOS!G:G)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_xlfn.XLOOKUP(E1437,LD_PROJETOS!A:A,LD_PROJETOS!G:G)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_xlfn.XLOOKUP(E1438,LD_PROJETOS!A:A,LD_PROJETOS!G:G)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_xlfn.XLOOKUP(E1439,LD_PROJETOS!A:A,LD_PROJETOS!G:G)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_xlfn.XLOOKUP(E1440,LD_PROJETOS!A:A,LD_PROJETOS!G:G)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_xlfn.XLOOKUP(E1441,LD_PROJETOS!A:A,LD_PROJETOS!G:G)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_xlfn.XLOOKUP(E1442,LD_PROJETOS!A:A,LD_PROJETOS!G:G)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_xlfn.XLOOKUP(E1443,LD_PROJETOS!A:A,LD_PROJETOS!G:G)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_xlfn.XLOOKUP(E1444,LD_PROJETOS!A:A,LD_PROJETOS!G:G)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_xlfn.XLOOKUP(E1445,LD_PROJETOS!A:A,LD_PROJETOS!G:G)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_xlfn.XLOOKUP(E1446,LD_PROJETOS!A:A,LD_PROJETOS!G:G)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_xlfn.XLOOKUP(E1447,LD_PROJETOS!A:A,LD_PROJETOS!G:G)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_xlfn.XLOOKUP(E1448,LD_PROJETOS!A:A,LD_PROJETOS!G:G)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_xlfn.XLOOKUP(E1449,LD_PROJETOS!A:A,LD_PROJETOS!G:G)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_xlfn.XLOOKUP(E1450,LD_PROJETOS!A:A,LD_PROJETOS!G:G)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_xlfn.XLOOKUP(E1451,LD_PROJETOS!A:A,LD_PROJETOS!G:G)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_xlfn.XLOOKUP(E1452,LD_PROJETOS!A:A,LD_PROJETOS!G:G)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_xlfn.XLOOKUP(E1453,LD_PROJETOS!A:A,LD_PROJETOS!G:G)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_xlfn.XLOOKUP(E1454,LD_PROJETOS!A:A,LD_PROJETOS!G:G)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_xlfn.XLOOKUP(E1455,LD_PROJETOS!A:A,LD_PROJETOS!G:G)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_xlfn.XLOOKUP(E1456,LD_PROJETOS!A:A,LD_PROJETOS!G:G)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_xlfn.XLOOKUP(E1457,LD_PROJETOS!A:A,LD_PROJETOS!G:G)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_xlfn.XLOOKUP(E1458,LD_PROJETOS!A:A,LD_PROJETOS!G:G)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_xlfn.XLOOKUP(E1459,LD_PROJETOS!A:A,LD_PROJETOS!G:G)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_xlfn.XLOOKUP(E1460,LD_PROJETOS!A:A,LD_PROJETOS!G:G)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_xlfn.XLOOKUP(E1461,LD_PROJETOS!A:A,LD_PROJETOS!G:G)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_xlfn.XLOOKUP(E1462,LD_PROJETOS!A:A,LD_PROJETOS!G:G)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_xlfn.XLOOKUP(E1463,LD_PROJETOS!A:A,LD_PROJETOS!G:G)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_xlfn.XLOOKUP(E1464,LD_PROJETOS!A:A,LD_PROJETOS!G:G)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_xlfn.XLOOKUP(E1465,LD_PROJETOS!A:A,LD_PROJETOS!G:G)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_xlfn.XLOOKUP(E1466,LD_PROJETOS!A:A,LD_PROJETOS!G:G)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_xlfn.XLOOKUP(E1467,LD_PROJETOS!A:A,LD_PROJETOS!G:G)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_xlfn.XLOOKUP(E1468,LD_PROJETOS!A:A,LD_PROJETOS!G:G)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_xlfn.XLOOKUP(E1469,LD_PROJETOS!A:A,LD_PROJETOS!G:G)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_xlfn.XLOOKUP(E1470,LD_PROJETOS!A:A,LD_PROJETOS!G:G)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_xlfn.XLOOKUP(E1471,LD_PROJETOS!A:A,LD_PROJETOS!G:G)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_xlfn.XLOOKUP(E1472,LD_PROJETOS!A:A,LD_PROJETOS!G:G)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_xlfn.XLOOKUP(E1473,LD_PROJETOS!A:A,LD_PROJETOS!G:G)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_xlfn.XLOOKUP(E1474,LD_PROJETOS!A:A,LD_PROJETOS!G:G)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_xlfn.XLOOKUP(E1475,LD_PROJETOS!A:A,LD_PROJETOS!G:G)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_xlfn.XLOOKUP(E1476,LD_PROJETOS!A:A,LD_PROJETOS!G:G)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_xlfn.XLOOKUP(E1477,LD_PROJETOS!A:A,LD_PROJETOS!G:G)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_xlfn.XLOOKUP(E1478,LD_PROJETOS!A:A,LD_PROJETOS!G:G)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_xlfn.XLOOKUP(E1479,LD_PROJETOS!A:A,LD_PROJETOS!G:G)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_xlfn.XLOOKUP(E1480,LD_PROJETOS!A:A,LD_PROJETOS!G:G)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_xlfn.XLOOKUP(E1481,LD_PROJETOS!A:A,LD_PROJETOS!G:G)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_xlfn.XLOOKUP(E1482,LD_PROJETOS!A:A,LD_PROJETOS!G:G)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_xlfn.XLOOKUP(E1483,LD_PROJETOS!A:A,LD_PROJETOS!G:G)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_xlfn.XLOOKUP(E1484,LD_PROJETOS!A:A,LD_PROJETOS!G:G)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_xlfn.XLOOKUP(E1485,LD_PROJETOS!A:A,LD_PROJETOS!G:G)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_xlfn.XLOOKUP(E1486,LD_PROJETOS!A:A,LD_PROJETOS!G:G)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_xlfn.XLOOKUP(E1487,LD_PROJETOS!A:A,LD_PROJETOS!G:G)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_xlfn.XLOOKUP(E1488,LD_PROJETOS!A:A,LD_PROJETOS!G:G)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_xlfn.XLOOKUP(E1489,LD_PROJETOS!A:A,LD_PROJETOS!G:G)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_xlfn.XLOOKUP(E1490,LD_PROJETOS!A:A,LD_PROJETOS!G:G)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_xlfn.XLOOKUP(E1491,LD_PROJETOS!A:A,LD_PROJETOS!G:G)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_xlfn.XLOOKUP(E1492,LD_PROJETOS!A:A,LD_PROJETOS!G:G)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_xlfn.XLOOKUP(E1493,LD_PROJETOS!A:A,LD_PROJETOS!G:G)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_xlfn.XLOOKUP(E1494,LD_PROJETOS!A:A,LD_PROJETOS!G:G)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_xlfn.XLOOKUP(E1495,LD_PROJETOS!A:A,LD_PROJETOS!G:G)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_xlfn.XLOOKUP(E1496,LD_PROJETOS!A:A,LD_PROJETOS!G:G)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_xlfn.XLOOKUP(E1497,LD_PROJETOS!A:A,LD_PROJETOS!G:G)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_xlfn.XLOOKUP(E1498,LD_PROJETOS!A:A,LD_PROJETOS!G:G)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_xlfn.XLOOKUP(E1499,LD_PROJETOS!A:A,LD_PROJETOS!G:G)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_xlfn.XLOOKUP(E1500,LD_PROJETOS!A:A,LD_PROJETOS!G:G)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_xlfn.XLOOKUP(E1501,LD_PROJETOS!A:A,LD_PROJETOS!G:G)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_xlfn.XLOOKUP(E1502,LD_PROJETOS!A:A,LD_PROJETOS!G:G)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_xlfn.XLOOKUP(E1503,LD_PROJETOS!A:A,LD_PROJETOS!G:G)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_xlfn.XLOOKUP(E1504,LD_PROJETOS!A:A,LD_PROJETOS!G:G)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_xlfn.XLOOKUP(E1505,LD_PROJETOS!A:A,LD_PROJETOS!G:G)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_xlfn.XLOOKUP(E1506,LD_PROJETOS!A:A,LD_PROJETOS!G:G)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_xlfn.XLOOKUP(E1507,LD_PROJETOS!A:A,LD_PROJETOS!G:G)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_xlfn.XLOOKUP(E1508,LD_PROJETOS!A:A,LD_PROJETOS!G:G)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_xlfn.XLOOKUP(E1509,LD_PROJETOS!A:A,LD_PROJETOS!G:G)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_xlfn.XLOOKUP(E1510,LD_PROJETOS!A:A,LD_PROJETOS!G:G)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_xlfn.XLOOKUP(E1511,LD_PROJETOS!A:A,LD_PROJETOS!G:G)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_xlfn.XLOOKUP(E1512,LD_PROJETOS!A:A,LD_PROJETOS!G:G)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_xlfn.XLOOKUP(E1513,LD_PROJETOS!A:A,LD_PROJETOS!G:G)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_xlfn.XLOOKUP(E1514,LD_PROJETOS!A:A,LD_PROJETOS!G:G)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_xlfn.XLOOKUP(E1515,LD_PROJETOS!A:A,LD_PROJETOS!G:G)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_xlfn.XLOOKUP(E1516,LD_PROJETOS!A:A,LD_PROJETOS!G:G)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_xlfn.XLOOKUP(E1517,LD_PROJETOS!A:A,LD_PROJETOS!G:G)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_xlfn.XLOOKUP(E1518,LD_PROJETOS!A:A,LD_PROJETOS!G:G)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_xlfn.XLOOKUP(E1519,LD_PROJETOS!A:A,LD_PROJETOS!G:G)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_xlfn.XLOOKUP(E1520,LD_PROJETOS!A:A,LD_PROJETOS!G:G)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_xlfn.XLOOKUP(E1521,LD_PROJETOS!A:A,LD_PROJETOS!G:G)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_xlfn.XLOOKUP(E1522,LD_PROJETOS!A:A,LD_PROJETOS!G:G)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_xlfn.XLOOKUP(E1523,LD_PROJETOS!A:A,LD_PROJETOS!G:G)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_xlfn.XLOOKUP(E1524,LD_PROJETOS!A:A,LD_PROJETOS!G:G)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_xlfn.XLOOKUP(E1525,LD_PROJETOS!A:A,LD_PROJETOS!G:G)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_xlfn.XLOOKUP(E1526,LD_PROJETOS!A:A,LD_PROJETOS!G:G)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_xlfn.XLOOKUP(E1527,LD_PROJETOS!A:A,LD_PROJETOS!G:G)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_xlfn.XLOOKUP(E1528,LD_PROJETOS!A:A,LD_PROJETOS!G:G)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_xlfn.XLOOKUP(E1529,LD_PROJETOS!A:A,LD_PROJETOS!G:G)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_xlfn.XLOOKUP(E1530,LD_PROJETOS!A:A,LD_PROJETOS!G:G)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_xlfn.XLOOKUP(E1531,LD_PROJETOS!A:A,LD_PROJETOS!G:G)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_xlfn.XLOOKUP(E1532,LD_PROJETOS!A:A,LD_PROJETOS!G:G)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_xlfn.XLOOKUP(E1533,LD_PROJETOS!A:A,LD_PROJETOS!G:G)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_xlfn.XLOOKUP(E1534,LD_PROJETOS!A:A,LD_PROJETOS!G:G)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_xlfn.XLOOKUP(E1535,LD_PROJETOS!A:A,LD_PROJETOS!G:G)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_xlfn.XLOOKUP(E1536,LD_PROJETOS!A:A,LD_PROJETOS!G:G)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_xlfn.XLOOKUP(E1537,LD_PROJETOS!A:A,LD_PROJETOS!G:G)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_xlfn.XLOOKUP(E1538,LD_PROJETOS!A:A,LD_PROJETOS!G:G)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_xlfn.XLOOKUP(E1539,LD_PROJETOS!A:A,LD_PROJETOS!G:G)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_xlfn.XLOOKUP(E1540,LD_PROJETOS!A:A,LD_PROJETOS!G:G)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_xlfn.XLOOKUP(E1541,LD_PROJETOS!A:A,LD_PROJETOS!G:G)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_xlfn.XLOOKUP(E1542,LD_PROJETOS!A:A,LD_PROJETOS!G:G)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_xlfn.XLOOKUP(E1543,LD_PROJETOS!A:A,LD_PROJETOS!G:G)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_xlfn.XLOOKUP(E1544,LD_PROJETOS!A:A,LD_PROJETOS!G:G)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_xlfn.XLOOKUP(E1545,LD_PROJETOS!A:A,LD_PROJETOS!G:G)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_xlfn.XLOOKUP(E1546,LD_PROJETOS!A:A,LD_PROJETOS!G:G)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_xlfn.XLOOKUP(E1547,LD_PROJETOS!A:A,LD_PROJETOS!G:G)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_xlfn.XLOOKUP(E1548,LD_PROJETOS!A:A,LD_PROJETOS!G:G)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_xlfn.XLOOKUP(E1549,LD_PROJETOS!A:A,LD_PROJETOS!G:G)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_xlfn.XLOOKUP(E1550,LD_PROJETOS!A:A,LD_PROJETOS!G:G)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_xlfn.XLOOKUP(E1551,LD_PROJETOS!A:A,LD_PROJETOS!G:G)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_xlfn.XLOOKUP(E1552,LD_PROJETOS!A:A,LD_PROJETOS!G:G)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_xlfn.XLOOKUP(E1553,LD_PROJETOS!A:A,LD_PROJETOS!G:G)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_xlfn.XLOOKUP(E1554,LD_PROJETOS!A:A,LD_PROJETOS!G:G)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_xlfn.XLOOKUP(E1555,LD_PROJETOS!A:A,LD_PROJETOS!G:G)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_xlfn.XLOOKUP(E1556,LD_PROJETOS!A:A,LD_PROJETOS!G:G)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_xlfn.XLOOKUP(E1557,LD_PROJETOS!A:A,LD_PROJETOS!G:G)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_xlfn.XLOOKUP(E1558,LD_PROJETOS!A:A,LD_PROJETOS!G:G)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_xlfn.XLOOKUP(E1559,LD_PROJETOS!A:A,LD_PROJETOS!G:G)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_xlfn.XLOOKUP(E1560,LD_PROJETOS!A:A,LD_PROJETOS!G:G)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_xlfn.XLOOKUP(E1561,LD_PROJETOS!A:A,LD_PROJETOS!G:G)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_xlfn.XLOOKUP(E1562,LD_PROJETOS!A:A,LD_PROJETOS!G:G)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_xlfn.XLOOKUP(E1563,LD_PROJETOS!A:A,LD_PROJETOS!G:G)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_xlfn.XLOOKUP(E1564,LD_PROJETOS!A:A,LD_PROJETOS!G:G)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_xlfn.XLOOKUP(E1565,LD_PROJETOS!A:A,LD_PROJETOS!G:G)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_xlfn.XLOOKUP(E1566,LD_PROJETOS!A:A,LD_PROJETOS!G:G)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_xlfn.XLOOKUP(E1567,LD_PROJETOS!A:A,LD_PROJETOS!G:G)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_xlfn.XLOOKUP(E1568,LD_PROJETOS!A:A,LD_PROJETOS!G:G)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_xlfn.XLOOKUP(E1569,LD_PROJETOS!A:A,LD_PROJETOS!G:G)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_xlfn.XLOOKUP(E1570,LD_PROJETOS!A:A,LD_PROJETOS!G:G)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_xlfn.XLOOKUP(E1571,LD_PROJETOS!A:A,LD_PROJETOS!G:G)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_xlfn.XLOOKUP(E1572,LD_PROJETOS!A:A,LD_PROJETOS!G:G)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_xlfn.XLOOKUP(E1573,LD_PROJETOS!A:A,LD_PROJETOS!G:G)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_xlfn.XLOOKUP(E1574,LD_PROJETOS!A:A,LD_PROJETOS!G:G)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_xlfn.XLOOKUP(E1575,LD_PROJETOS!A:A,LD_PROJETOS!G:G)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_xlfn.XLOOKUP(E1576,LD_PROJETOS!A:A,LD_PROJETOS!G:G)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_xlfn.XLOOKUP(E1577,LD_PROJETOS!A:A,LD_PROJETOS!G:G)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_xlfn.XLOOKUP(E1578,LD_PROJETOS!A:A,LD_PROJETOS!G:G)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_xlfn.XLOOKUP(E1579,LD_PROJETOS!A:A,LD_PROJETOS!G:G)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_xlfn.XLOOKUP(E1580,LD_PROJETOS!A:A,LD_PROJETOS!G:G)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_xlfn.XLOOKUP(E1581,LD_PROJETOS!A:A,LD_PROJETOS!G:G)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_xlfn.XLOOKUP(E1582,LD_PROJETOS!A:A,LD_PROJETOS!G:G)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_xlfn.XLOOKUP(E1583,LD_PROJETOS!A:A,LD_PROJETOS!G:G)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_xlfn.XLOOKUP(E1584,LD_PROJETOS!A:A,LD_PROJETOS!G:G)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_xlfn.XLOOKUP(E1585,LD_PROJETOS!A:A,LD_PROJETOS!G:G)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_xlfn.XLOOKUP(E1586,LD_PROJETOS!A:A,LD_PROJETOS!G:G)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_xlfn.XLOOKUP(E1587,LD_PROJETOS!A:A,LD_PROJETOS!G:G)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_xlfn.XLOOKUP(E1588,LD_PROJETOS!A:A,LD_PROJETOS!G:G)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_xlfn.XLOOKUP(E1589,LD_PROJETOS!A:A,LD_PROJETOS!G:G)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_xlfn.XLOOKUP(E1590,LD_PROJETOS!A:A,LD_PROJETOS!G:G)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_xlfn.XLOOKUP(E1591,LD_PROJETOS!A:A,LD_PROJETOS!G:G)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_xlfn.XLOOKUP(E1592,LD_PROJETOS!A:A,LD_PROJETOS!G:G)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_xlfn.XLOOKUP(E1593,LD_PROJETOS!A:A,LD_PROJETOS!G:G)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_xlfn.XLOOKUP(E1594,LD_PROJETOS!A:A,LD_PROJETOS!G:G)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_xlfn.XLOOKUP(E1595,LD_PROJETOS!A:A,LD_PROJETOS!G:G)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_xlfn.XLOOKUP(E1596,LD_PROJETOS!A:A,LD_PROJETOS!G:G)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_xlfn.XLOOKUP(E1597,LD_PROJETOS!A:A,LD_PROJETOS!G:G)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_xlfn.XLOOKUP(E1598,LD_PROJETOS!A:A,LD_PROJETOS!G:G)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_xlfn.XLOOKUP(E1599,LD_PROJETOS!A:A,LD_PROJETOS!G:G)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_xlfn.XLOOKUP(E1600,LD_PROJETOS!A:A,LD_PROJETOS!G:G)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_xlfn.XLOOKUP(E1601,LD_PROJETOS!A:A,LD_PROJETOS!G:G)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_xlfn.XLOOKUP(E1602,LD_PROJETOS!A:A,LD_PROJETOS!G:G)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_xlfn.XLOOKUP(E1603,LD_PROJETOS!A:A,LD_PROJETOS!G:G)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_xlfn.XLOOKUP(E1604,LD_PROJETOS!A:A,LD_PROJETOS!G:G)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_xlfn.XLOOKUP(E1605,LD_PROJETOS!A:A,LD_PROJETOS!G:G)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_xlfn.XLOOKUP(E1606,LD_PROJETOS!A:A,LD_PROJETOS!G:G)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_xlfn.XLOOKUP(E1607,LD_PROJETOS!A:A,LD_PROJETOS!G:G)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_xlfn.XLOOKUP(E1608,LD_PROJETOS!A:A,LD_PROJETOS!G:G)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_xlfn.XLOOKUP(E1609,LD_PROJETOS!A:A,LD_PROJETOS!G:G)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_xlfn.XLOOKUP(E1610,LD_PROJETOS!A:A,LD_PROJETOS!G:G)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_xlfn.XLOOKUP(E1611,LD_PROJETOS!A:A,LD_PROJETOS!G:G)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_xlfn.XLOOKUP(E1612,LD_PROJETOS!A:A,LD_PROJETOS!G:G)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_xlfn.XLOOKUP(E1613,LD_PROJETOS!A:A,LD_PROJETOS!G:G)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_xlfn.XLOOKUP(E1614,LD_PROJETOS!A:A,LD_PROJETOS!G:G)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_xlfn.XLOOKUP(E1615,LD_PROJETOS!A:A,LD_PROJETOS!G:G)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_xlfn.XLOOKUP(E1616,LD_PROJETOS!A:A,LD_PROJETOS!G:G)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_xlfn.XLOOKUP(E1617,LD_PROJETOS!A:A,LD_PROJETOS!G:G)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_xlfn.XLOOKUP(E1618,LD_PROJETOS!A:A,LD_PROJETOS!G:G)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_xlfn.XLOOKUP(E1619,LD_PROJETOS!A:A,LD_PROJETOS!G:G)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_xlfn.XLOOKUP(E1620,LD_PROJETOS!A:A,LD_PROJETOS!G:G)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_xlfn.XLOOKUP(E1621,LD_PROJETOS!A:A,LD_PROJETOS!G:G)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_xlfn.XLOOKUP(E1622,LD_PROJETOS!A:A,LD_PROJETOS!G:G)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_xlfn.XLOOKUP(E1623,LD_PROJETOS!A:A,LD_PROJETOS!G:G)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_xlfn.XLOOKUP(E1624,LD_PROJETOS!A:A,LD_PROJETOS!G:G)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_xlfn.XLOOKUP(E1625,LD_PROJETOS!A:A,LD_PROJETOS!G:G)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_xlfn.XLOOKUP(E1626,LD_PROJETOS!A:A,LD_PROJETOS!G:G)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_xlfn.XLOOKUP(E1627,LD_PROJETOS!A:A,LD_PROJETOS!G:G)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_xlfn.XLOOKUP(E1628,LD_PROJETOS!A:A,LD_PROJETOS!G:G)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_xlfn.XLOOKUP(E1629,LD_PROJETOS!A:A,LD_PROJETOS!G:G)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_xlfn.XLOOKUP(E1630,LD_PROJETOS!A:A,LD_PROJETOS!G:G)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_xlfn.XLOOKUP(E1631,LD_PROJETOS!A:A,LD_PROJETOS!G:G)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_xlfn.XLOOKUP(E1632,LD_PROJETOS!A:A,LD_PROJETOS!G:G)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_xlfn.XLOOKUP(E1633,LD_PROJETOS!A:A,LD_PROJETOS!G:G)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_xlfn.XLOOKUP(E1634,LD_PROJETOS!A:A,LD_PROJETOS!G:G)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_xlfn.XLOOKUP(E1635,LD_PROJETOS!A:A,LD_PROJETOS!G:G)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_xlfn.XLOOKUP(E1636,LD_PROJETOS!A:A,LD_PROJETOS!G:G)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_xlfn.XLOOKUP(E1637,LD_PROJETOS!A:A,LD_PROJETOS!G:G)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_xlfn.XLOOKUP(E1638,LD_PROJETOS!A:A,LD_PROJETOS!G:G)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_xlfn.XLOOKUP(E1639,LD_PROJETOS!A:A,LD_PROJETOS!G:G)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_xlfn.XLOOKUP(E1640,LD_PROJETOS!A:A,LD_PROJETOS!G:G)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_xlfn.XLOOKUP(E1641,LD_PROJETOS!A:A,LD_PROJETOS!G:G)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_xlfn.XLOOKUP(E1642,LD_PROJETOS!A:A,LD_PROJETOS!G:G)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_xlfn.XLOOKUP(E1643,LD_PROJETOS!A:A,LD_PROJETOS!G:G)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_xlfn.XLOOKUP(E1644,LD_PROJETOS!A:A,LD_PROJETOS!G:G)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_xlfn.XLOOKUP(E1645,LD_PROJETOS!A:A,LD_PROJETOS!G:G)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_xlfn.XLOOKUP(E1646,LD_PROJETOS!A:A,LD_PROJETOS!G:G)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_xlfn.XLOOKUP(E1647,LD_PROJETOS!A:A,LD_PROJETOS!G:G)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_xlfn.XLOOKUP(E1648,LD_PROJETOS!A:A,LD_PROJETOS!G:G)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_xlfn.XLOOKUP(E1649,LD_PROJETOS!A:A,LD_PROJETOS!G:G)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_xlfn.XLOOKUP(E1650,LD_PROJETOS!A:A,LD_PROJETOS!G:G)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_xlfn.XLOOKUP(E1651,LD_PROJETOS!A:A,LD_PROJETOS!G:G)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_xlfn.XLOOKUP(E1652,LD_PROJETOS!A:A,LD_PROJETOS!G:G)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_xlfn.XLOOKUP(E1653,LD_PROJETOS!A:A,LD_PROJETOS!G:G)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_xlfn.XLOOKUP(E1654,LD_PROJETOS!A:A,LD_PROJETOS!G:G)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_xlfn.XLOOKUP(E1655,LD_PROJETOS!A:A,LD_PROJETOS!G:G)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_xlfn.XLOOKUP(E1656,LD_PROJETOS!A:A,LD_PROJETOS!G:G)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_xlfn.XLOOKUP(E1657,LD_PROJETOS!A:A,LD_PROJETOS!G:G)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_xlfn.XLOOKUP(E1658,LD_PROJETOS!A:A,LD_PROJETOS!G:G)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_xlfn.XLOOKUP(E1659,LD_PROJETOS!A:A,LD_PROJETOS!G:G)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_xlfn.XLOOKUP(E1660,LD_PROJETOS!A:A,LD_PROJETOS!G:G)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_xlfn.XLOOKUP(E1661,LD_PROJETOS!A:A,LD_PROJETOS!G:G)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_xlfn.XLOOKUP(E1662,LD_PROJETOS!A:A,LD_PROJETOS!G:G)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_xlfn.XLOOKUP(E1663,LD_PROJETOS!A:A,LD_PROJETOS!G:G)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_xlfn.XLOOKUP(E1664,LD_PROJETOS!A:A,LD_PROJETOS!G:G)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_xlfn.XLOOKUP(E1665,LD_PROJETOS!A:A,LD_PROJETOS!G:G)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_xlfn.XLOOKUP(E1666,LD_PROJETOS!A:A,LD_PROJETOS!G:G)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_xlfn.XLOOKUP(E1667,LD_PROJETOS!A:A,LD_PROJETOS!G:G)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_xlfn.XLOOKUP(E1668,LD_PROJETOS!A:A,LD_PROJETOS!G:G)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_xlfn.XLOOKUP(E1669,LD_PROJETOS!A:A,LD_PROJETOS!G:G)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_xlfn.XLOOKUP(E1670,LD_PROJETOS!A:A,LD_PROJETOS!G:G)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_xlfn.XLOOKUP(E1671,LD_PROJETOS!A:A,LD_PROJETOS!G:G)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_xlfn.XLOOKUP(E1672,LD_PROJETOS!A:A,LD_PROJETOS!G:G)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_xlfn.XLOOKUP(E1673,LD_PROJETOS!A:A,LD_PROJETOS!G:G)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_xlfn.XLOOKUP(E1674,LD_PROJETOS!A:A,LD_PROJETOS!G:G)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_xlfn.XLOOKUP(E1675,LD_PROJETOS!A:A,LD_PROJETOS!G:G)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_xlfn.XLOOKUP(E1676,LD_PROJETOS!A:A,LD_PROJETOS!G:G)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_xlfn.XLOOKUP(E1677,LD_PROJETOS!A:A,LD_PROJETOS!G:G)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_xlfn.XLOOKUP(E1678,LD_PROJETOS!A:A,LD_PROJETOS!G:G)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_xlfn.XLOOKUP(E1679,LD_PROJETOS!A:A,LD_PROJETOS!G:G)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_xlfn.XLOOKUP(E1680,LD_PROJETOS!A:A,LD_PROJETOS!G:G)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_xlfn.XLOOKUP(E1681,LD_PROJETOS!A:A,LD_PROJETOS!G:G)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_xlfn.XLOOKUP(E1682,LD_PROJETOS!A:A,LD_PROJETOS!G:G)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_xlfn.XLOOKUP(E1683,LD_PROJETOS!A:A,LD_PROJETOS!G:G)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_xlfn.XLOOKUP(E1684,LD_PROJETOS!A:A,LD_PROJETOS!G:G)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_xlfn.XLOOKUP(E1685,LD_PROJETOS!A:A,LD_PROJETOS!G:G)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_xlfn.XLOOKUP(E1686,LD_PROJETOS!A:A,LD_PROJETOS!G:G)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_xlfn.XLOOKUP(E1687,LD_PROJETOS!A:A,LD_PROJETOS!G:G)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_xlfn.XLOOKUP(E1688,LD_PROJETOS!A:A,LD_PROJETOS!G:G)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_xlfn.XLOOKUP(E1689,LD_PROJETOS!A:A,LD_PROJETOS!G:G)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_xlfn.XLOOKUP(E1690,LD_PROJETOS!A:A,LD_PROJETOS!G:G)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_xlfn.XLOOKUP(E1691,LD_PROJETOS!A:A,LD_PROJETOS!G:G)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_xlfn.XLOOKUP(E1692,LD_PROJETOS!A:A,LD_PROJETOS!G:G)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_xlfn.XLOOKUP(E1693,LD_PROJETOS!A:A,LD_PROJETOS!G:G)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_xlfn.XLOOKUP(E1694,LD_PROJETOS!A:A,LD_PROJETOS!G:G)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_xlfn.XLOOKUP(E1695,LD_PROJETOS!A:A,LD_PROJETOS!G:G)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_xlfn.XLOOKUP(E1696,LD_PROJETOS!A:A,LD_PROJETOS!G:G)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_xlfn.XLOOKUP(E1697,LD_PROJETOS!A:A,LD_PROJETOS!G:G)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_xlfn.XLOOKUP(E1698,LD_PROJETOS!A:A,LD_PROJETOS!G:G)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_xlfn.XLOOKUP(E1699,LD_PROJETOS!A:A,LD_PROJETOS!G:G)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_xlfn.XLOOKUP(E1700,LD_PROJETOS!A:A,LD_PROJETOS!G:G)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_xlfn.XLOOKUP(E1701,LD_PROJETOS!A:A,LD_PROJETOS!G:G)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_xlfn.XLOOKUP(E1702,LD_PROJETOS!A:A,LD_PROJETOS!G:G)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_xlfn.XLOOKUP(E1703,LD_PROJETOS!A:A,LD_PROJETOS!G:G)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_xlfn.XLOOKUP(E1704,LD_PROJETOS!A:A,LD_PROJETOS!G:G)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_xlfn.XLOOKUP(E1705,LD_PROJETOS!A:A,LD_PROJETOS!G:G)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_xlfn.XLOOKUP(E1706,LD_PROJETOS!A:A,LD_PROJETOS!G:G)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_xlfn.XLOOKUP(E1707,LD_PROJETOS!A:A,LD_PROJETOS!G:G)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_xlfn.XLOOKUP(E1708,LD_PROJETOS!A:A,LD_PROJETOS!G:G)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_xlfn.XLOOKUP(E1709,LD_PROJETOS!A:A,LD_PROJETOS!G:G)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_xlfn.XLOOKUP(E1710,LD_PROJETOS!A:A,LD_PROJETOS!G:G)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_xlfn.XLOOKUP(E1711,LD_PROJETOS!A:A,LD_PROJETOS!G:G)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_xlfn.XLOOKUP(E1712,LD_PROJETOS!A:A,LD_PROJETOS!G:G)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_xlfn.XLOOKUP(E1713,LD_PROJETOS!A:A,LD_PROJETOS!G:G)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_xlfn.XLOOKUP(E1714,LD_PROJETOS!A:A,LD_PROJETOS!G:G)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_xlfn.XLOOKUP(E1715,LD_PROJETOS!A:A,LD_PROJETOS!G:G)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_xlfn.XLOOKUP(E1716,LD_PROJETOS!A:A,LD_PROJETOS!G:G)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_xlfn.XLOOKUP(E1717,LD_PROJETOS!A:A,LD_PROJETOS!G:G)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_xlfn.XLOOKUP(E1718,LD_PROJETOS!A:A,LD_PROJETOS!G:G)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_xlfn.XLOOKUP(E1719,LD_PROJETOS!A:A,LD_PROJETOS!G:G)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_xlfn.XLOOKUP(E1720,LD_PROJETOS!A:A,LD_PROJETOS!G:G)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_xlfn.XLOOKUP(E1721,LD_PROJETOS!A:A,LD_PROJETOS!G:G)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_xlfn.XLOOKUP(E1722,LD_PROJETOS!A:A,LD_PROJETOS!G:G)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_xlfn.XLOOKUP(E1723,LD_PROJETOS!A:A,LD_PROJETOS!G:G)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_xlfn.XLOOKUP(E1724,LD_PROJETOS!A:A,LD_PROJETOS!G:G)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_xlfn.XLOOKUP(E1725,LD_PROJETOS!A:A,LD_PROJETOS!G:G)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_xlfn.XLOOKUP(E1726,LD_PROJETOS!A:A,LD_PROJETOS!G:G)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_xlfn.XLOOKUP(E1727,LD_PROJETOS!A:A,LD_PROJETOS!G:G)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_xlfn.XLOOKUP(E1728,LD_PROJETOS!A:A,LD_PROJETOS!G:G)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_xlfn.XLOOKUP(E1729,LD_PROJETOS!A:A,LD_PROJETOS!G:G)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_xlfn.XLOOKUP(E1730,LD_PROJETOS!A:A,LD_PROJETOS!G:G)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_xlfn.XLOOKUP(E1731,LD_PROJETOS!A:A,LD_PROJETOS!G:G)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_xlfn.XLOOKUP(E1732,LD_PROJETOS!A:A,LD_PROJETOS!G:G)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_xlfn.XLOOKUP(E1733,LD_PROJETOS!A:A,LD_PROJETOS!G:G)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_xlfn.XLOOKUP(E1734,LD_PROJETOS!A:A,LD_PROJETOS!G:G)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_xlfn.XLOOKUP(E1735,LD_PROJETOS!A:A,LD_PROJETOS!G:G)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_xlfn.XLOOKUP(E1736,LD_PROJETOS!A:A,LD_PROJETOS!G:G)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_xlfn.XLOOKUP(E1737,LD_PROJETOS!A:A,LD_PROJETOS!G:G)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_xlfn.XLOOKUP(E1738,LD_PROJETOS!A:A,LD_PROJETOS!G:G)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_xlfn.XLOOKUP(E1739,LD_PROJETOS!A:A,LD_PROJETOS!G:G)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_xlfn.XLOOKUP(E1740,LD_PROJETOS!A:A,LD_PROJETOS!G:G)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_xlfn.XLOOKUP(E1741,LD_PROJETOS!A:A,LD_PROJETOS!G:G)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_xlfn.XLOOKUP(E1742,LD_PROJETOS!A:A,LD_PROJETOS!G:G)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_xlfn.XLOOKUP(E1743,LD_PROJETOS!A:A,LD_PROJETOS!G:G)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_xlfn.XLOOKUP(E1744,LD_PROJETOS!A:A,LD_PROJETOS!G:G)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_xlfn.XLOOKUP(E1745,LD_PROJETOS!A:A,LD_PROJETOS!G:G)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_xlfn.XLOOKUP(E1746,LD_PROJETOS!A:A,LD_PROJETOS!G:G)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_xlfn.XLOOKUP(E1747,LD_PROJETOS!A:A,LD_PROJETOS!G:G)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_xlfn.XLOOKUP(E1748,LD_PROJETOS!A:A,LD_PROJETOS!G:G)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_xlfn.XLOOKUP(E1749,LD_PROJETOS!A:A,LD_PROJETOS!G:G)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_xlfn.XLOOKUP(E1750,LD_PROJETOS!A:A,LD_PROJETOS!G:G)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_xlfn.XLOOKUP(E1751,LD_PROJETOS!A:A,LD_PROJETOS!G:G)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_xlfn.XLOOKUP(E1752,LD_PROJETOS!A:A,LD_PROJETOS!G:G)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_xlfn.XLOOKUP(E1753,LD_PROJETOS!A:A,LD_PROJETOS!G:G)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_xlfn.XLOOKUP(E1754,LD_PROJETOS!A:A,LD_PROJETOS!G:G)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_xlfn.XLOOKUP(E1755,LD_PROJETOS!A:A,LD_PROJETOS!G:G)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_xlfn.XLOOKUP(E1756,LD_PROJETOS!A:A,LD_PROJETOS!G:G)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_xlfn.XLOOKUP(E1757,LD_PROJETOS!A:A,LD_PROJETOS!G:G)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_xlfn.XLOOKUP(E1758,LD_PROJETOS!A:A,LD_PROJETOS!G:G)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_xlfn.XLOOKUP(E1759,LD_PROJETOS!A:A,LD_PROJETOS!G:G)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_xlfn.XLOOKUP(E1760,LD_PROJETOS!A:A,LD_PROJETOS!G:G)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_xlfn.XLOOKUP(E1761,LD_PROJETOS!A:A,LD_PROJETOS!G:G)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_xlfn.XLOOKUP(E1762,LD_PROJETOS!A:A,LD_PROJETOS!G:G)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_xlfn.XLOOKUP(E1763,LD_PROJETOS!A:A,LD_PROJETOS!G:G)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_xlfn.XLOOKUP(E1764,LD_PROJETOS!A:A,LD_PROJETOS!G:G)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_xlfn.XLOOKUP(E1765,LD_PROJETOS!A:A,LD_PROJETOS!G:G)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_xlfn.XLOOKUP(E1766,LD_PROJETOS!A:A,LD_PROJETOS!G:G)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_xlfn.XLOOKUP(E1767,LD_PROJETOS!A:A,LD_PROJETOS!G:G)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_xlfn.XLOOKUP(E1768,LD_PROJETOS!A:A,LD_PROJETOS!G:G)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_xlfn.XLOOKUP(E1769,LD_PROJETOS!A:A,LD_PROJETOS!G:G)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_xlfn.XLOOKUP(E1770,LD_PROJETOS!A:A,LD_PROJETOS!G:G)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_xlfn.XLOOKUP(E1771,LD_PROJETOS!A:A,LD_PROJETOS!G:G)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_xlfn.XLOOKUP(E1772,LD_PROJETOS!A:A,LD_PROJETOS!G:G)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_xlfn.XLOOKUP(E1773,LD_PROJETOS!A:A,LD_PROJETOS!G:G)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_xlfn.XLOOKUP(E1774,LD_PROJETOS!A:A,LD_PROJETOS!G:G)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_xlfn.XLOOKUP(E1775,LD_PROJETOS!A:A,LD_PROJETOS!G:G)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_xlfn.XLOOKUP(E1776,LD_PROJETOS!A:A,LD_PROJETOS!G:G)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_xlfn.XLOOKUP(E1777,LD_PROJETOS!A:A,LD_PROJETOS!G:G)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_xlfn.XLOOKUP(E1778,LD_PROJETOS!A:A,LD_PROJETOS!G:G)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_xlfn.XLOOKUP(E1779,LD_PROJETOS!A:A,LD_PROJETOS!G:G)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_xlfn.XLOOKUP(E1780,LD_PROJETOS!A:A,LD_PROJETOS!G:G)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_xlfn.XLOOKUP(E1781,LD_PROJETOS!A:A,LD_PROJETOS!G:G)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_xlfn.XLOOKUP(E1782,LD_PROJETOS!A:A,LD_PROJETOS!G:G)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_xlfn.XLOOKUP(E1783,LD_PROJETOS!A:A,LD_PROJETOS!G:G)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_xlfn.XLOOKUP(E1784,LD_PROJETOS!A:A,LD_PROJETOS!G:G)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_xlfn.XLOOKUP(E1785,LD_PROJETOS!A:A,LD_PROJETOS!G:G)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_xlfn.XLOOKUP(E1786,LD_PROJETOS!A:A,LD_PROJETOS!G:G)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_xlfn.XLOOKUP(E1787,LD_PROJETOS!A:A,LD_PROJETOS!G:G)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_xlfn.XLOOKUP(E1788,LD_PROJETOS!A:A,LD_PROJETOS!G:G)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_xlfn.XLOOKUP(E1789,LD_PROJETOS!A:A,LD_PROJETOS!G:G)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_xlfn.XLOOKUP(E1790,LD_PROJETOS!A:A,LD_PROJETOS!G:G)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_xlfn.XLOOKUP(E1791,LD_PROJETOS!A:A,LD_PROJETOS!G:G)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_xlfn.XLOOKUP(E1792,LD_PROJETOS!A:A,LD_PROJETOS!G:G)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_xlfn.XLOOKUP(E1793,LD_PROJETOS!A:A,LD_PROJETOS!G:G)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_xlfn.XLOOKUP(E1794,LD_PROJETOS!A:A,LD_PROJETOS!G:G)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_xlfn.XLOOKUP(E1795,LD_PROJETOS!A:A,LD_PROJETOS!G:G)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_xlfn.XLOOKUP(E1796,LD_PROJETOS!A:A,LD_PROJETOS!G:G)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_xlfn.XLOOKUP(E1797,LD_PROJETOS!A:A,LD_PROJETOS!G:G)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_xlfn.XLOOKUP(E1798,LD_PROJETOS!A:A,LD_PROJETOS!G:G)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_xlfn.XLOOKUP(E1799,LD_PROJETOS!A:A,LD_PROJETOS!G:G)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_xlfn.XLOOKUP(E1800,LD_PROJETOS!A:A,LD_PROJETOS!G:G)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_xlfn.XLOOKUP(E1801,LD_PROJETOS!A:A,LD_PROJETOS!G:G)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_xlfn.XLOOKUP(E1802,LD_PROJETOS!A:A,LD_PROJETOS!G:G)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_xlfn.XLOOKUP(E1803,LD_PROJETOS!A:A,LD_PROJETOS!G:G)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_xlfn.XLOOKUP(E1804,LD_PROJETOS!A:A,LD_PROJETOS!G:G)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_xlfn.XLOOKUP(E1805,LD_PROJETOS!A:A,LD_PROJETOS!G:G)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_xlfn.XLOOKUP(E1806,LD_PROJETOS!A:A,LD_PROJETOS!G:G)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_xlfn.XLOOKUP(E1807,LD_PROJETOS!A:A,LD_PROJETOS!G:G)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_xlfn.XLOOKUP(E1808,LD_PROJETOS!A:A,LD_PROJETOS!G:G)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_xlfn.XLOOKUP(E1809,LD_PROJETOS!A:A,LD_PROJETOS!G:G)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_xlfn.XLOOKUP(E1810,LD_PROJETOS!A:A,LD_PROJETOS!G:G)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_xlfn.XLOOKUP(E1811,LD_PROJETOS!A:A,LD_PROJETOS!G:G)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_xlfn.XLOOKUP(E1812,LD_PROJETOS!A:A,LD_PROJETOS!G:G)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_xlfn.XLOOKUP(E1813,LD_PROJETOS!A:A,LD_PROJETOS!G:G)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_xlfn.XLOOKUP(E1814,LD_PROJETOS!A:A,LD_PROJETOS!G:G)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_xlfn.XLOOKUP(E1815,LD_PROJETOS!A:A,LD_PROJETOS!G:G)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_xlfn.XLOOKUP(E1816,LD_PROJETOS!A:A,LD_PROJETOS!G:G)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_xlfn.XLOOKUP(E1817,LD_PROJETOS!A:A,LD_PROJETOS!G:G)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_xlfn.XLOOKUP(E1818,LD_PROJETOS!A:A,LD_PROJETOS!G:G)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_xlfn.XLOOKUP(E1819,LD_PROJETOS!A:A,LD_PROJETOS!G:G)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_xlfn.XLOOKUP(E1820,LD_PROJETOS!A:A,LD_PROJETOS!G:G)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_xlfn.XLOOKUP(E1821,LD_PROJETOS!A:A,LD_PROJETOS!G:G)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_xlfn.XLOOKUP(E1822,LD_PROJETOS!A:A,LD_PROJETOS!G:G)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_xlfn.XLOOKUP(E1823,LD_PROJETOS!A:A,LD_PROJETOS!G:G)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_xlfn.XLOOKUP(E1824,LD_PROJETOS!A:A,LD_PROJETOS!G:G)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_xlfn.XLOOKUP(E1825,LD_PROJETOS!A:A,LD_PROJETOS!G:G)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_xlfn.XLOOKUP(E1826,LD_PROJETOS!A:A,LD_PROJETOS!G:G)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_xlfn.XLOOKUP(E1827,LD_PROJETOS!A:A,LD_PROJETOS!G:G)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_xlfn.XLOOKUP(E1828,LD_PROJETOS!A:A,LD_PROJETOS!G:G)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_xlfn.XLOOKUP(E1829,LD_PROJETOS!A:A,LD_PROJETOS!G:G)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_xlfn.XLOOKUP(E1830,LD_PROJETOS!A:A,LD_PROJETOS!G:G)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_xlfn.XLOOKUP(E1831,LD_PROJETOS!A:A,LD_PROJETOS!G:G)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_xlfn.XLOOKUP(E1832,LD_PROJETOS!A:A,LD_PROJETOS!G:G)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_xlfn.XLOOKUP(E1833,LD_PROJETOS!A:A,LD_PROJETOS!G:G)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_xlfn.XLOOKUP(E1834,LD_PROJETOS!A:A,LD_PROJETOS!G:G)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_xlfn.XLOOKUP(E1835,LD_PROJETOS!A:A,LD_PROJETOS!G:G)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_xlfn.XLOOKUP(E1836,LD_PROJETOS!A:A,LD_PROJETOS!G:G)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_xlfn.XLOOKUP(E1837,LD_PROJETOS!A:A,LD_PROJETOS!G:G)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_xlfn.XLOOKUP(E1838,LD_PROJETOS!A:A,LD_PROJETOS!G:G)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_xlfn.XLOOKUP(E1839,LD_PROJETOS!A:A,LD_PROJETOS!G:G)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_xlfn.XLOOKUP(E1840,LD_PROJETOS!A:A,LD_PROJETOS!G:G)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_xlfn.XLOOKUP(E1841,LD_PROJETOS!A:A,LD_PROJETOS!G:G)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_xlfn.XLOOKUP(E1842,LD_PROJETOS!A:A,LD_PROJETOS!G:G)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_xlfn.XLOOKUP(E1843,LD_PROJETOS!A:A,LD_PROJETOS!G:G)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_xlfn.XLOOKUP(E1844,LD_PROJETOS!A:A,LD_PROJETOS!G:G)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_xlfn.XLOOKUP(E1845,LD_PROJETOS!A:A,LD_PROJETOS!G:G)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_xlfn.XLOOKUP(E1846,LD_PROJETOS!A:A,LD_PROJETOS!G:G)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_xlfn.XLOOKUP(E1847,LD_PROJETOS!A:A,LD_PROJETOS!G:G)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_xlfn.XLOOKUP(E1848,LD_PROJETOS!A:A,LD_PROJETOS!G:G)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_xlfn.XLOOKUP(E1849,LD_PROJETOS!A:A,LD_PROJETOS!G:G)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_xlfn.XLOOKUP(E1850,LD_PROJETOS!A:A,LD_PROJETOS!G:G)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_xlfn.XLOOKUP(E1851,LD_PROJETOS!A:A,LD_PROJETOS!G:G)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_xlfn.XLOOKUP(E1852,LD_PROJETOS!A:A,LD_PROJETOS!G:G)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_xlfn.XLOOKUP(E1853,LD_PROJETOS!A:A,LD_PROJETOS!G:G)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_xlfn.XLOOKUP(E1854,LD_PROJETOS!A:A,LD_PROJETOS!G:G)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_xlfn.XLOOKUP(E1855,LD_PROJETOS!A:A,LD_PROJETOS!G:G)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_xlfn.XLOOKUP(E1856,LD_PROJETOS!A:A,LD_PROJETOS!G:G)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_xlfn.XLOOKUP(E1857,LD_PROJETOS!A:A,LD_PROJETOS!G:G)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_xlfn.XLOOKUP(E1858,LD_PROJETOS!A:A,LD_PROJETOS!G:G)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_xlfn.XLOOKUP(E1859,LD_PROJETOS!A:A,LD_PROJETOS!G:G)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_xlfn.XLOOKUP(E1860,LD_PROJETOS!A:A,LD_PROJETOS!G:G)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_xlfn.XLOOKUP(E1861,LD_PROJETOS!A:A,LD_PROJETOS!G:G)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_xlfn.XLOOKUP(E1862,LD_PROJETOS!A:A,LD_PROJETOS!G:G)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_xlfn.XLOOKUP(E1863,LD_PROJETOS!A:A,LD_PROJETOS!G:G)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_xlfn.XLOOKUP(E1864,LD_PROJETOS!A:A,LD_PROJETOS!G:G)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_xlfn.XLOOKUP(E1865,LD_PROJETOS!A:A,LD_PROJETOS!G:G)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_xlfn.XLOOKUP(E1866,LD_PROJETOS!A:A,LD_PROJETOS!G:G)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_xlfn.XLOOKUP(E1867,LD_PROJETOS!A:A,LD_PROJETOS!G:G)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_xlfn.XLOOKUP(E1868,LD_PROJETOS!A:A,LD_PROJETOS!G:G)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_xlfn.XLOOKUP(E1869,LD_PROJETOS!A:A,LD_PROJETOS!G:G)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_xlfn.XLOOKUP(E1870,LD_PROJETOS!A:A,LD_PROJETOS!G:G)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_xlfn.XLOOKUP(E1871,LD_PROJETOS!A:A,LD_PROJETOS!G:G)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_xlfn.XLOOKUP(E1872,LD_PROJETOS!A:A,LD_PROJETOS!G:G)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_xlfn.XLOOKUP(E1873,LD_PROJETOS!A:A,LD_PROJETOS!G:G)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_xlfn.XLOOKUP(E1874,LD_PROJETOS!A:A,LD_PROJETOS!G:G)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_xlfn.XLOOKUP(E1875,LD_PROJETOS!A:A,LD_PROJETOS!G:G)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_xlfn.XLOOKUP(E1876,LD_PROJETOS!A:A,LD_PROJETOS!G:G)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_xlfn.XLOOKUP(E1877,LD_PROJETOS!A:A,LD_PROJETOS!G:G)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_xlfn.XLOOKUP(E1878,LD_PROJETOS!A:A,LD_PROJETOS!G:G)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_xlfn.XLOOKUP(E1879,LD_PROJETOS!A:A,LD_PROJETOS!G:G)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_xlfn.XLOOKUP(E1880,LD_PROJETOS!A:A,LD_PROJETOS!G:G)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_xlfn.XLOOKUP(E1881,LD_PROJETOS!A:A,LD_PROJETOS!G:G)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_xlfn.XLOOKUP(E1882,LD_PROJETOS!A:A,LD_PROJETOS!G:G)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_xlfn.XLOOKUP(E1883,LD_PROJETOS!A:A,LD_PROJETOS!G:G)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_xlfn.XLOOKUP(E1884,LD_PROJETOS!A:A,LD_PROJETOS!G:G)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_xlfn.XLOOKUP(E1885,LD_PROJETOS!A:A,LD_PROJETOS!G:G)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_xlfn.XLOOKUP(E1886,LD_PROJETOS!A:A,LD_PROJETOS!G:G)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_xlfn.XLOOKUP(E1887,LD_PROJETOS!A:A,LD_PROJETOS!G:G)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_xlfn.XLOOKUP(E1888,LD_PROJETOS!A:A,LD_PROJETOS!G:G)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_xlfn.XLOOKUP(E1889,LD_PROJETOS!A:A,LD_PROJETOS!G:G)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_xlfn.XLOOKUP(E1890,LD_PROJETOS!A:A,LD_PROJETOS!G:G)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_xlfn.XLOOKUP(E1891,LD_PROJETOS!A:A,LD_PROJETOS!G:G)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_xlfn.XLOOKUP(E1892,LD_PROJETOS!A:A,LD_PROJETOS!G:G)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_xlfn.XLOOKUP(E1893,LD_PROJETOS!A:A,LD_PROJETOS!G:G)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_xlfn.XLOOKUP(E1894,LD_PROJETOS!A:A,LD_PROJETOS!G:G)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_xlfn.XLOOKUP(E1895,LD_PROJETOS!A:A,LD_PROJETOS!G:G)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_xlfn.XLOOKUP(E1896,LD_PROJETOS!A:A,LD_PROJETOS!G:G)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_xlfn.XLOOKUP(E1897,LD_PROJETOS!A:A,LD_PROJETOS!G:G)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_xlfn.XLOOKUP(E1898,LD_PROJETOS!A:A,LD_PROJETOS!G:G)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_xlfn.XLOOKUP(E1899,LD_PROJETOS!A:A,LD_PROJETOS!G:G)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_xlfn.XLOOKUP(E1900,LD_PROJETOS!A:A,LD_PROJETOS!G:G)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_xlfn.XLOOKUP(E1901,LD_PROJETOS!A:A,LD_PROJETOS!G:G)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_xlfn.XLOOKUP(E1902,LD_PROJETOS!A:A,LD_PROJETOS!G:G)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_xlfn.XLOOKUP(E1903,LD_PROJETOS!A:A,LD_PROJETOS!G:G)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_xlfn.XLOOKUP(E1904,LD_PROJETOS!A:A,LD_PROJETOS!G:G)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_xlfn.XLOOKUP(E1905,LD_PROJETOS!A:A,LD_PROJETOS!G:G)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_xlfn.XLOOKUP(E1906,LD_PROJETOS!A:A,LD_PROJETOS!G:G)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_xlfn.XLOOKUP(E1907,LD_PROJETOS!A:A,LD_PROJETOS!G:G)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_xlfn.XLOOKUP(E1908,LD_PROJETOS!A:A,LD_PROJETOS!G:G)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_xlfn.XLOOKUP(E1909,LD_PROJETOS!A:A,LD_PROJETOS!G:G)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_xlfn.XLOOKUP(E1910,LD_PROJETOS!A:A,LD_PROJETOS!G:G)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_xlfn.XLOOKUP(E1911,LD_PROJETOS!A:A,LD_PROJETOS!G:G)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_xlfn.XLOOKUP(E1912,LD_PROJETOS!A:A,LD_PROJETOS!G:G)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_xlfn.XLOOKUP(E1913,LD_PROJETOS!A:A,LD_PROJETOS!G:G)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_xlfn.XLOOKUP(E1914,LD_PROJETOS!A:A,LD_PROJETOS!G:G)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_xlfn.XLOOKUP(E1915,LD_PROJETOS!A:A,LD_PROJETOS!G:G)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_xlfn.XLOOKUP(E1916,LD_PROJETOS!A:A,LD_PROJETOS!G:G)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_xlfn.XLOOKUP(E1917,LD_PROJETOS!A:A,LD_PROJETOS!G:G)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_xlfn.XLOOKUP(E1918,LD_PROJETOS!A:A,LD_PROJETOS!G:G)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_xlfn.XLOOKUP(E1919,LD_PROJETOS!A:A,LD_PROJETOS!G:G)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_xlfn.XLOOKUP(E1920,LD_PROJETOS!A:A,LD_PROJETOS!G:G)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_xlfn.XLOOKUP(E1921,LD_PROJETOS!A:A,LD_PROJETOS!G:G)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_xlfn.XLOOKUP(E1922,LD_PROJETOS!A:A,LD_PROJETOS!G:G)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_xlfn.XLOOKUP(E1923,LD_PROJETOS!A:A,LD_PROJETOS!G:G)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_xlfn.XLOOKUP(E1924,LD_PROJETOS!A:A,LD_PROJETOS!G:G)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_xlfn.XLOOKUP(E1925,LD_PROJETOS!A:A,LD_PROJETOS!G:G)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_xlfn.XLOOKUP(E1926,LD_PROJETOS!A:A,LD_PROJETOS!G:G)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_xlfn.XLOOKUP(E1927,LD_PROJETOS!A:A,LD_PROJETOS!G:G)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_xlfn.XLOOKUP(E1928,LD_PROJETOS!A:A,LD_PROJETOS!G:G)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_xlfn.XLOOKUP(E1929,LD_PROJETOS!A:A,LD_PROJETOS!G:G)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_xlfn.XLOOKUP(E1930,LD_PROJETOS!A:A,LD_PROJETOS!G:G)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_xlfn.XLOOKUP(E1931,LD_PROJETOS!A:A,LD_PROJETOS!G:G)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_xlfn.XLOOKUP(E1932,LD_PROJETOS!A:A,LD_PROJETOS!G:G)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_xlfn.XLOOKUP(E1933,LD_PROJETOS!A:A,LD_PROJETOS!G:G)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_xlfn.XLOOKUP(E1934,LD_PROJETOS!A:A,LD_PROJETOS!G:G)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_xlfn.XLOOKUP(E1935,LD_PROJETOS!A:A,LD_PROJETOS!G:G)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_xlfn.XLOOKUP(E1936,LD_PROJETOS!A:A,LD_PROJETOS!G:G)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_xlfn.XLOOKUP(E1937,LD_PROJETOS!A:A,LD_PROJETOS!G:G)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_xlfn.XLOOKUP(E1938,LD_PROJETOS!A:A,LD_PROJETOS!G:G)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_xlfn.XLOOKUP(E1939,LD_PROJETOS!A:A,LD_PROJETOS!G:G)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_xlfn.XLOOKUP(E1940,LD_PROJETOS!A:A,LD_PROJETOS!G:G)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_xlfn.XLOOKUP(E1941,LD_PROJETOS!A:A,LD_PROJETOS!G:G)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_xlfn.XLOOKUP(E1942,LD_PROJETOS!A:A,LD_PROJETOS!G:G)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_xlfn.XLOOKUP(E1943,LD_PROJETOS!A:A,LD_PROJETOS!G:G)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_xlfn.XLOOKUP(E1944,LD_PROJETOS!A:A,LD_PROJETOS!G:G)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_xlfn.XLOOKUP(E1945,LD_PROJETOS!A:A,LD_PROJETOS!G:G)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_xlfn.XLOOKUP(E1946,LD_PROJETOS!A:A,LD_PROJETOS!G:G)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_xlfn.XLOOKUP(E1947,LD_PROJETOS!A:A,LD_PROJETOS!G:G)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_xlfn.XLOOKUP(E1948,LD_PROJETOS!A:A,LD_PROJETOS!G:G)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_xlfn.XLOOKUP(E1949,LD_PROJETOS!A:A,LD_PROJETOS!G:G)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_xlfn.XLOOKUP(E1950,LD_PROJETOS!A:A,LD_PROJETOS!G:G)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_xlfn.XLOOKUP(E1951,LD_PROJETOS!A:A,LD_PROJETOS!G:G)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_xlfn.XLOOKUP(E1952,LD_PROJETOS!A:A,LD_PROJETOS!G:G)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_xlfn.XLOOKUP(E1953,LD_PROJETOS!A:A,LD_PROJETOS!G:G)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_xlfn.XLOOKUP(E1954,LD_PROJETOS!A:A,LD_PROJETOS!G:G)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_xlfn.XLOOKUP(E1955,LD_PROJETOS!A:A,LD_PROJETOS!G:G)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_xlfn.XLOOKUP(E1956,LD_PROJETOS!A:A,LD_PROJETOS!G:G)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_xlfn.XLOOKUP(E1957,LD_PROJETOS!A:A,LD_PROJETOS!G:G)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_xlfn.XLOOKUP(E1958,LD_PROJETOS!A:A,LD_PROJETOS!G:G)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_xlfn.XLOOKUP(E1959,LD_PROJETOS!A:A,LD_PROJETOS!G:G)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_xlfn.XLOOKUP(E1960,LD_PROJETOS!A:A,LD_PROJETOS!G:G)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_xlfn.XLOOKUP(E1961,LD_PROJETOS!A:A,LD_PROJETOS!G:G)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_xlfn.XLOOKUP(E1962,LD_PROJETOS!A:A,LD_PROJETOS!G:G)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_xlfn.XLOOKUP(E1963,LD_PROJETOS!A:A,LD_PROJETOS!G:G)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_xlfn.XLOOKUP(E1964,LD_PROJETOS!A:A,LD_PROJETOS!G:G)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_xlfn.XLOOKUP(E1965,LD_PROJETOS!A:A,LD_PROJETOS!G:G)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_xlfn.XLOOKUP(E1966,LD_PROJETOS!A:A,LD_PROJETOS!G:G)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_xlfn.XLOOKUP(E1967,LD_PROJETOS!A:A,LD_PROJETOS!G:G)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_xlfn.XLOOKUP(E1968,LD_PROJETOS!A:A,LD_PROJETOS!G:G)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_xlfn.XLOOKUP(E1969,LD_PROJETOS!A:A,LD_PROJETOS!G:G)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_xlfn.XLOOKUP(E1970,LD_PROJETOS!A:A,LD_PROJETOS!G:G)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_xlfn.XLOOKUP(E1971,LD_PROJETOS!A:A,LD_PROJETOS!G:G)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_xlfn.XLOOKUP(E1972,LD_PROJETOS!A:A,LD_PROJETOS!G:G)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_xlfn.XLOOKUP(E1973,LD_PROJETOS!A:A,LD_PROJETOS!G:G)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_xlfn.XLOOKUP(E1974,LD_PROJETOS!A:A,LD_PROJETOS!G:G)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_xlfn.XLOOKUP(E1975,LD_PROJETOS!A:A,LD_PROJETOS!G:G)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_xlfn.XLOOKUP(E1976,LD_PROJETOS!A:A,LD_PROJETOS!G:G)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_xlfn.XLOOKUP(E1977,LD_PROJETOS!A:A,LD_PROJETOS!G:G)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_xlfn.XLOOKUP(E1978,LD_PROJETOS!A:A,LD_PROJETOS!G:G)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_xlfn.XLOOKUP(E1979,LD_PROJETOS!A:A,LD_PROJETOS!G:G)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_xlfn.XLOOKUP(E1980,LD_PROJETOS!A:A,LD_PROJETOS!G:G)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_xlfn.XLOOKUP(E1981,LD_PROJETOS!A:A,LD_PROJETOS!G:G)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_xlfn.XLOOKUP(E1982,LD_PROJETOS!A:A,LD_PROJETOS!G:G)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_xlfn.XLOOKUP(E1983,LD_PROJETOS!A:A,LD_PROJETOS!G:G)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_xlfn.XLOOKUP(E1984,LD_PROJETOS!A:A,LD_PROJETOS!G:G)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_xlfn.XLOOKUP(E1985,LD_PROJETOS!A:A,LD_PROJETOS!G:G)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_xlfn.XLOOKUP(E1986,LD_PROJETOS!A:A,LD_PROJETOS!G:G)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_xlfn.XLOOKUP(E1987,LD_PROJETOS!A:A,LD_PROJETOS!G:G)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_xlfn.XLOOKUP(E1988,LD_PROJETOS!A:A,LD_PROJETOS!G:G)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_xlfn.XLOOKUP(E1989,LD_PROJETOS!A:A,LD_PROJETOS!G:G)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_xlfn.XLOOKUP(E1990,LD_PROJETOS!A:A,LD_PROJETOS!G:G)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_xlfn.XLOOKUP(E1991,LD_PROJETOS!A:A,LD_PROJETOS!G:G)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_xlfn.XLOOKUP(E1992,LD_PROJETOS!A:A,LD_PROJETOS!G:G)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_xlfn.XLOOKUP(E1993,LD_PROJETOS!A:A,LD_PROJETOS!G:G)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_xlfn.XLOOKUP(E1994,LD_PROJETOS!A:A,LD_PROJETOS!G:G)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_xlfn.XLOOKUP(E1995,LD_PROJETOS!A:A,LD_PROJETOS!G:G)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_xlfn.XLOOKUP(E1996,LD_PROJETOS!A:A,LD_PROJETOS!G:G)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_xlfn.XLOOKUP(E1997,LD_PROJETOS!A:A,LD_PROJETOS!G:G)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_xlfn.XLOOKUP(E1998,LD_PROJETOS!A:A,LD_PROJETOS!G:G)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_xlfn.XLOOKUP(E1999,LD_PROJETOS!A:A,LD_PROJETOS!G:G)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_xlfn.XLOOKUP(E2000,LD_PROJETOS!A:A,LD_PROJETOS!G:G)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_xlfn.XLOOKUP(E2001,LD_PROJETOS!A:A,LD_PROJETOS!G:G)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_xlfn.XLOOKUP(E2002,LD_PROJETOS!A:A,LD_PROJETOS!G:G)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_xlfn.XLOOKUP(E2003,LD_PROJETOS!A:A,LD_PROJETOS!G:G)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_xlfn.XLOOKUP(E2004,LD_PROJETOS!A:A,LD_PROJETOS!G:G)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_xlfn.XLOOKUP(E2005,LD_PROJETOS!A:A,LD_PROJETOS!G:G)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_xlfn.XLOOKUP(E2006,LD_PROJETOS!A:A,LD_PROJETOS!G:G)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_xlfn.XLOOKUP(E2007,LD_PROJETOS!A:A,LD_PROJETOS!G:G)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_xlfn.XLOOKUP(E2008,LD_PROJETOS!A:A,LD_PROJETOS!G:G)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_xlfn.XLOOKUP(E2009,LD_PROJETOS!A:A,LD_PROJETOS!G:G)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_xlfn.XLOOKUP(E2010,LD_PROJETOS!A:A,LD_PROJETOS!G:G)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_xlfn.XLOOKUP(E2011,LD_PROJETOS!A:A,LD_PROJETOS!G:G)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_xlfn.XLOOKUP(E2012,LD_PROJETOS!A:A,LD_PROJETOS!G:G)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_xlfn.XLOOKUP(E2013,LD_PROJETOS!A:A,LD_PROJETOS!G:G)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_xlfn.XLOOKUP(E2014,LD_PROJETOS!A:A,LD_PROJETOS!G:G)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_xlfn.XLOOKUP(E2015,LD_PROJETOS!A:A,LD_PROJETOS!G:G)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_xlfn.XLOOKUP(E2016,LD_PROJETOS!A:A,LD_PROJETOS!G:G)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_xlfn.XLOOKUP(E2017,LD_PROJETOS!A:A,LD_PROJETOS!G:G)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_xlfn.XLOOKUP(E2018,LD_PROJETOS!A:A,LD_PROJETOS!G:G)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_xlfn.XLOOKUP(E2019,LD_PROJETOS!A:A,LD_PROJETOS!G:G)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_xlfn.XLOOKUP(E2020,LD_PROJETOS!A:A,LD_PROJETOS!G:G)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_xlfn.XLOOKUP(E2021,LD_PROJETOS!A:A,LD_PROJETOS!G:G)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_xlfn.XLOOKUP(E2022,LD_PROJETOS!A:A,LD_PROJETOS!G:G)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_xlfn.XLOOKUP(E2023,LD_PROJETOS!A:A,LD_PROJETOS!G:G)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_xlfn.XLOOKUP(E2024,LD_PROJETOS!A:A,LD_PROJETOS!G:G)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_xlfn.XLOOKUP(E2025,LD_PROJETOS!A:A,LD_PROJETOS!G:G)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_xlfn.XLOOKUP(E2026,LD_PROJETOS!A:A,LD_PROJETOS!G:G)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_xlfn.XLOOKUP(E2027,LD_PROJETOS!A:A,LD_PROJETOS!G:G)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_xlfn.XLOOKUP(E2028,LD_PROJETOS!A:A,LD_PROJETOS!G:G)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_xlfn.XLOOKUP(E2029,LD_PROJETOS!A:A,LD_PROJETOS!G:G)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_xlfn.XLOOKUP(E2030,LD_PROJETOS!A:A,LD_PROJETOS!G:G)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_xlfn.XLOOKUP(E2031,LD_PROJETOS!A:A,LD_PROJETOS!G:G)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_xlfn.XLOOKUP(E2032,LD_PROJETOS!A:A,LD_PROJETOS!G:G)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_xlfn.XLOOKUP(E2033,LD_PROJETOS!A:A,LD_PROJETOS!G:G)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_xlfn.XLOOKUP(E2034,LD_PROJETOS!A:A,LD_PROJETOS!G:G)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_xlfn.XLOOKUP(E2035,LD_PROJETOS!A:A,LD_PROJETOS!G:G)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_xlfn.XLOOKUP(E2036,LD_PROJETOS!A:A,LD_PROJETOS!G:G)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_xlfn.XLOOKUP(E2037,LD_PROJETOS!A:A,LD_PROJETOS!G:G)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_xlfn.XLOOKUP(E2038,LD_PROJETOS!A:A,LD_PROJETOS!G:G)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_xlfn.XLOOKUP(E2039,LD_PROJETOS!A:A,LD_PROJETOS!G:G)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_xlfn.XLOOKUP(E2040,LD_PROJETOS!A:A,LD_PROJETOS!G:G)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_xlfn.XLOOKUP(E2041,LD_PROJETOS!A:A,LD_PROJETOS!G:G)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_xlfn.XLOOKUP(E2042,LD_PROJETOS!A:A,LD_PROJETOS!G:G)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_xlfn.XLOOKUP(E2043,LD_PROJETOS!A:A,LD_PROJETOS!G:G)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_xlfn.XLOOKUP(E2044,LD_PROJETOS!A:A,LD_PROJETOS!G:G)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_xlfn.XLOOKUP(E2045,LD_PROJETOS!A:A,LD_PROJETOS!G:G)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_xlfn.XLOOKUP(E2046,LD_PROJETOS!A:A,LD_PROJETOS!G:G)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_xlfn.XLOOKUP(E2047,LD_PROJETOS!A:A,LD_PROJETOS!G:G)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_xlfn.XLOOKUP(E2048,LD_PROJETOS!A:A,LD_PROJETOS!G:G)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_xlfn.XLOOKUP(E2049,LD_PROJETOS!A:A,LD_PROJETOS!G:G)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_xlfn.XLOOKUP(E2050,LD_PROJETOS!A:A,LD_PROJETOS!G:G)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_xlfn.XLOOKUP(E2051,LD_PROJETOS!A:A,LD_PROJETOS!G:G)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_xlfn.XLOOKUP(E2052,LD_PROJETOS!A:A,LD_PROJETOS!G:G)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_xlfn.XLOOKUP(E2053,LD_PROJETOS!A:A,LD_PROJETOS!G:G)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_xlfn.XLOOKUP(E2054,LD_PROJETOS!A:A,LD_PROJETOS!G:G)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_xlfn.XLOOKUP(E2055,LD_PROJETOS!A:A,LD_PROJETOS!G:G)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_xlfn.XLOOKUP(E2056,LD_PROJETOS!A:A,LD_PROJETOS!G:G)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_xlfn.XLOOKUP(E2057,LD_PROJETOS!A:A,LD_PROJETOS!G:G)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_xlfn.XLOOKUP(E2058,LD_PROJETOS!A:A,LD_PROJETOS!G:G)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_xlfn.XLOOKUP(E2059,LD_PROJETOS!A:A,LD_PROJETOS!G:G)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_xlfn.XLOOKUP(E2060,LD_PROJETOS!A:A,LD_PROJETOS!G:G)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_xlfn.XLOOKUP(E2061,LD_PROJETOS!A:A,LD_PROJETOS!G:G)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_xlfn.XLOOKUP(E2062,LD_PROJETOS!A:A,LD_PROJETOS!G:G)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_xlfn.XLOOKUP(E2063,LD_PROJETOS!A:A,LD_PROJETOS!G:G)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_xlfn.XLOOKUP(E2064,LD_PROJETOS!A:A,LD_PROJETOS!G:G)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_xlfn.XLOOKUP(E2065,LD_PROJETOS!A:A,LD_PROJETOS!G:G)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_xlfn.XLOOKUP(E2066,LD_PROJETOS!A:A,LD_PROJETOS!G:G)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_xlfn.XLOOKUP(E2067,LD_PROJETOS!A:A,LD_PROJETOS!G:G)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_xlfn.XLOOKUP(E2068,LD_PROJETOS!A:A,LD_PROJETOS!G:G)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_xlfn.XLOOKUP(E2069,LD_PROJETOS!A:A,LD_PROJETOS!G:G)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_xlfn.XLOOKUP(E2070,LD_PROJETOS!A:A,LD_PROJETOS!G:G)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_xlfn.XLOOKUP(E2071,LD_PROJETOS!A:A,LD_PROJETOS!G:G)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_xlfn.XLOOKUP(E2072,LD_PROJETOS!A:A,LD_PROJETOS!G:G)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_xlfn.XLOOKUP(E2073,LD_PROJETOS!A:A,LD_PROJETOS!G:G)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_xlfn.XLOOKUP(E2074,LD_PROJETOS!A:A,LD_PROJETOS!G:G)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_xlfn.XLOOKUP(E2075,LD_PROJETOS!A:A,LD_PROJETOS!G:G)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_xlfn.XLOOKUP(E2076,LD_PROJETOS!A:A,LD_PROJETOS!G:G)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_xlfn.XLOOKUP(E2077,LD_PROJETOS!A:A,LD_PROJETOS!G:G)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_xlfn.XLOOKUP(E2078,LD_PROJETOS!A:A,LD_PROJETOS!G:G)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_xlfn.XLOOKUP(E2079,LD_PROJETOS!A:A,LD_PROJETOS!G:G)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_xlfn.XLOOKUP(E2080,LD_PROJETOS!A:A,LD_PROJETOS!G:G)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_xlfn.XLOOKUP(E2081,LD_PROJETOS!A:A,LD_PROJETOS!G:G)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_xlfn.XLOOKUP(E2082,LD_PROJETOS!A:A,LD_PROJETOS!G:G)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_xlfn.XLOOKUP(E2083,LD_PROJETOS!A:A,LD_PROJETOS!G:G)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_xlfn.XLOOKUP(E2084,LD_PROJETOS!A:A,LD_PROJETOS!G:G)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_xlfn.XLOOKUP(E2085,LD_PROJETOS!A:A,LD_PROJETOS!G:G)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_xlfn.XLOOKUP(E2086,LD_PROJETOS!A:A,LD_PROJETOS!G:G)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_xlfn.XLOOKUP(E2087,LD_PROJETOS!A:A,LD_PROJETOS!G:G)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_xlfn.XLOOKUP(E2088,LD_PROJETOS!A:A,LD_PROJETOS!G:G)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_xlfn.XLOOKUP(E2089,LD_PROJETOS!A:A,LD_PROJETOS!G:G)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_xlfn.XLOOKUP(E2090,LD_PROJETOS!A:A,LD_PROJETOS!G:G)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_xlfn.XLOOKUP(E2091,LD_PROJETOS!A:A,LD_PROJETOS!G:G)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_xlfn.XLOOKUP(E2092,LD_PROJETOS!A:A,LD_PROJETOS!G:G)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_xlfn.XLOOKUP(E2093,LD_PROJETOS!A:A,LD_PROJETOS!G:G)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_xlfn.XLOOKUP(E2094,LD_PROJETOS!A:A,LD_PROJETOS!G:G)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_xlfn.XLOOKUP(E2095,LD_PROJETOS!A:A,LD_PROJETOS!G:G)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_xlfn.XLOOKUP(E2096,LD_PROJETOS!A:A,LD_PROJETOS!G:G)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_xlfn.XLOOKUP(E2097,LD_PROJETOS!A:A,LD_PROJETOS!G:G)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_xlfn.XLOOKUP(E2098,LD_PROJETOS!A:A,LD_PROJETOS!G:G)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_xlfn.XLOOKUP(E2099,LD_PROJETOS!A:A,LD_PROJETOS!G:G)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_xlfn.XLOOKUP(E2100,LD_PROJETOS!A:A,LD_PROJETOS!G:G)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_xlfn.XLOOKUP(E2101,LD_PROJETOS!A:A,LD_PROJETOS!G:G)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_xlfn.XLOOKUP(E2102,LD_PROJETOS!A:A,LD_PROJETOS!G:G)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_xlfn.XLOOKUP(E2103,LD_PROJETOS!A:A,LD_PROJETOS!G:G)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_xlfn.XLOOKUP(E2104,LD_PROJETOS!A:A,LD_PROJETOS!G:G)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_xlfn.XLOOKUP(E2105,LD_PROJETOS!A:A,LD_PROJETOS!G:G)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_xlfn.XLOOKUP(E2106,LD_PROJETOS!A:A,LD_PROJETOS!G:G)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_xlfn.XLOOKUP(E2107,LD_PROJETOS!A:A,LD_PROJETOS!G:G)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_xlfn.XLOOKUP(E2108,LD_PROJETOS!A:A,LD_PROJETOS!G:G)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_xlfn.XLOOKUP(E2109,LD_PROJETOS!A:A,LD_PROJETOS!G:G)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_xlfn.XLOOKUP(E2110,LD_PROJETOS!A:A,LD_PROJETOS!G:G)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_xlfn.XLOOKUP(E2111,LD_PROJETOS!A:A,LD_PROJETOS!G:G)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_xlfn.XLOOKUP(E2112,LD_PROJETOS!A:A,LD_PROJETOS!G:G)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_xlfn.XLOOKUP(E2113,LD_PROJETOS!A:A,LD_PROJETOS!G:G)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_xlfn.XLOOKUP(E2114,LD_PROJETOS!A:A,LD_PROJETOS!G:G)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_xlfn.XLOOKUP(E2115,LD_PROJETOS!A:A,LD_PROJETOS!G:G)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_xlfn.XLOOKUP(E2116,LD_PROJETOS!A:A,LD_PROJETOS!G:G)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_xlfn.XLOOKUP(E2117,LD_PROJETOS!A:A,LD_PROJETOS!G:G)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_xlfn.XLOOKUP(E2118,LD_PROJETOS!A:A,LD_PROJETOS!G:G)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_xlfn.XLOOKUP(E2119,LD_PROJETOS!A:A,LD_PROJETOS!G:G)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_xlfn.XLOOKUP(E2120,LD_PROJETOS!A:A,LD_PROJETOS!G:G)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_xlfn.XLOOKUP(E2121,LD_PROJETOS!A:A,LD_PROJETOS!G:G)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_xlfn.XLOOKUP(E2122,LD_PROJETOS!A:A,LD_PROJETOS!G:G)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_xlfn.XLOOKUP(E2123,LD_PROJETOS!A:A,LD_PROJETOS!G:G)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_xlfn.XLOOKUP(E2124,LD_PROJETOS!A:A,LD_PROJETOS!G:G)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_xlfn.XLOOKUP(E2125,LD_PROJETOS!A:A,LD_PROJETOS!G:G)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_xlfn.XLOOKUP(E2126,LD_PROJETOS!A:A,LD_PROJETOS!G:G)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_xlfn.XLOOKUP(E2127,LD_PROJETOS!A:A,LD_PROJETOS!G:G)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_xlfn.XLOOKUP(E2128,LD_PROJETOS!A:A,LD_PROJETOS!G:G)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_xlfn.XLOOKUP(E2129,LD_PROJETOS!A:A,LD_PROJETOS!G:G)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_xlfn.XLOOKUP(E2130,LD_PROJETOS!A:A,LD_PROJETOS!G:G)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_xlfn.XLOOKUP(E2131,LD_PROJETOS!A:A,LD_PROJETOS!G:G)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_xlfn.XLOOKUP(E2132,LD_PROJETOS!A:A,LD_PROJETOS!G:G)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_xlfn.XLOOKUP(E2133,LD_PROJETOS!A:A,LD_PROJETOS!G:G)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_xlfn.XLOOKUP(E2134,LD_PROJETOS!A:A,LD_PROJETOS!G:G)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_xlfn.XLOOKUP(E2135,LD_PROJETOS!A:A,LD_PROJETOS!G:G)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_xlfn.XLOOKUP(E2136,LD_PROJETOS!A:A,LD_PROJETOS!G:G)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_xlfn.XLOOKUP(E2137,LD_PROJETOS!A:A,LD_PROJETOS!G:G)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_xlfn.XLOOKUP(E2138,LD_PROJETOS!A:A,LD_PROJETOS!G:G)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_xlfn.XLOOKUP(E2139,LD_PROJETOS!A:A,LD_PROJETOS!G:G)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_xlfn.XLOOKUP(E2140,LD_PROJETOS!A:A,LD_PROJETOS!G:G)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_xlfn.XLOOKUP(E2141,LD_PROJETOS!A:A,LD_PROJETOS!G:G)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_xlfn.XLOOKUP(E2142,LD_PROJETOS!A:A,LD_PROJETOS!G:G)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_xlfn.XLOOKUP(E2143,LD_PROJETOS!A:A,LD_PROJETOS!G:G)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_xlfn.XLOOKUP(E2144,LD_PROJETOS!A:A,LD_PROJETOS!G:G)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_xlfn.XLOOKUP(E2145,LD_PROJETOS!A:A,LD_PROJETOS!G:G)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_xlfn.XLOOKUP(E2146,LD_PROJETOS!A:A,LD_PROJETOS!G:G)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_xlfn.XLOOKUP(E2147,LD_PROJETOS!A:A,LD_PROJETOS!G:G)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_xlfn.XLOOKUP(E2148,LD_PROJETOS!A:A,LD_PROJETOS!G:G)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_xlfn.XLOOKUP(E2149,LD_PROJETOS!A:A,LD_PROJETOS!G:G)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_xlfn.XLOOKUP(E2150,LD_PROJETOS!A:A,LD_PROJETOS!G:G)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_xlfn.XLOOKUP(E2151,LD_PROJETOS!A:A,LD_PROJETOS!G:G)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_xlfn.XLOOKUP(E2152,LD_PROJETOS!A:A,LD_PROJETOS!G:G)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_xlfn.XLOOKUP(E2153,LD_PROJETOS!A:A,LD_PROJETOS!G:G)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_xlfn.XLOOKUP(E2154,LD_PROJETOS!A:A,LD_PROJETOS!G:G)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_xlfn.XLOOKUP(E2155,LD_PROJETOS!A:A,LD_PROJETOS!G:G)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_xlfn.XLOOKUP(E2156,LD_PROJETOS!A:A,LD_PROJETOS!G:G)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_xlfn.XLOOKUP(E2157,LD_PROJETOS!A:A,LD_PROJETOS!G:G)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_xlfn.XLOOKUP(E2158,LD_PROJETOS!A:A,LD_PROJETOS!G:G)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_xlfn.XLOOKUP(E2159,LD_PROJETOS!A:A,LD_PROJETOS!G:G)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_xlfn.XLOOKUP(E2160,LD_PROJETOS!A:A,LD_PROJETOS!G:G)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_xlfn.XLOOKUP(E2161,LD_PROJETOS!A:A,LD_PROJETOS!G:G)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_xlfn.XLOOKUP(E2162,LD_PROJETOS!A:A,LD_PROJETOS!G:G)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_xlfn.XLOOKUP(E2163,LD_PROJETOS!A:A,LD_PROJETOS!G:G)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_xlfn.XLOOKUP(E2164,LD_PROJETOS!A:A,LD_PROJETOS!G:G)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_xlfn.XLOOKUP(E2165,LD_PROJETOS!A:A,LD_PROJETOS!G:G)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_xlfn.XLOOKUP(E2166,LD_PROJETOS!A:A,LD_PROJETOS!G:G)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_xlfn.XLOOKUP(E2167,LD_PROJETOS!A:A,LD_PROJETOS!G:G)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_xlfn.XLOOKUP(E2168,LD_PROJETOS!A:A,LD_PROJETOS!G:G)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_xlfn.XLOOKUP(E2169,LD_PROJETOS!A:A,LD_PROJETOS!G:G)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_xlfn.XLOOKUP(E2170,LD_PROJETOS!A:A,LD_PROJETOS!G:G)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_xlfn.XLOOKUP(E2171,LD_PROJETOS!A:A,LD_PROJETOS!G:G)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_xlfn.XLOOKUP(E2172,LD_PROJETOS!A:A,LD_PROJETOS!G:G)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_xlfn.XLOOKUP(E2173,LD_PROJETOS!A:A,LD_PROJETOS!G:G)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_xlfn.XLOOKUP(E2174,LD_PROJETOS!A:A,LD_PROJETOS!G:G)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_xlfn.XLOOKUP(E2175,LD_PROJETOS!A:A,LD_PROJETOS!G:G)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_xlfn.XLOOKUP(E2176,LD_PROJETOS!A:A,LD_PROJETOS!G:G)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_xlfn.XLOOKUP(E2177,LD_PROJETOS!A:A,LD_PROJETOS!G:G)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_xlfn.XLOOKUP(E2178,LD_PROJETOS!A:A,LD_PROJETOS!G:G)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_xlfn.XLOOKUP(E2179,LD_PROJETOS!A:A,LD_PROJETOS!G:G)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_xlfn.XLOOKUP(E2180,LD_PROJETOS!A:A,LD_PROJETOS!G:G)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_xlfn.XLOOKUP(E2181,LD_PROJETOS!A:A,LD_PROJETOS!G:G)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_xlfn.XLOOKUP(E2182,LD_PROJETOS!A:A,LD_PROJETOS!G:G)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_xlfn.XLOOKUP(E2183,LD_PROJETOS!A:A,LD_PROJETOS!G:G)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_xlfn.XLOOKUP(E2184,LD_PROJETOS!A:A,LD_PROJETOS!G:G)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_xlfn.XLOOKUP(E2185,LD_PROJETOS!A:A,LD_PROJETOS!G:G)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_xlfn.XLOOKUP(E2186,LD_PROJETOS!A:A,LD_PROJETOS!G:G)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_xlfn.XLOOKUP(E2187,LD_PROJETOS!A:A,LD_PROJETOS!G:G)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_xlfn.XLOOKUP(E2188,LD_PROJETOS!A:A,LD_PROJETOS!G:G)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_xlfn.XLOOKUP(E2189,LD_PROJETOS!A:A,LD_PROJETOS!G:G)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_xlfn.XLOOKUP(E2190,LD_PROJETOS!A:A,LD_PROJETOS!G:G)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_xlfn.XLOOKUP(E2191,LD_PROJETOS!A:A,LD_PROJETOS!G:G)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_xlfn.XLOOKUP(E2192,LD_PROJETOS!A:A,LD_PROJETOS!G:G)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_xlfn.XLOOKUP(E2193,LD_PROJETOS!A:A,LD_PROJETOS!G:G)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_xlfn.XLOOKUP(E2194,LD_PROJETOS!A:A,LD_PROJETOS!G:G)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_xlfn.XLOOKUP(E2195,LD_PROJETOS!A:A,LD_PROJETOS!G:G)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_xlfn.XLOOKUP(E2196,LD_PROJETOS!A:A,LD_PROJETOS!G:G)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_xlfn.XLOOKUP(E2197,LD_PROJETOS!A:A,LD_PROJETOS!G:G)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_xlfn.XLOOKUP(E2198,LD_PROJETOS!A:A,LD_PROJETOS!G:G)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_xlfn.XLOOKUP(E2199,LD_PROJETOS!A:A,LD_PROJETOS!G:G)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_xlfn.XLOOKUP(E2200,LD_PROJETOS!A:A,LD_PROJETOS!G:G)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_xlfn.XLOOKUP(E2201,LD_PROJETOS!A:A,LD_PROJETOS!G:G)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_xlfn.XLOOKUP(E2202,LD_PROJETOS!A:A,LD_PROJETOS!G:G)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_xlfn.XLOOKUP(E2203,LD_PROJETOS!A:A,LD_PROJETOS!G:G)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_xlfn.XLOOKUP(E2204,LD_PROJETOS!A:A,LD_PROJETOS!G:G)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_xlfn.XLOOKUP(E2205,LD_PROJETOS!A:A,LD_PROJETOS!G:G)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_xlfn.XLOOKUP(E2206,LD_PROJETOS!A:A,LD_PROJETOS!G:G)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_xlfn.XLOOKUP(E2207,LD_PROJETOS!A:A,LD_PROJETOS!G:G)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_xlfn.XLOOKUP(E2208,LD_PROJETOS!A:A,LD_PROJETOS!G:G)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_xlfn.XLOOKUP(E2209,LD_PROJETOS!A:A,LD_PROJETOS!G:G)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_xlfn.XLOOKUP(E2210,LD_PROJETOS!A:A,LD_PROJETOS!G:G)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_xlfn.XLOOKUP(E2211,LD_PROJETOS!A:A,LD_PROJETOS!G:G)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_xlfn.XLOOKUP(E2212,LD_PROJETOS!A:A,LD_PROJETOS!G:G)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_xlfn.XLOOKUP(E2213,LD_PROJETOS!A:A,LD_PROJETOS!G:G)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_xlfn.XLOOKUP(E2214,LD_PROJETOS!A:A,LD_PROJETOS!G:G)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_xlfn.XLOOKUP(E2215,LD_PROJETOS!A:A,LD_PROJETOS!G:G)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_xlfn.XLOOKUP(E2216,LD_PROJETOS!A:A,LD_PROJETOS!G:G)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_xlfn.XLOOKUP(E2217,LD_PROJETOS!A:A,LD_PROJETOS!G:G)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_xlfn.XLOOKUP(E2218,LD_PROJETOS!A:A,LD_PROJETOS!G:G)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_xlfn.XLOOKUP(E2219,LD_PROJETOS!A:A,LD_PROJETOS!G:G)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_xlfn.XLOOKUP(E2220,LD_PROJETOS!A:A,LD_PROJETOS!G:G)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_xlfn.XLOOKUP(E2221,LD_PROJETOS!A:A,LD_PROJETOS!G:G)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_xlfn.XLOOKUP(E2222,LD_PROJETOS!A:A,LD_PROJETOS!G:G)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_xlfn.XLOOKUP(E2223,LD_PROJETOS!A:A,LD_PROJETOS!G:G)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_xlfn.XLOOKUP(E2224,LD_PROJETOS!A:A,LD_PROJETOS!G:G)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_xlfn.XLOOKUP(E2225,LD_PROJETOS!A:A,LD_PROJETOS!G:G)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_xlfn.XLOOKUP(E2226,LD_PROJETOS!A:A,LD_PROJETOS!G:G)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_xlfn.XLOOKUP(E2227,LD_PROJETOS!A:A,LD_PROJETOS!G:G)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_xlfn.XLOOKUP(E2228,LD_PROJETOS!A:A,LD_PROJETOS!G:G)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_xlfn.XLOOKUP(E2229,LD_PROJETOS!A:A,LD_PROJETOS!G:G)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_xlfn.XLOOKUP(E2230,LD_PROJETOS!A:A,LD_PROJETOS!G:G)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_xlfn.XLOOKUP(E2231,LD_PROJETOS!A:A,LD_PROJETOS!G:G)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_xlfn.XLOOKUP(E2232,LD_PROJETOS!A:A,LD_PROJETOS!G:G)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_xlfn.XLOOKUP(E2233,LD_PROJETOS!A:A,LD_PROJETOS!G:G)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_xlfn.XLOOKUP(E2234,LD_PROJETOS!A:A,LD_PROJETOS!G:G)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_xlfn.XLOOKUP(E2235,LD_PROJETOS!A:A,LD_PROJETOS!G:G)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_xlfn.XLOOKUP(E2236,LD_PROJETOS!A:A,LD_PROJETOS!G:G)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_xlfn.XLOOKUP(E2237,LD_PROJETOS!A:A,LD_PROJETOS!G:G)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_xlfn.XLOOKUP(E2238,LD_PROJETOS!A:A,LD_PROJETOS!G:G)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_xlfn.XLOOKUP(E2239,LD_PROJETOS!A:A,LD_PROJETOS!G:G)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_xlfn.XLOOKUP(E2240,LD_PROJETOS!A:A,LD_PROJETOS!G:G)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_xlfn.XLOOKUP(E2241,LD_PROJETOS!A:A,LD_PROJETOS!G:G)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_xlfn.XLOOKUP(E2242,LD_PROJETOS!A:A,LD_PROJETOS!G:G)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_xlfn.XLOOKUP(E2243,LD_PROJETOS!A:A,LD_PROJETOS!G:G)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_xlfn.XLOOKUP(E2244,LD_PROJETOS!A:A,LD_PROJETOS!G:G)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_xlfn.XLOOKUP(E2245,LD_PROJETOS!A:A,LD_PROJETOS!G:G)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_xlfn.XLOOKUP(E2246,LD_PROJETOS!A:A,LD_PROJETOS!G:G)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_xlfn.XLOOKUP(E2247,LD_PROJETOS!A:A,LD_PROJETOS!G:G)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_xlfn.XLOOKUP(E2248,LD_PROJETOS!A:A,LD_PROJETOS!G:G)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_xlfn.XLOOKUP(E2249,LD_PROJETOS!A:A,LD_PROJETOS!G:G)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_xlfn.XLOOKUP(E2250,LD_PROJETOS!A:A,LD_PROJETOS!G:G)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_xlfn.XLOOKUP(E2251,LD_PROJETOS!A:A,LD_PROJETOS!G:G)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_xlfn.XLOOKUP(E2252,LD_PROJETOS!A:A,LD_PROJETOS!G:G)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_xlfn.XLOOKUP(E2253,LD_PROJETOS!A:A,LD_PROJETOS!G:G)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_xlfn.XLOOKUP(E2254,LD_PROJETOS!A:A,LD_PROJETOS!G:G)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_xlfn.XLOOKUP(E2255,LD_PROJETOS!A:A,LD_PROJETOS!G:G)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_xlfn.XLOOKUP(E2256,LD_PROJETOS!A:A,LD_PROJETOS!G:G)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_xlfn.XLOOKUP(E2257,LD_PROJETOS!A:A,LD_PROJETOS!G:G)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_xlfn.XLOOKUP(E2258,LD_PROJETOS!A:A,LD_PROJETOS!G:G)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_xlfn.XLOOKUP(E2259,LD_PROJETOS!A:A,LD_PROJETOS!G:G)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_xlfn.XLOOKUP(E2260,LD_PROJETOS!A:A,LD_PROJETOS!G:G)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_xlfn.XLOOKUP(E2261,LD_PROJETOS!A:A,LD_PROJETOS!G:G)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_xlfn.XLOOKUP(E2262,LD_PROJETOS!A:A,LD_PROJETOS!G:G)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_xlfn.XLOOKUP(E2263,LD_PROJETOS!A:A,LD_PROJETOS!G:G)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_xlfn.XLOOKUP(E2264,LD_PROJETOS!A:A,LD_PROJETOS!G:G)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_xlfn.XLOOKUP(E2265,LD_PROJETOS!A:A,LD_PROJETOS!G:G)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_xlfn.XLOOKUP(E2266,LD_PROJETOS!A:A,LD_PROJETOS!G:G)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_xlfn.XLOOKUP(E2267,LD_PROJETOS!A:A,LD_PROJETOS!G:G)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_xlfn.XLOOKUP(E2268,LD_PROJETOS!A:A,LD_PROJETOS!G:G)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_xlfn.XLOOKUP(E2269,LD_PROJETOS!A:A,LD_PROJETOS!G:G)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_xlfn.XLOOKUP(E2270,LD_PROJETOS!A:A,LD_PROJETOS!G:G)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_xlfn.XLOOKUP(E2271,LD_PROJETOS!A:A,LD_PROJETOS!G:G)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_xlfn.XLOOKUP(E2272,LD_PROJETOS!A:A,LD_PROJETOS!G:G)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_xlfn.XLOOKUP(E2273,LD_PROJETOS!A:A,LD_PROJETOS!G:G)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_xlfn.XLOOKUP(E2274,LD_PROJETOS!A:A,LD_PROJETOS!G:G)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_xlfn.XLOOKUP(E2275,LD_PROJETOS!A:A,LD_PROJETOS!G:G)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_xlfn.XLOOKUP(E2276,LD_PROJETOS!A:A,LD_PROJETOS!G:G)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_xlfn.XLOOKUP(E2277,LD_PROJETOS!A:A,LD_PROJETOS!G:G)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_xlfn.XLOOKUP(E2278,LD_PROJETOS!A:A,LD_PROJETOS!G:G)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_xlfn.XLOOKUP(E2279,LD_PROJETOS!A:A,LD_PROJETOS!G:G)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_xlfn.XLOOKUP(E2280,LD_PROJETOS!A:A,LD_PROJETOS!G:G)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_xlfn.XLOOKUP(E2281,LD_PROJETOS!A:A,LD_PROJETOS!G:G)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_xlfn.XLOOKUP(E2282,LD_PROJETOS!A:A,LD_PROJETOS!G:G)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_xlfn.XLOOKUP(E2283,LD_PROJETOS!A:A,LD_PROJETOS!G:G)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_xlfn.XLOOKUP(E2284,LD_PROJETOS!A:A,LD_PROJETOS!G:G)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_xlfn.XLOOKUP(E2285,LD_PROJETOS!A:A,LD_PROJETOS!G:G)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_xlfn.XLOOKUP(E2286,LD_PROJETOS!A:A,LD_PROJETOS!G:G)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_xlfn.XLOOKUP(E2287,LD_PROJETOS!A:A,LD_PROJETOS!G:G)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_xlfn.XLOOKUP(E2288,LD_PROJETOS!A:A,LD_PROJETOS!G:G)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_xlfn.XLOOKUP(E2289,LD_PROJETOS!A:A,LD_PROJETOS!G:G)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_xlfn.XLOOKUP(E2290,LD_PROJETOS!A:A,LD_PROJETOS!G:G)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_xlfn.XLOOKUP(E2291,LD_PROJETOS!A:A,LD_PROJETOS!G:G)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_xlfn.XLOOKUP(E2292,LD_PROJETOS!A:A,LD_PROJETOS!G:G)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_xlfn.XLOOKUP(E2293,LD_PROJETOS!A:A,LD_PROJETOS!G:G)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_xlfn.XLOOKUP(E2294,LD_PROJETOS!A:A,LD_PROJETOS!G:G)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_xlfn.XLOOKUP(E2295,LD_PROJETOS!A:A,LD_PROJETOS!G:G)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_xlfn.XLOOKUP(E2296,LD_PROJETOS!A:A,LD_PROJETOS!G:G)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_xlfn.XLOOKUP(E2297,LD_PROJETOS!A:A,LD_PROJETOS!G:G)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_xlfn.XLOOKUP(E2298,LD_PROJETOS!A:A,LD_PROJETOS!G:G)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_xlfn.XLOOKUP(E2299,LD_PROJETOS!A:A,LD_PROJETOS!G:G)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_xlfn.XLOOKUP(E2300,LD_PROJETOS!A:A,LD_PROJETOS!G:G)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_xlfn.XLOOKUP(E2301,LD_PROJETOS!A:A,LD_PROJETOS!G:G)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_xlfn.XLOOKUP(E2302,LD_PROJETOS!A:A,LD_PROJETOS!G:G)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_xlfn.XLOOKUP(E2303,LD_PROJETOS!A:A,LD_PROJETOS!G:G)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_xlfn.XLOOKUP(E2304,LD_PROJETOS!A:A,LD_PROJETOS!G:G)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_xlfn.XLOOKUP(E2305,LD_PROJETOS!A:A,LD_PROJETOS!G:G)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_xlfn.XLOOKUP(E2306,LD_PROJETOS!A:A,LD_PROJETOS!G:G)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_xlfn.XLOOKUP(E2307,LD_PROJETOS!A:A,LD_PROJETOS!G:G)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_xlfn.XLOOKUP(E2308,LD_PROJETOS!A:A,LD_PROJETOS!G:G)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_xlfn.XLOOKUP(E2309,LD_PROJETOS!A:A,LD_PROJETOS!G:G)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_xlfn.XLOOKUP(E2310,LD_PROJETOS!A:A,LD_PROJETOS!G:G)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_xlfn.XLOOKUP(E2311,LD_PROJETOS!A:A,LD_PROJETOS!G:G)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_xlfn.XLOOKUP(E2312,LD_PROJETOS!A:A,LD_PROJETOS!G:G)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_xlfn.XLOOKUP(E2313,LD_PROJETOS!A:A,LD_PROJETOS!G:G)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_xlfn.XLOOKUP(E2314,LD_PROJETOS!A:A,LD_PROJETOS!G:G)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_xlfn.XLOOKUP(E2315,LD_PROJETOS!A:A,LD_PROJETOS!G:G)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_xlfn.XLOOKUP(E2316,LD_PROJETOS!A:A,LD_PROJETOS!G:G)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_xlfn.XLOOKUP(E2317,LD_PROJETOS!A:A,LD_PROJETOS!G:G)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_xlfn.XLOOKUP(E2318,LD_PROJETOS!A:A,LD_PROJETOS!G:G)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_xlfn.XLOOKUP(E2319,LD_PROJETOS!A:A,LD_PROJETOS!G:G)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_xlfn.XLOOKUP(E2320,LD_PROJETOS!A:A,LD_PROJETOS!G:G)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_xlfn.XLOOKUP(E2321,LD_PROJETOS!A:A,LD_PROJETOS!G:G)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_xlfn.XLOOKUP(E2322,LD_PROJETOS!A:A,LD_PROJETOS!G:G)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_xlfn.XLOOKUP(E2323,LD_PROJETOS!A:A,LD_PROJETOS!G:G)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_xlfn.XLOOKUP(E2324,LD_PROJETOS!A:A,LD_PROJETOS!G:G)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_xlfn.XLOOKUP(E2325,LD_PROJETOS!A:A,LD_PROJETOS!G:G)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_xlfn.XLOOKUP(E2326,LD_PROJETOS!A:A,LD_PROJETOS!G:G)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_xlfn.XLOOKUP(E2327,LD_PROJETOS!A:A,LD_PROJETOS!G:G)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_xlfn.XLOOKUP(E2328,LD_PROJETOS!A:A,LD_PROJETOS!G:G)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_xlfn.XLOOKUP(E2329,LD_PROJETOS!A:A,LD_PROJETOS!G:G)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_xlfn.XLOOKUP(E2330,LD_PROJETOS!A:A,LD_PROJETOS!G:G)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_xlfn.XLOOKUP(E2331,LD_PROJETOS!A:A,LD_PROJETOS!G:G)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_xlfn.XLOOKUP(E2332,LD_PROJETOS!A:A,LD_PROJETOS!G:G)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_xlfn.XLOOKUP(E2333,LD_PROJETOS!A:A,LD_PROJETOS!G:G)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_xlfn.XLOOKUP(E2334,LD_PROJETOS!A:A,LD_PROJETOS!G:G)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_xlfn.XLOOKUP(E2335,LD_PROJETOS!A:A,LD_PROJETOS!G:G)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_xlfn.XLOOKUP(E2336,LD_PROJETOS!A:A,LD_PROJETOS!G:G)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_xlfn.XLOOKUP(E2337,LD_PROJETOS!A:A,LD_PROJETOS!G:G)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_xlfn.XLOOKUP(E2338,LD_PROJETOS!A:A,LD_PROJETOS!G:G)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_xlfn.XLOOKUP(E2339,LD_PROJETOS!A:A,LD_PROJETOS!G:G)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_xlfn.XLOOKUP(E2340,LD_PROJETOS!A:A,LD_PROJETOS!G:G)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_xlfn.XLOOKUP(E2341,LD_PROJETOS!A:A,LD_PROJETOS!G:G)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_xlfn.XLOOKUP(E2342,LD_PROJETOS!A:A,LD_PROJETOS!G:G)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_xlfn.XLOOKUP(E2343,LD_PROJETOS!A:A,LD_PROJETOS!G:G)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_xlfn.XLOOKUP(E2344,LD_PROJETOS!A:A,LD_PROJETOS!G:G)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_xlfn.XLOOKUP(E2345,LD_PROJETOS!A:A,LD_PROJETOS!G:G)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_xlfn.XLOOKUP(E2346,LD_PROJETOS!A:A,LD_PROJETOS!G:G)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_xlfn.XLOOKUP(E2347,LD_PROJETOS!A:A,LD_PROJETOS!G:G)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_xlfn.XLOOKUP(E2348,LD_PROJETOS!A:A,LD_PROJETOS!G:G)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_xlfn.XLOOKUP(E2349,LD_PROJETOS!A:A,LD_PROJETOS!G:G)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_xlfn.XLOOKUP(E2350,LD_PROJETOS!A:A,LD_PROJETOS!G:G)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_xlfn.XLOOKUP(E2351,LD_PROJETOS!A:A,LD_PROJETOS!G:G)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_xlfn.XLOOKUP(E2352,LD_PROJETOS!A:A,LD_PROJETOS!G:G)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_xlfn.XLOOKUP(E2353,LD_PROJETOS!A:A,LD_PROJETOS!G:G)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_xlfn.XLOOKUP(E2354,LD_PROJETOS!A:A,LD_PROJETOS!G:G)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_xlfn.XLOOKUP(E2355,LD_PROJETOS!A:A,LD_PROJETOS!G:G)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_xlfn.XLOOKUP(E2356,LD_PROJETOS!A:A,LD_PROJETOS!G:G)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_xlfn.XLOOKUP(E2357,LD_PROJETOS!A:A,LD_PROJETOS!G:G)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_xlfn.XLOOKUP(E2358,LD_PROJETOS!A:A,LD_PROJETOS!G:G)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_xlfn.XLOOKUP(E2359,LD_PROJETOS!A:A,LD_PROJETOS!G:G)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_xlfn.XLOOKUP(E2360,LD_PROJETOS!A:A,LD_PROJETOS!G:G)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_xlfn.XLOOKUP(E2361,LD_PROJETOS!A:A,LD_PROJETOS!G:G)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_xlfn.XLOOKUP(E2362,LD_PROJETOS!A:A,LD_PROJETOS!G:G)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_xlfn.XLOOKUP(E2363,LD_PROJETOS!A:A,LD_PROJETOS!G:G)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_xlfn.XLOOKUP(E2364,LD_PROJETOS!A:A,LD_PROJETOS!G:G)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_xlfn.XLOOKUP(E2365,LD_PROJETOS!A:A,LD_PROJETOS!G:G)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_xlfn.XLOOKUP(E2366,LD_PROJETOS!A:A,LD_PROJETOS!G:G)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_xlfn.XLOOKUP(E2367,LD_PROJETOS!A:A,LD_PROJETOS!G:G)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_xlfn.XLOOKUP(E2368,LD_PROJETOS!A:A,LD_PROJETOS!G:G)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_xlfn.XLOOKUP(E2369,LD_PROJETOS!A:A,LD_PROJETOS!G:G)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_xlfn.XLOOKUP(E2370,LD_PROJETOS!A:A,LD_PROJETOS!G:G)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_xlfn.XLOOKUP(E2371,LD_PROJETOS!A:A,LD_PROJETOS!G:G)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_xlfn.XLOOKUP(E2372,LD_PROJETOS!A:A,LD_PROJETOS!G:G)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_xlfn.XLOOKUP(E2373,LD_PROJETOS!A:A,LD_PROJETOS!G:G)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_xlfn.XLOOKUP(E2374,LD_PROJETOS!A:A,LD_PROJETOS!G:G)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_xlfn.XLOOKUP(E2375,LD_PROJETOS!A:A,LD_PROJETOS!G:G)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_xlfn.XLOOKUP(E2376,LD_PROJETOS!A:A,LD_PROJETOS!G:G)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_xlfn.XLOOKUP(E2377,LD_PROJETOS!A:A,LD_PROJETOS!G:G)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_xlfn.XLOOKUP(E2378,LD_PROJETOS!A:A,LD_PROJETOS!G:G)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_xlfn.XLOOKUP(E2379,LD_PROJETOS!A:A,LD_PROJETOS!G:G)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_xlfn.XLOOKUP(E2380,LD_PROJETOS!A:A,LD_PROJETOS!G:G)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_xlfn.XLOOKUP(E2381,LD_PROJETOS!A:A,LD_PROJETOS!G:G)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_xlfn.XLOOKUP(E2382,LD_PROJETOS!A:A,LD_PROJETOS!G:G)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_xlfn.XLOOKUP(E2383,LD_PROJETOS!A:A,LD_PROJETOS!G:G)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_xlfn.XLOOKUP(E2384,LD_PROJETOS!A:A,LD_PROJETOS!G:G)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_xlfn.XLOOKUP(E2385,LD_PROJETOS!A:A,LD_PROJETOS!G:G)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_xlfn.XLOOKUP(E2386,LD_PROJETOS!A:A,LD_PROJETOS!G:G)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_xlfn.XLOOKUP(E2387,LD_PROJETOS!A:A,LD_PROJETOS!G:G)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_xlfn.XLOOKUP(E2388,LD_PROJETOS!A:A,LD_PROJETOS!G:G)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_xlfn.XLOOKUP(E2389,LD_PROJETOS!A:A,LD_PROJETOS!G:G)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_xlfn.XLOOKUP(E2390,LD_PROJETOS!A:A,LD_PROJETOS!G:G)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_xlfn.XLOOKUP(E2391,LD_PROJETOS!A:A,LD_PROJETOS!G:G)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_xlfn.XLOOKUP(E2392,LD_PROJETOS!A:A,LD_PROJETOS!G:G)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_xlfn.XLOOKUP(E2393,LD_PROJETOS!A:A,LD_PROJETOS!G:G)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_xlfn.XLOOKUP(E2394,LD_PROJETOS!A:A,LD_PROJETOS!G:G)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_xlfn.XLOOKUP(E2395,LD_PROJETOS!A:A,LD_PROJETOS!G:G)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_xlfn.XLOOKUP(E2396,LD_PROJETOS!A:A,LD_PROJETOS!G:G)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_xlfn.XLOOKUP(E2397,LD_PROJETOS!A:A,LD_PROJETOS!G:G)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_xlfn.XLOOKUP(E2398,LD_PROJETOS!A:A,LD_PROJETOS!G:G)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_xlfn.XLOOKUP(E2399,LD_PROJETOS!A:A,LD_PROJETOS!G:G)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_xlfn.XLOOKUP(E2400,LD_PROJETOS!A:A,LD_PROJETOS!G:G)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_xlfn.XLOOKUP(E2401,LD_PROJETOS!A:A,LD_PROJETOS!G:G)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_xlfn.XLOOKUP(E2402,LD_PROJETOS!A:A,LD_PROJETOS!G:G)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_xlfn.XLOOKUP(E2403,LD_PROJETOS!A:A,LD_PROJETOS!G:G)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_xlfn.XLOOKUP(E2404,LD_PROJETOS!A:A,LD_PROJETOS!G:G)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_xlfn.XLOOKUP(E2405,LD_PROJETOS!A:A,LD_PROJETOS!G:G)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_xlfn.XLOOKUP(E2406,LD_PROJETOS!A:A,LD_PROJETOS!G:G)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_xlfn.XLOOKUP(E2407,LD_PROJETOS!A:A,LD_PROJETOS!G:G)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_xlfn.XLOOKUP(E2408,LD_PROJETOS!A:A,LD_PROJETOS!G:G)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_xlfn.XLOOKUP(E2409,LD_PROJETOS!A:A,LD_PROJETOS!G:G)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_xlfn.XLOOKUP(E2410,LD_PROJETOS!A:A,LD_PROJETOS!G:G)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_xlfn.XLOOKUP(E2411,LD_PROJETOS!A:A,LD_PROJETOS!G:G)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_xlfn.XLOOKUP(E2412,LD_PROJETOS!A:A,LD_PROJETOS!G:G)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_xlfn.XLOOKUP(E2413,LD_PROJETOS!A:A,LD_PROJETOS!G:G)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_xlfn.XLOOKUP(E2414,LD_PROJETOS!A:A,LD_PROJETOS!G:G)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_xlfn.XLOOKUP(E2415,LD_PROJETOS!A:A,LD_PROJETOS!G:G)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_xlfn.XLOOKUP(E2416,LD_PROJETOS!A:A,LD_PROJETOS!G:G)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_xlfn.XLOOKUP(E2417,LD_PROJETOS!A:A,LD_PROJETOS!G:G)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_xlfn.XLOOKUP(E2418,LD_PROJETOS!A:A,LD_PROJETOS!G:G)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_xlfn.XLOOKUP(E2419,LD_PROJETOS!A:A,LD_PROJETOS!G:G)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_xlfn.XLOOKUP(E2420,LD_PROJETOS!A:A,LD_PROJETOS!G:G)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_xlfn.XLOOKUP(E2421,LD_PROJETOS!A:A,LD_PROJETOS!G:G)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_xlfn.XLOOKUP(E2422,LD_PROJETOS!A:A,LD_PROJETOS!G:G)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_xlfn.XLOOKUP(E2423,LD_PROJETOS!A:A,LD_PROJETOS!G:G)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_xlfn.XLOOKUP(E2424,LD_PROJETOS!A:A,LD_PROJETOS!G:G)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_xlfn.XLOOKUP(E2425,LD_PROJETOS!A:A,LD_PROJETOS!G:G)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_xlfn.XLOOKUP(E2426,LD_PROJETOS!A:A,LD_PROJETOS!G:G)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_xlfn.XLOOKUP(E2427,LD_PROJETOS!A:A,LD_PROJETOS!G:G)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_xlfn.XLOOKUP(E2428,LD_PROJETOS!A:A,LD_PROJETOS!G:G)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_xlfn.XLOOKUP(E2429,LD_PROJETOS!A:A,LD_PROJETOS!G:G)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_xlfn.XLOOKUP(E2430,LD_PROJETOS!A:A,LD_PROJETOS!G:G)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_xlfn.XLOOKUP(E2431,LD_PROJETOS!A:A,LD_PROJETOS!G:G)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_xlfn.XLOOKUP(E2432,LD_PROJETOS!A:A,LD_PROJETOS!G:G)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_xlfn.XLOOKUP(E2433,LD_PROJETOS!A:A,LD_PROJETOS!G:G)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_xlfn.XLOOKUP(E2434,LD_PROJETOS!A:A,LD_PROJETOS!G:G)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_xlfn.XLOOKUP(E2435,LD_PROJETOS!A:A,LD_PROJETOS!G:G)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_xlfn.XLOOKUP(E2436,LD_PROJETOS!A:A,LD_PROJETOS!G:G)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_xlfn.XLOOKUP(E2437,LD_PROJETOS!A:A,LD_PROJETOS!G:G)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_xlfn.XLOOKUP(E2438,LD_PROJETOS!A:A,LD_PROJETOS!G:G)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_xlfn.XLOOKUP(E2439,LD_PROJETOS!A:A,LD_PROJETOS!G:G)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_xlfn.XLOOKUP(E2440,LD_PROJETOS!A:A,LD_PROJETOS!G:G)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_xlfn.XLOOKUP(E2441,LD_PROJETOS!A:A,LD_PROJETOS!G:G)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_xlfn.XLOOKUP(E2442,LD_PROJETOS!A:A,LD_PROJETOS!G:G)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_xlfn.XLOOKUP(E2443,LD_PROJETOS!A:A,LD_PROJETOS!G:G)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_xlfn.XLOOKUP(E2444,LD_PROJETOS!A:A,LD_PROJETOS!G:G)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_xlfn.XLOOKUP(E2445,LD_PROJETOS!A:A,LD_PROJETOS!G:G)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_xlfn.XLOOKUP(E2446,LD_PROJETOS!A:A,LD_PROJETOS!G:G)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_xlfn.XLOOKUP(E2447,LD_PROJETOS!A:A,LD_PROJETOS!G:G)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_xlfn.XLOOKUP(E2448,LD_PROJETOS!A:A,LD_PROJETOS!G:G)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_xlfn.XLOOKUP(E2449,LD_PROJETOS!A:A,LD_PROJETOS!G:G)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_xlfn.XLOOKUP(E2450,LD_PROJETOS!A:A,LD_PROJETOS!G:G)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_xlfn.XLOOKUP(E2451,LD_PROJETOS!A:A,LD_PROJETOS!G:G)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_xlfn.XLOOKUP(E2452,LD_PROJETOS!A:A,LD_PROJETOS!G:G)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_xlfn.XLOOKUP(E2453,LD_PROJETOS!A:A,LD_PROJETOS!G:G)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_xlfn.XLOOKUP(E2454,LD_PROJETOS!A:A,LD_PROJETOS!G:G)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_xlfn.XLOOKUP(E2455,LD_PROJETOS!A:A,LD_PROJETOS!G:G)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_xlfn.XLOOKUP(E2456,LD_PROJETOS!A:A,LD_PROJETOS!G:G)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_xlfn.XLOOKUP(E2457,LD_PROJETOS!A:A,LD_PROJETOS!G:G)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_xlfn.XLOOKUP(E2458,LD_PROJETOS!A:A,LD_PROJETOS!G:G)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_xlfn.XLOOKUP(E2459,LD_PROJETOS!A:A,LD_PROJETOS!G:G)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_xlfn.XLOOKUP(E2460,LD_PROJETOS!A:A,LD_PROJETOS!G:G)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_xlfn.XLOOKUP(E2461,LD_PROJETOS!A:A,LD_PROJETOS!G:G)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_xlfn.XLOOKUP(E2462,LD_PROJETOS!A:A,LD_PROJETOS!G:G)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_xlfn.XLOOKUP(E2463,LD_PROJETOS!A:A,LD_PROJETOS!G:G)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_xlfn.XLOOKUP(E2464,LD_PROJETOS!A:A,LD_PROJETOS!G:G)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_xlfn.XLOOKUP(E2465,LD_PROJETOS!A:A,LD_PROJETOS!G:G)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_xlfn.XLOOKUP(E2466,LD_PROJETOS!A:A,LD_PROJETOS!G:G)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_xlfn.XLOOKUP(E2467,LD_PROJETOS!A:A,LD_PROJETOS!G:G)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_xlfn.XLOOKUP(E2468,LD_PROJETOS!A:A,LD_PROJETOS!G:G)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_xlfn.XLOOKUP(E2469,LD_PROJETOS!A:A,LD_PROJETOS!G:G)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_xlfn.XLOOKUP(E2470,LD_PROJETOS!A:A,LD_PROJETOS!G:G)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_xlfn.XLOOKUP(E2471,LD_PROJETOS!A:A,LD_PROJETOS!G:G)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_xlfn.XLOOKUP(E2472,LD_PROJETOS!A:A,LD_PROJETOS!G:G)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_xlfn.XLOOKUP(E2473,LD_PROJETOS!A:A,LD_PROJETOS!G:G)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_xlfn.XLOOKUP(E2474,LD_PROJETOS!A:A,LD_PROJETOS!G:G)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_xlfn.XLOOKUP(E2475,LD_PROJETOS!A:A,LD_PROJETOS!G:G)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_xlfn.XLOOKUP(E2476,LD_PROJETOS!A:A,LD_PROJETOS!G:G)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_xlfn.XLOOKUP(E2477,LD_PROJETOS!A:A,LD_PROJETOS!G:G)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_xlfn.XLOOKUP(E2478,LD_PROJETOS!A:A,LD_PROJETOS!G:G)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_xlfn.XLOOKUP(E2479,LD_PROJETOS!A:A,LD_PROJETOS!G:G)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_xlfn.XLOOKUP(E2480,LD_PROJETOS!A:A,LD_PROJETOS!G:G)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_xlfn.XLOOKUP(E2481,LD_PROJETOS!A:A,LD_PROJETOS!G:G)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_xlfn.XLOOKUP(E2482,LD_PROJETOS!A:A,LD_PROJETOS!G:G)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_xlfn.XLOOKUP(E2483,LD_PROJETOS!A:A,LD_PROJETOS!G:G)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_xlfn.XLOOKUP(E2484,LD_PROJETOS!A:A,LD_PROJETOS!G:G)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_xlfn.XLOOKUP(E2485,LD_PROJETOS!A:A,LD_PROJETOS!G:G)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_xlfn.XLOOKUP(E2486,LD_PROJETOS!A:A,LD_PROJETOS!G:G)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_xlfn.XLOOKUP(E2487,LD_PROJETOS!A:A,LD_PROJETOS!G:G)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_xlfn.XLOOKUP(E2488,LD_PROJETOS!A:A,LD_PROJETOS!G:G)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_xlfn.XLOOKUP(E2489,LD_PROJETOS!A:A,LD_PROJETOS!G:G)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_xlfn.XLOOKUP(E2490,LD_PROJETOS!A:A,LD_PROJETOS!G:G)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_xlfn.XLOOKUP(E2491,LD_PROJETOS!A:A,LD_PROJETOS!G:G)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_xlfn.XLOOKUP(E2492,LD_PROJETOS!A:A,LD_PROJETOS!G:G)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_xlfn.XLOOKUP(E2493,LD_PROJETOS!A:A,LD_PROJETOS!G:G)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_xlfn.XLOOKUP(E2494,LD_PROJETOS!A:A,LD_PROJETOS!G:G)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_xlfn.XLOOKUP(E2495,LD_PROJETOS!A:A,LD_PROJETOS!G:G)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_xlfn.XLOOKUP(E2496,LD_PROJETOS!A:A,LD_PROJETOS!G:G)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_xlfn.XLOOKUP(E2497,LD_PROJETOS!A:A,LD_PROJETOS!G:G)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_xlfn.XLOOKUP(E2498,LD_PROJETOS!A:A,LD_PROJETOS!G:G)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_xlfn.XLOOKUP(E2499,LD_PROJETOS!A:A,LD_PROJETOS!G:G)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_xlfn.XLOOKUP(E2500,LD_PROJETOS!A:A,LD_PROJETOS!G:G)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_xlfn.XLOOKUP(E2501,LD_PROJETOS!A:A,LD_PROJETOS!G:G)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_xlfn.XLOOKUP(E2502,LD_PROJETOS!A:A,LD_PROJETOS!G:G)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_xlfn.XLOOKUP(E2503,LD_PROJETOS!A:A,LD_PROJETOS!G:G)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_xlfn.XLOOKUP(E2504,LD_PROJETOS!A:A,LD_PROJETOS!G:G)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_xlfn.XLOOKUP(E2505,LD_PROJETOS!A:A,LD_PROJETOS!G:G)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_xlfn.XLOOKUP(E2506,LD_PROJETOS!A:A,LD_PROJETOS!G:G)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_xlfn.XLOOKUP(E2507,LD_PROJETOS!A:A,LD_PROJETOS!G:G)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_xlfn.XLOOKUP(E2508,LD_PROJETOS!A:A,LD_PROJETOS!G:G)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_xlfn.XLOOKUP(E2509,LD_PROJETOS!A:A,LD_PROJETOS!G:G)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_xlfn.XLOOKUP(E2510,LD_PROJETOS!A:A,LD_PROJETOS!G:G)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_xlfn.XLOOKUP(E2511,LD_PROJETOS!A:A,LD_PROJETOS!G:G)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_xlfn.XLOOKUP(E2512,LD_PROJETOS!A:A,LD_PROJETOS!G:G)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_xlfn.XLOOKUP(E2513,LD_PROJETOS!A:A,LD_PROJETOS!G:G)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_xlfn.XLOOKUP(E2514,LD_PROJETOS!A:A,LD_PROJETOS!G:G)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_xlfn.XLOOKUP(E2515,LD_PROJETOS!A:A,LD_PROJETOS!G:G)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_xlfn.XLOOKUP(E2516,LD_PROJETOS!A:A,LD_PROJETOS!G:G)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_xlfn.XLOOKUP(E2517,LD_PROJETOS!A:A,LD_PROJETOS!G:G)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_xlfn.XLOOKUP(E2518,LD_PROJETOS!A:A,LD_PROJETOS!G:G)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_xlfn.XLOOKUP(E2519,LD_PROJETOS!A:A,LD_PROJETOS!G:G)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_xlfn.XLOOKUP(E2520,LD_PROJETOS!A:A,LD_PROJETOS!G:G)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_xlfn.XLOOKUP(E2521,LD_PROJETOS!A:A,LD_PROJETOS!G:G)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_xlfn.XLOOKUP(E2522,LD_PROJETOS!A:A,LD_PROJETOS!G:G)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_xlfn.XLOOKUP(E2523,LD_PROJETOS!A:A,LD_PROJETOS!G:G)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_xlfn.XLOOKUP(E2524,LD_PROJETOS!A:A,LD_PROJETOS!G:G)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_xlfn.XLOOKUP(E2525,LD_PROJETOS!A:A,LD_PROJETOS!G:G)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_xlfn.XLOOKUP(E2526,LD_PROJETOS!A:A,LD_PROJETOS!G:G)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_xlfn.XLOOKUP(E2527,LD_PROJETOS!A:A,LD_PROJETOS!G:G)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_xlfn.XLOOKUP(E2528,LD_PROJETOS!A:A,LD_PROJETOS!G:G)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_xlfn.XLOOKUP(E2529,LD_PROJETOS!A:A,LD_PROJETOS!G:G)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_xlfn.XLOOKUP(E2530,LD_PROJETOS!A:A,LD_PROJETOS!G:G)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_xlfn.XLOOKUP(E2531,LD_PROJETOS!A:A,LD_PROJETOS!G:G)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_xlfn.XLOOKUP(E2532,LD_PROJETOS!A:A,LD_PROJETOS!G:G)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_xlfn.XLOOKUP(E2533,LD_PROJETOS!A:A,LD_PROJETOS!G:G)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_xlfn.XLOOKUP(E2534,LD_PROJETOS!A:A,LD_PROJETOS!G:G)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_xlfn.XLOOKUP(E2535,LD_PROJETOS!A:A,LD_PROJETOS!G:G)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_xlfn.XLOOKUP(E2536,LD_PROJETOS!A:A,LD_PROJETOS!G:G)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_xlfn.XLOOKUP(E2537,LD_PROJETOS!A:A,LD_PROJETOS!G:G)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_xlfn.XLOOKUP(E2538,LD_PROJETOS!A:A,LD_PROJETOS!G:G)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_xlfn.XLOOKUP(E2539,LD_PROJETOS!A:A,LD_PROJETOS!G:G)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_xlfn.XLOOKUP(E2540,LD_PROJETOS!A:A,LD_PROJETOS!G:G)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_xlfn.XLOOKUP(E2541,LD_PROJETOS!A:A,LD_PROJETOS!G:G)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_xlfn.XLOOKUP(E2542,LD_PROJETOS!A:A,LD_PROJETOS!G:G)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_xlfn.XLOOKUP(E2543,LD_PROJETOS!A:A,LD_PROJETOS!G:G)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_xlfn.XLOOKUP(E2544,LD_PROJETOS!A:A,LD_PROJETOS!G:G)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_xlfn.XLOOKUP(E2545,LD_PROJETOS!A:A,LD_PROJETOS!G:G)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_xlfn.XLOOKUP(E2546,LD_PROJETOS!A:A,LD_PROJETOS!G:G)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_xlfn.XLOOKUP(E2547,LD_PROJETOS!A:A,LD_PROJETOS!G:G)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_xlfn.XLOOKUP(E2548,LD_PROJETOS!A:A,LD_PROJETOS!G:G)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_xlfn.XLOOKUP(E2549,LD_PROJETOS!A:A,LD_PROJETOS!G:G)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_xlfn.XLOOKUP(E2550,LD_PROJETOS!A:A,LD_PROJETOS!G:G)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_xlfn.XLOOKUP(E2551,LD_PROJETOS!A:A,LD_PROJETOS!G:G)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_xlfn.XLOOKUP(E2552,LD_PROJETOS!A:A,LD_PROJETOS!G:G)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_xlfn.XLOOKUP(E2553,LD_PROJETOS!A:A,LD_PROJETOS!G:G)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_xlfn.XLOOKUP(E2554,LD_PROJETOS!A:A,LD_PROJETOS!G:G)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_xlfn.XLOOKUP(E2555,LD_PROJETOS!A:A,LD_PROJETOS!G:G)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_xlfn.XLOOKUP(E2556,LD_PROJETOS!A:A,LD_PROJETOS!G:G)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_xlfn.XLOOKUP(E2557,LD_PROJETOS!A:A,LD_PROJETOS!G:G)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_xlfn.XLOOKUP(E2558,LD_PROJETOS!A:A,LD_PROJETOS!G:G)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_xlfn.XLOOKUP(E2559,LD_PROJETOS!A:A,LD_PROJETOS!G:G)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_xlfn.XLOOKUP(E2560,LD_PROJETOS!A:A,LD_PROJETOS!G:G)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_xlfn.XLOOKUP(E2561,LD_PROJETOS!A:A,LD_PROJETOS!G:G)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_xlfn.XLOOKUP(E2562,LD_PROJETOS!A:A,LD_PROJETOS!G:G)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_xlfn.XLOOKUP(E2563,LD_PROJETOS!A:A,LD_PROJETOS!G:G)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_xlfn.XLOOKUP(E2564,LD_PROJETOS!A:A,LD_PROJETOS!G:G)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_xlfn.XLOOKUP(E2565,LD_PROJETOS!A:A,LD_PROJETOS!G:G)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_xlfn.XLOOKUP(E2566,LD_PROJETOS!A:A,LD_PROJETOS!G:G)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_xlfn.XLOOKUP(E2567,LD_PROJETOS!A:A,LD_PROJETOS!G:G)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_xlfn.XLOOKUP(E2568,LD_PROJETOS!A:A,LD_PROJETOS!G:G)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_xlfn.XLOOKUP(E2569,LD_PROJETOS!A:A,LD_PROJETOS!G:G)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_xlfn.XLOOKUP(E2570,LD_PROJETOS!A:A,LD_PROJETOS!G:G)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_xlfn.XLOOKUP(E2571,LD_PROJETOS!A:A,LD_PROJETOS!G:G)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_xlfn.XLOOKUP(E2572,LD_PROJETOS!A:A,LD_PROJETOS!G:G)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_xlfn.XLOOKUP(E2573,LD_PROJETOS!A:A,LD_PROJETOS!G:G)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_xlfn.XLOOKUP(E2574,LD_PROJETOS!A:A,LD_PROJETOS!G:G)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_xlfn.XLOOKUP(E2575,LD_PROJETOS!A:A,LD_PROJETOS!G:G)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_xlfn.XLOOKUP(E2576,LD_PROJETOS!A:A,LD_PROJETOS!G:G)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_xlfn.XLOOKUP(E2577,LD_PROJETOS!A:A,LD_PROJETOS!G:G)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_xlfn.XLOOKUP(E2578,LD_PROJETOS!A:A,LD_PROJETOS!G:G)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_xlfn.XLOOKUP(E2579,LD_PROJETOS!A:A,LD_PROJETOS!G:G)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_xlfn.XLOOKUP(E2580,LD_PROJETOS!A:A,LD_PROJETOS!G:G)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_xlfn.XLOOKUP(E2581,LD_PROJETOS!A:A,LD_PROJETOS!G:G)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_xlfn.XLOOKUP(E2582,LD_PROJETOS!A:A,LD_PROJETOS!G:G)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_xlfn.XLOOKUP(E2583,LD_PROJETOS!A:A,LD_PROJETOS!G:G)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_xlfn.XLOOKUP(E2584,LD_PROJETOS!A:A,LD_PROJETOS!G:G)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_xlfn.XLOOKUP(E2585,LD_PROJETOS!A:A,LD_PROJETOS!G:G)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_xlfn.XLOOKUP(E2586,LD_PROJETOS!A:A,LD_PROJETOS!G:G)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_xlfn.XLOOKUP(E2587,LD_PROJETOS!A:A,LD_PROJETOS!G:G)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_xlfn.XLOOKUP(E2588,LD_PROJETOS!A:A,LD_PROJETOS!G:G)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_xlfn.XLOOKUP(E2589,LD_PROJETOS!A:A,LD_PROJETOS!G:G)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_xlfn.XLOOKUP(E2590,LD_PROJETOS!A:A,LD_PROJETOS!G:G)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_xlfn.XLOOKUP(E2591,LD_PROJETOS!A:A,LD_PROJETOS!G:G)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_xlfn.XLOOKUP(E2592,LD_PROJETOS!A:A,LD_PROJETOS!G:G)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_xlfn.XLOOKUP(E2593,LD_PROJETOS!A:A,LD_PROJETOS!G:G)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_xlfn.XLOOKUP(E2594,LD_PROJETOS!A:A,LD_PROJETOS!G:G)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_xlfn.XLOOKUP(E2595,LD_PROJETOS!A:A,LD_PROJETOS!G:G)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_xlfn.XLOOKUP(E2596,LD_PROJETOS!A:A,LD_PROJETOS!G:G)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_xlfn.XLOOKUP(E2597,LD_PROJETOS!A:A,LD_PROJETOS!G:G)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_xlfn.XLOOKUP(E2598,LD_PROJETOS!A:A,LD_PROJETOS!G:G)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_xlfn.XLOOKUP(E2599,LD_PROJETOS!A:A,LD_PROJETOS!G:G)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_xlfn.XLOOKUP(E2600,LD_PROJETOS!A:A,LD_PROJETOS!G:G)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_xlfn.XLOOKUP(E2601,LD_PROJETOS!A:A,LD_PROJETOS!G:G)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_xlfn.XLOOKUP(E2602,LD_PROJETOS!A:A,LD_PROJETOS!G:G)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_xlfn.XLOOKUP(E2603,LD_PROJETOS!A:A,LD_PROJETOS!G:G)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_xlfn.XLOOKUP(E2604,LD_PROJETOS!A:A,LD_PROJETOS!G:G)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_xlfn.XLOOKUP(E2605,LD_PROJETOS!A:A,LD_PROJETOS!G:G)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_xlfn.XLOOKUP(E2606,LD_PROJETOS!A:A,LD_PROJETOS!G:G)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_xlfn.XLOOKUP(E2607,LD_PROJETOS!A:A,LD_PROJETOS!G:G)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_xlfn.XLOOKUP(E2608,LD_PROJETOS!A:A,LD_PROJETOS!G:G)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_xlfn.XLOOKUP(E2609,LD_PROJETOS!A:A,LD_PROJETOS!G:G)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_xlfn.XLOOKUP(E2610,LD_PROJETOS!A:A,LD_PROJETOS!G:G)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_xlfn.XLOOKUP(E2611,LD_PROJETOS!A:A,LD_PROJETOS!G:G)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_xlfn.XLOOKUP(E2612,LD_PROJETOS!A:A,LD_PROJETOS!G:G)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_xlfn.XLOOKUP(E2613,LD_PROJETOS!A:A,LD_PROJETOS!G:G)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_xlfn.XLOOKUP(E2614,LD_PROJETOS!A:A,LD_PROJETOS!G:G)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_xlfn.XLOOKUP(E2615,LD_PROJETOS!A:A,LD_PROJETOS!G:G)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_xlfn.XLOOKUP(E2616,LD_PROJETOS!A:A,LD_PROJETOS!G:G)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_xlfn.XLOOKUP(E2617,LD_PROJETOS!A:A,LD_PROJETOS!G:G)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_xlfn.XLOOKUP(E2618,LD_PROJETOS!A:A,LD_PROJETOS!G:G)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_xlfn.XLOOKUP(E2619,LD_PROJETOS!A:A,LD_PROJETOS!G:G)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_xlfn.XLOOKUP(E2620,LD_PROJETOS!A:A,LD_PROJETOS!G:G)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_xlfn.XLOOKUP(E2621,LD_PROJETOS!A:A,LD_PROJETOS!G:G)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_xlfn.XLOOKUP(E2622,LD_PROJETOS!A:A,LD_PROJETOS!G:G)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_xlfn.XLOOKUP(E2623,LD_PROJETOS!A:A,LD_PROJETOS!G:G)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_xlfn.XLOOKUP(E2624,LD_PROJETOS!A:A,LD_PROJETOS!G:G)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_xlfn.XLOOKUP(E2625,LD_PROJETOS!A:A,LD_PROJETOS!G:G)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_xlfn.XLOOKUP(E2626,LD_PROJETOS!A:A,LD_PROJETOS!G:G)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_xlfn.XLOOKUP(E2627,LD_PROJETOS!A:A,LD_PROJETOS!G:G)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_xlfn.XLOOKUP(E2628,LD_PROJETOS!A:A,LD_PROJETOS!G:G)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_xlfn.XLOOKUP(E2629,LD_PROJETOS!A:A,LD_PROJETOS!G:G)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_xlfn.XLOOKUP(E2630,LD_PROJETOS!A:A,LD_PROJETOS!G:G)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_xlfn.XLOOKUP(E2631,LD_PROJETOS!A:A,LD_PROJETOS!G:G)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_xlfn.XLOOKUP(E2632,LD_PROJETOS!A:A,LD_PROJETOS!G:G)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_xlfn.XLOOKUP(E2633,LD_PROJETOS!A:A,LD_PROJETOS!G:G)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_xlfn.XLOOKUP(E2634,LD_PROJETOS!A:A,LD_PROJETOS!G:G)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_xlfn.XLOOKUP(E2635,LD_PROJETOS!A:A,LD_PROJETOS!G:G)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_xlfn.XLOOKUP(E2636,LD_PROJETOS!A:A,LD_PROJETOS!G:G)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_xlfn.XLOOKUP(E2637,LD_PROJETOS!A:A,LD_PROJETOS!G:G)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_xlfn.XLOOKUP(E2638,LD_PROJETOS!A:A,LD_PROJETOS!G:G)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_xlfn.XLOOKUP(E2639,LD_PROJETOS!A:A,LD_PROJETOS!G:G)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_xlfn.XLOOKUP(E2640,LD_PROJETOS!A:A,LD_PROJETOS!G:G)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_xlfn.XLOOKUP(E2641,LD_PROJETOS!A:A,LD_PROJETOS!G:G)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_xlfn.XLOOKUP(E2642,LD_PROJETOS!A:A,LD_PROJETOS!G:G)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_xlfn.XLOOKUP(E2643,LD_PROJETOS!A:A,LD_PROJETOS!G:G)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_xlfn.XLOOKUP(E2644,LD_PROJETOS!A:A,LD_PROJETOS!G:G)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_xlfn.XLOOKUP(E2645,LD_PROJETOS!A:A,LD_PROJETOS!G:G)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_xlfn.XLOOKUP(E2646,LD_PROJETOS!A:A,LD_PROJETOS!G:G)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_xlfn.XLOOKUP(E2647,LD_PROJETOS!A:A,LD_PROJETOS!G:G)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_xlfn.XLOOKUP(E2648,LD_PROJETOS!A:A,LD_PROJETOS!G:G)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_xlfn.XLOOKUP(E2649,LD_PROJETOS!A:A,LD_PROJETOS!G:G)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_xlfn.XLOOKUP(E2650,LD_PROJETOS!A:A,LD_PROJETOS!G:G)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_xlfn.XLOOKUP(E2651,LD_PROJETOS!A:A,LD_PROJETOS!G:G)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_xlfn.XLOOKUP(E2652,LD_PROJETOS!A:A,LD_PROJETOS!G:G)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_xlfn.XLOOKUP(E2653,LD_PROJETOS!A:A,LD_PROJETOS!G:G)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_xlfn.XLOOKUP(E2654,LD_PROJETOS!A:A,LD_PROJETOS!G:G)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_xlfn.XLOOKUP(E2655,LD_PROJETOS!A:A,LD_PROJETOS!G:G)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_xlfn.XLOOKUP(E2656,LD_PROJETOS!A:A,LD_PROJETOS!G:G)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_xlfn.XLOOKUP(E2657,LD_PROJETOS!A:A,LD_PROJETOS!G:G)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_xlfn.XLOOKUP(E2658,LD_PROJETOS!A:A,LD_PROJETOS!G:G)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_xlfn.XLOOKUP(E2659,LD_PROJETOS!A:A,LD_PROJETOS!G:G)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_xlfn.XLOOKUP(E2660,LD_PROJETOS!A:A,LD_PROJETOS!G:G)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_xlfn.XLOOKUP(E2661,LD_PROJETOS!A:A,LD_PROJETOS!G:G)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_xlfn.XLOOKUP(E2662,LD_PROJETOS!A:A,LD_PROJETOS!G:G)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_xlfn.XLOOKUP(E2663,LD_PROJETOS!A:A,LD_PROJETOS!G:G)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_xlfn.XLOOKUP(E2664,LD_PROJETOS!A:A,LD_PROJETOS!G:G)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_xlfn.XLOOKUP(E2665,LD_PROJETOS!A:A,LD_PROJETOS!G:G)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_xlfn.XLOOKUP(E2666,LD_PROJETOS!A:A,LD_PROJETOS!G:G)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_xlfn.XLOOKUP(E2667,LD_PROJETOS!A:A,LD_PROJETOS!G:G)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_xlfn.XLOOKUP(E2668,LD_PROJETOS!A:A,LD_PROJETOS!G:G)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_xlfn.XLOOKUP(E2669,LD_PROJETOS!A:A,LD_PROJETOS!G:G)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_xlfn.XLOOKUP(E2670,LD_PROJETOS!A:A,LD_PROJETOS!G:G)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_xlfn.XLOOKUP(E2671,LD_PROJETOS!A:A,LD_PROJETOS!G:G)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_xlfn.XLOOKUP(E2672,LD_PROJETOS!A:A,LD_PROJETOS!G:G)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_xlfn.XLOOKUP(E2673,LD_PROJETOS!A:A,LD_PROJETOS!G:G)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_xlfn.XLOOKUP(E2674,LD_PROJETOS!A:A,LD_PROJETOS!G:G)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_xlfn.XLOOKUP(E2675,LD_PROJETOS!A:A,LD_PROJETOS!G:G)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_xlfn.XLOOKUP(E2676,LD_PROJETOS!A:A,LD_PROJETOS!G:G)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_xlfn.XLOOKUP(E2677,LD_PROJETOS!A:A,LD_PROJETOS!G:G)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_xlfn.XLOOKUP(E2678,LD_PROJETOS!A:A,LD_PROJETOS!G:G)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_xlfn.XLOOKUP(E2679,LD_PROJETOS!A:A,LD_PROJETOS!G:G)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_xlfn.XLOOKUP(E2680,LD_PROJETOS!A:A,LD_PROJETOS!G:G)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_xlfn.XLOOKUP(E2681,LD_PROJETOS!A:A,LD_PROJETOS!G:G)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_xlfn.XLOOKUP(E2682,LD_PROJETOS!A:A,LD_PROJETOS!G:G)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_xlfn.XLOOKUP(E2683,LD_PROJETOS!A:A,LD_PROJETOS!G:G)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_xlfn.XLOOKUP(E2684,LD_PROJETOS!A:A,LD_PROJETOS!G:G)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_xlfn.XLOOKUP(E2685,LD_PROJETOS!A:A,LD_PROJETOS!G:G)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_xlfn.XLOOKUP(E2686,LD_PROJETOS!A:A,LD_PROJETOS!G:G)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_xlfn.XLOOKUP(E2687,LD_PROJETOS!A:A,LD_PROJETOS!G:G)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_xlfn.XLOOKUP(E2688,LD_PROJETOS!A:A,LD_PROJETOS!G:G)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_xlfn.XLOOKUP(E2689,LD_PROJETOS!A:A,LD_PROJETOS!G:G)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_xlfn.XLOOKUP(E2690,LD_PROJETOS!A:A,LD_PROJETOS!G:G)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_xlfn.XLOOKUP(E2691,LD_PROJETOS!A:A,LD_PROJETOS!G:G)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_xlfn.XLOOKUP(E2692,LD_PROJETOS!A:A,LD_PROJETOS!G:G)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_xlfn.XLOOKUP(E2693,LD_PROJETOS!A:A,LD_PROJETOS!G:G)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_xlfn.XLOOKUP(E2694,LD_PROJETOS!A:A,LD_PROJETOS!G:G)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_xlfn.XLOOKUP(E2695,LD_PROJETOS!A:A,LD_PROJETOS!G:G)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_xlfn.XLOOKUP(E2696,LD_PROJETOS!A:A,LD_PROJETOS!G:G)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_xlfn.XLOOKUP(E2697,LD_PROJETOS!A:A,LD_PROJETOS!G:G)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_xlfn.XLOOKUP(E2698,LD_PROJETOS!A:A,LD_PROJETOS!G:G)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_xlfn.XLOOKUP(E2699,LD_PROJETOS!A:A,LD_PROJETOS!G:G)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_xlfn.XLOOKUP(E2700,LD_PROJETOS!A:A,LD_PROJETOS!G:G)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_xlfn.XLOOKUP(E2701,LD_PROJETOS!A:A,LD_PROJETOS!G:G)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_xlfn.XLOOKUP(E2702,LD_PROJETOS!A:A,LD_PROJETOS!G:G)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_xlfn.XLOOKUP(E2703,LD_PROJETOS!A:A,LD_PROJETOS!G:G)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_xlfn.XLOOKUP(E2704,LD_PROJETOS!A:A,LD_PROJETOS!G:G)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_xlfn.XLOOKUP(E2705,LD_PROJETOS!A:A,LD_PROJETOS!G:G)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_xlfn.XLOOKUP(E2706,LD_PROJETOS!A:A,LD_PROJETOS!G:G)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_xlfn.XLOOKUP(E2707,LD_PROJETOS!A:A,LD_PROJETOS!G:G)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_xlfn.XLOOKUP(E2708,LD_PROJETOS!A:A,LD_PROJETOS!G:G)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_xlfn.XLOOKUP(E2709,LD_PROJETOS!A:A,LD_PROJETOS!G:G)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_xlfn.XLOOKUP(E2710,LD_PROJETOS!A:A,LD_PROJETOS!G:G)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_xlfn.XLOOKUP(E2711,LD_PROJETOS!A:A,LD_PROJETOS!G:G)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_xlfn.XLOOKUP(E2712,LD_PROJETOS!A:A,LD_PROJETOS!G:G)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_xlfn.XLOOKUP(E2713,LD_PROJETOS!A:A,LD_PROJETOS!G:G)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_xlfn.XLOOKUP(E2714,LD_PROJETOS!A:A,LD_PROJETOS!G:G)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_xlfn.XLOOKUP(E2715,LD_PROJETOS!A:A,LD_PROJETOS!G:G)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_xlfn.XLOOKUP(E2716,LD_PROJETOS!A:A,LD_PROJETOS!G:G)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_xlfn.XLOOKUP(E2717,LD_PROJETOS!A:A,LD_PROJETOS!G:G)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_xlfn.XLOOKUP(E2718,LD_PROJETOS!A:A,LD_PROJETOS!G:G)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_xlfn.XLOOKUP(E2719,LD_PROJETOS!A:A,LD_PROJETOS!G:G)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_xlfn.XLOOKUP(E2720,LD_PROJETOS!A:A,LD_PROJETOS!G:G)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_xlfn.XLOOKUP(E2721,LD_PROJETOS!A:A,LD_PROJETOS!G:G)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_xlfn.XLOOKUP(E2722,LD_PROJETOS!A:A,LD_PROJETOS!G:G)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_xlfn.XLOOKUP(E2723,LD_PROJETOS!A:A,LD_PROJETOS!G:G)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_xlfn.XLOOKUP(E2724,LD_PROJETOS!A:A,LD_PROJETOS!G:G)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_xlfn.XLOOKUP(E2725,LD_PROJETOS!A:A,LD_PROJETOS!G:G)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_xlfn.XLOOKUP(E2726,LD_PROJETOS!A:A,LD_PROJETOS!G:G)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_xlfn.XLOOKUP(E2727,LD_PROJETOS!A:A,LD_PROJETOS!G:G)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_xlfn.XLOOKUP(E2728,LD_PROJETOS!A:A,LD_PROJETOS!G:G)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_xlfn.XLOOKUP(E2729,LD_PROJETOS!A:A,LD_PROJETOS!G:G)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_xlfn.XLOOKUP(E2730,LD_PROJETOS!A:A,LD_PROJETOS!G:G)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_xlfn.XLOOKUP(E2731,LD_PROJETOS!A:A,LD_PROJETOS!G:G)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_xlfn.XLOOKUP(E2732,LD_PROJETOS!A:A,LD_PROJETOS!G:G)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_xlfn.XLOOKUP(E2733,LD_PROJETOS!A:A,LD_PROJETOS!G:G)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_xlfn.XLOOKUP(E2734,LD_PROJETOS!A:A,LD_PROJETOS!G:G)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_xlfn.XLOOKUP(E2735,LD_PROJETOS!A:A,LD_PROJETOS!G:G)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_xlfn.XLOOKUP(E2736,LD_PROJETOS!A:A,LD_PROJETOS!G:G)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_xlfn.XLOOKUP(E2737,LD_PROJETOS!A:A,LD_PROJETOS!G:G)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_xlfn.XLOOKUP(E2738,LD_PROJETOS!A:A,LD_PROJETOS!G:G)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_xlfn.XLOOKUP(E2739,LD_PROJETOS!A:A,LD_PROJETOS!G:G)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_xlfn.XLOOKUP(E2740,LD_PROJETOS!A:A,LD_PROJETOS!G:G)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_xlfn.XLOOKUP(E2741,LD_PROJETOS!A:A,LD_PROJETOS!G:G)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_xlfn.XLOOKUP(E2742,LD_PROJETOS!A:A,LD_PROJETOS!G:G)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_xlfn.XLOOKUP(E2743,LD_PROJETOS!A:A,LD_PROJETOS!G:G)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_xlfn.XLOOKUP(E2744,LD_PROJETOS!A:A,LD_PROJETOS!G:G)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_xlfn.XLOOKUP(E2745,LD_PROJETOS!A:A,LD_PROJETOS!G:G)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_xlfn.XLOOKUP(E2746,LD_PROJETOS!A:A,LD_PROJETOS!G:G)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_xlfn.XLOOKUP(E2747,LD_PROJETOS!A:A,LD_PROJETOS!G:G)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_xlfn.XLOOKUP(E2748,LD_PROJETOS!A:A,LD_PROJETOS!G:G)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_xlfn.XLOOKUP(E2749,LD_PROJETOS!A:A,LD_PROJETOS!G:G)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_xlfn.XLOOKUP(E2750,LD_PROJETOS!A:A,LD_PROJETOS!G:G)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_xlfn.XLOOKUP(E2751,LD_PROJETOS!A:A,LD_PROJETOS!G:G)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_xlfn.XLOOKUP(E2752,LD_PROJETOS!A:A,LD_PROJETOS!G:G)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_xlfn.XLOOKUP(E2753,LD_PROJETOS!A:A,LD_PROJETOS!G:G)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_xlfn.XLOOKUP(E2754,LD_PROJETOS!A:A,LD_PROJETOS!G:G)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_xlfn.XLOOKUP(E2755,LD_PROJETOS!A:A,LD_PROJETOS!G:G)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_xlfn.XLOOKUP(E2756,LD_PROJETOS!A:A,LD_PROJETOS!G:G)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_xlfn.XLOOKUP(E2757,LD_PROJETOS!A:A,LD_PROJETOS!G:G)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_xlfn.XLOOKUP(E2758,LD_PROJETOS!A:A,LD_PROJETOS!G:G)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_xlfn.XLOOKUP(E2759,LD_PROJETOS!A:A,LD_PROJETOS!G:G)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_xlfn.XLOOKUP(E2760,LD_PROJETOS!A:A,LD_PROJETOS!G:G)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_xlfn.XLOOKUP(E2761,LD_PROJETOS!A:A,LD_PROJETOS!G:G)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_xlfn.XLOOKUP(E2762,LD_PROJETOS!A:A,LD_PROJETOS!G:G)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_xlfn.XLOOKUP(E2763,LD_PROJETOS!A:A,LD_PROJETOS!G:G)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_xlfn.XLOOKUP(E2764,LD_PROJETOS!A:A,LD_PROJETOS!G:G)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_xlfn.XLOOKUP(E2765,LD_PROJETOS!A:A,LD_PROJETOS!G:G)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_xlfn.XLOOKUP(E2766,LD_PROJETOS!A:A,LD_PROJETOS!G:G)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_xlfn.XLOOKUP(E2767,LD_PROJETOS!A:A,LD_PROJETOS!G:G)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_xlfn.XLOOKUP(E2768,LD_PROJETOS!A:A,LD_PROJETOS!G:G)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_xlfn.XLOOKUP(E2769,LD_PROJETOS!A:A,LD_PROJETOS!G:G)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_xlfn.XLOOKUP(E2770,LD_PROJETOS!A:A,LD_PROJETOS!G:G)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_xlfn.XLOOKUP(E2771,LD_PROJETOS!A:A,LD_PROJETOS!G:G)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_xlfn.XLOOKUP(E2772,LD_PROJETOS!A:A,LD_PROJETOS!G:G)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_xlfn.XLOOKUP(E2773,LD_PROJETOS!A:A,LD_PROJETOS!G:G)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_xlfn.XLOOKUP(E2774,LD_PROJETOS!A:A,LD_PROJETOS!G:G)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_xlfn.XLOOKUP(E2775,LD_PROJETOS!A:A,LD_PROJETOS!G:G)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_xlfn.XLOOKUP(E2776,LD_PROJETOS!A:A,LD_PROJETOS!G:G)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_xlfn.XLOOKUP(E2777,LD_PROJETOS!A:A,LD_PROJETOS!G:G)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_xlfn.XLOOKUP(E2778,LD_PROJETOS!A:A,LD_PROJETOS!G:G)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_xlfn.XLOOKUP(E2779,LD_PROJETOS!A:A,LD_PROJETOS!G:G)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_xlfn.XLOOKUP(E2780,LD_PROJETOS!A:A,LD_PROJETOS!G:G)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_xlfn.XLOOKUP(E2781,LD_PROJETOS!A:A,LD_PROJETOS!G:G)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_xlfn.XLOOKUP(E2782,LD_PROJETOS!A:A,LD_PROJETOS!G:G)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_xlfn.XLOOKUP(E2783,LD_PROJETOS!A:A,LD_PROJETOS!G:G)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_xlfn.XLOOKUP(E2784,LD_PROJETOS!A:A,LD_PROJETOS!G:G)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_xlfn.XLOOKUP(E2785,LD_PROJETOS!A:A,LD_PROJETOS!G:G)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_xlfn.XLOOKUP(E2786,LD_PROJETOS!A:A,LD_PROJETOS!G:G)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_xlfn.XLOOKUP(E2787,LD_PROJETOS!A:A,LD_PROJETOS!G:G)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_xlfn.XLOOKUP(E2788,LD_PROJETOS!A:A,LD_PROJETOS!G:G)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_xlfn.XLOOKUP(E2789,LD_PROJETOS!A:A,LD_PROJETOS!G:G)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_xlfn.XLOOKUP(E2790,LD_PROJETOS!A:A,LD_PROJETOS!G:G)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_xlfn.XLOOKUP(E2791,LD_PROJETOS!A:A,LD_PROJETOS!G:G)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_xlfn.XLOOKUP(E2792,LD_PROJETOS!A:A,LD_PROJETOS!G:G)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_xlfn.XLOOKUP(E2793,LD_PROJETOS!A:A,LD_PROJETOS!G:G)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_xlfn.XLOOKUP(E2794,LD_PROJETOS!A:A,LD_PROJETOS!G:G)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_xlfn.XLOOKUP(E2795,LD_PROJETOS!A:A,LD_PROJETOS!G:G)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_xlfn.XLOOKUP(E2796,LD_PROJETOS!A:A,LD_PROJETOS!G:G)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_xlfn.XLOOKUP(E2797,LD_PROJETOS!A:A,LD_PROJETOS!G:G)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_xlfn.XLOOKUP(E2798,LD_PROJETOS!A:A,LD_PROJETOS!G:G)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_xlfn.XLOOKUP(E2799,LD_PROJETOS!A:A,LD_PROJETOS!G:G)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_xlfn.XLOOKUP(E2800,LD_PROJETOS!A:A,LD_PROJETOS!G:G)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_xlfn.XLOOKUP(E2801,LD_PROJETOS!A:A,LD_PROJETOS!G:G)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_xlfn.XLOOKUP(E2802,LD_PROJETOS!A:A,LD_PROJETOS!G:G)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_xlfn.XLOOKUP(E2803,LD_PROJETOS!A:A,LD_PROJETOS!G:G)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_xlfn.XLOOKUP(E2804,LD_PROJETOS!A:A,LD_PROJETOS!G:G)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_xlfn.XLOOKUP(E2805,LD_PROJETOS!A:A,LD_PROJETOS!G:G)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_xlfn.XLOOKUP(E2806,LD_PROJETOS!A:A,LD_PROJETOS!G:G)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_xlfn.XLOOKUP(E2807,LD_PROJETOS!A:A,LD_PROJETOS!G:G)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_xlfn.XLOOKUP(E2808,LD_PROJETOS!A:A,LD_PROJETOS!G:G)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_xlfn.XLOOKUP(E2809,LD_PROJETOS!A:A,LD_PROJETOS!G:G)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_xlfn.XLOOKUP(E2810,LD_PROJETOS!A:A,LD_PROJETOS!G:G)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_xlfn.XLOOKUP(E2811,LD_PROJETOS!A:A,LD_PROJETOS!G:G)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_xlfn.XLOOKUP(E2812,LD_PROJETOS!A:A,LD_PROJETOS!G:G)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_xlfn.XLOOKUP(E2813,LD_PROJETOS!A:A,LD_PROJETOS!G:G)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_xlfn.XLOOKUP(E2814,LD_PROJETOS!A:A,LD_PROJETOS!G:G)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_xlfn.XLOOKUP(E2815,LD_PROJETOS!A:A,LD_PROJETOS!G:G)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_xlfn.XLOOKUP(E2816,LD_PROJETOS!A:A,LD_PROJETOS!G:G)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_xlfn.XLOOKUP(E2817,LD_PROJETOS!A:A,LD_PROJETOS!G:G)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_xlfn.XLOOKUP(E2818,LD_PROJETOS!A:A,LD_PROJETOS!G:G)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_xlfn.XLOOKUP(E2819,LD_PROJETOS!A:A,LD_PROJETOS!G:G)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_xlfn.XLOOKUP(E2820,LD_PROJETOS!A:A,LD_PROJETOS!G:G)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_xlfn.XLOOKUP(E2821,LD_PROJETOS!A:A,LD_PROJETOS!G:G)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_xlfn.XLOOKUP(E2822,LD_PROJETOS!A:A,LD_PROJETOS!G:G)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_xlfn.XLOOKUP(E2823,LD_PROJETOS!A:A,LD_PROJETOS!G:G)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_xlfn.XLOOKUP(E2824,LD_PROJETOS!A:A,LD_PROJETOS!G:G)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_xlfn.XLOOKUP(E2825,LD_PROJETOS!A:A,LD_PROJETOS!G:G)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_xlfn.XLOOKUP(E2826,LD_PROJETOS!A:A,LD_PROJETOS!G:G)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_xlfn.XLOOKUP(E2827,LD_PROJETOS!A:A,LD_PROJETOS!G:G)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_xlfn.XLOOKUP(E2828,LD_PROJETOS!A:A,LD_PROJETOS!G:G)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_xlfn.XLOOKUP(E2829,LD_PROJETOS!A:A,LD_PROJETOS!G:G)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_xlfn.XLOOKUP(E2830,LD_PROJETOS!A:A,LD_PROJETOS!G:G)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_xlfn.XLOOKUP(E2831,LD_PROJETOS!A:A,LD_PROJETOS!G:G)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_xlfn.XLOOKUP(E2832,LD_PROJETOS!A:A,LD_PROJETOS!G:G)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_xlfn.XLOOKUP(E2833,LD_PROJETOS!A:A,LD_PROJETOS!G:G)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_xlfn.XLOOKUP(E2834,LD_PROJETOS!A:A,LD_PROJETOS!G:G)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_xlfn.XLOOKUP(E2835,LD_PROJETOS!A:A,LD_PROJETOS!G:G)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_xlfn.XLOOKUP(E2836,LD_PROJETOS!A:A,LD_PROJETOS!G:G)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_xlfn.XLOOKUP(E2837,LD_PROJETOS!A:A,LD_PROJETOS!G:G)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_xlfn.XLOOKUP(E2838,LD_PROJETOS!A:A,LD_PROJETOS!G:G)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_xlfn.XLOOKUP(E2839,LD_PROJETOS!A:A,LD_PROJETOS!G:G)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_xlfn.XLOOKUP(E2840,LD_PROJETOS!A:A,LD_PROJETOS!G:G)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_xlfn.XLOOKUP(E2841,LD_PROJETOS!A:A,LD_PROJETOS!G:G)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_xlfn.XLOOKUP(E2842,LD_PROJETOS!A:A,LD_PROJETOS!G:G)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_xlfn.XLOOKUP(E2843,LD_PROJETOS!A:A,LD_PROJETOS!G:G)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_xlfn.XLOOKUP(E2844,LD_PROJETOS!A:A,LD_PROJETOS!G:G)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_xlfn.XLOOKUP(E2845,LD_PROJETOS!A:A,LD_PROJETOS!G:G)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_xlfn.XLOOKUP(E2846,LD_PROJETOS!A:A,LD_PROJETOS!G:G)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_xlfn.XLOOKUP(E2847,LD_PROJETOS!A:A,LD_PROJETOS!G:G)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_xlfn.XLOOKUP(E2848,LD_PROJETOS!A:A,LD_PROJETOS!G:G)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_xlfn.XLOOKUP(E2849,LD_PROJETOS!A:A,LD_PROJETOS!G:G)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_xlfn.XLOOKUP(E2850,LD_PROJETOS!A:A,LD_PROJETOS!G:G)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_xlfn.XLOOKUP(E2851,LD_PROJETOS!A:A,LD_PROJETOS!G:G)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_xlfn.XLOOKUP(E2852,LD_PROJETOS!A:A,LD_PROJETOS!G:G)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_xlfn.XLOOKUP(E2853,LD_PROJETOS!A:A,LD_PROJETOS!G:G)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_xlfn.XLOOKUP(E2854,LD_PROJETOS!A:A,LD_PROJETOS!G:G)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_xlfn.XLOOKUP(E2855,LD_PROJETOS!A:A,LD_PROJETOS!G:G)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_xlfn.XLOOKUP(E2856,LD_PROJETOS!A:A,LD_PROJETOS!G:G)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_xlfn.XLOOKUP(E2857,LD_PROJETOS!A:A,LD_PROJETOS!G:G)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_xlfn.XLOOKUP(E2858,LD_PROJETOS!A:A,LD_PROJETOS!G:G)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_xlfn.XLOOKUP(E2859,LD_PROJETOS!A:A,LD_PROJETOS!G:G)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_xlfn.XLOOKUP(E2860,LD_PROJETOS!A:A,LD_PROJETOS!G:G)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_xlfn.XLOOKUP(E2861,LD_PROJETOS!A:A,LD_PROJETOS!G:G)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_xlfn.XLOOKUP(E2862,LD_PROJETOS!A:A,LD_PROJETOS!G:G)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_xlfn.XLOOKUP(E2863,LD_PROJETOS!A:A,LD_PROJETOS!G:G)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_xlfn.XLOOKUP(E2864,LD_PROJETOS!A:A,LD_PROJETOS!G:G)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_xlfn.XLOOKUP(E2865,LD_PROJETOS!A:A,LD_PROJETOS!G:G)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_xlfn.XLOOKUP(E2866,LD_PROJETOS!A:A,LD_PROJETOS!G:G)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_xlfn.XLOOKUP(E2867,LD_PROJETOS!A:A,LD_PROJETOS!G:G)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_xlfn.XLOOKUP(E2868,LD_PROJETOS!A:A,LD_PROJETOS!G:G)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_xlfn.XLOOKUP(E2869,LD_PROJETOS!A:A,LD_PROJETOS!G:G)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_xlfn.XLOOKUP(E2870,LD_PROJETOS!A:A,LD_PROJETOS!G:G)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_xlfn.XLOOKUP(E2871,LD_PROJETOS!A:A,LD_PROJETOS!G:G)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_xlfn.XLOOKUP(E2872,LD_PROJETOS!A:A,LD_PROJETOS!G:G)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_xlfn.XLOOKUP(E2873,LD_PROJETOS!A:A,LD_PROJETOS!G:G)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_xlfn.XLOOKUP(E2874,LD_PROJETOS!A:A,LD_PROJETOS!G:G)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_xlfn.XLOOKUP(E2875,LD_PROJETOS!A:A,LD_PROJETOS!G:G)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_xlfn.XLOOKUP(E2876,LD_PROJETOS!A:A,LD_PROJETOS!G:G)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_xlfn.XLOOKUP(E2877,LD_PROJETOS!A:A,LD_PROJETOS!G:G)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_xlfn.XLOOKUP(E2878,LD_PROJETOS!A:A,LD_PROJETOS!G:G)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_xlfn.XLOOKUP(E2879,LD_PROJETOS!A:A,LD_PROJETOS!G:G)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_xlfn.XLOOKUP(E2880,LD_PROJETOS!A:A,LD_PROJETOS!G:G)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_xlfn.XLOOKUP(E2881,LD_PROJETOS!A:A,LD_PROJETOS!G:G)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_xlfn.XLOOKUP(E2882,LD_PROJETOS!A:A,LD_PROJETOS!G:G)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_xlfn.XLOOKUP(E2883,LD_PROJETOS!A:A,LD_PROJETOS!G:G)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_xlfn.XLOOKUP(E2884,LD_PROJETOS!A:A,LD_PROJETOS!G:G)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_xlfn.XLOOKUP(E2885,LD_PROJETOS!A:A,LD_PROJETOS!G:G)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_xlfn.XLOOKUP(E2886,LD_PROJETOS!A:A,LD_PROJETOS!G:G)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_xlfn.XLOOKUP(E2887,LD_PROJETOS!A:A,LD_PROJETOS!G:G)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_xlfn.XLOOKUP(E2888,LD_PROJETOS!A:A,LD_PROJETOS!G:G)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_xlfn.XLOOKUP(E2889,LD_PROJETOS!A:A,LD_PROJETOS!G:G)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_xlfn.XLOOKUP(E2890,LD_PROJETOS!A:A,LD_PROJETOS!G:G)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_xlfn.XLOOKUP(E2891,LD_PROJETOS!A:A,LD_PROJETOS!G:G)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_xlfn.XLOOKUP(E2892,LD_PROJETOS!A:A,LD_PROJETOS!G:G)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_xlfn.XLOOKUP(E2893,LD_PROJETOS!A:A,LD_PROJETOS!G:G)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_xlfn.XLOOKUP(E2894,LD_PROJETOS!A:A,LD_PROJETOS!G:G)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_xlfn.XLOOKUP(E2895,LD_PROJETOS!A:A,LD_PROJETOS!G:G)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_xlfn.XLOOKUP(E2896,LD_PROJETOS!A:A,LD_PROJETOS!G:G)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_xlfn.XLOOKUP(E2897,LD_PROJETOS!A:A,LD_PROJETOS!G:G)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_xlfn.XLOOKUP(E2898,LD_PROJETOS!A:A,LD_PROJETOS!G:G)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_xlfn.XLOOKUP(E2899,LD_PROJETOS!A:A,LD_PROJETOS!G:G)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_xlfn.XLOOKUP(E2900,LD_PROJETOS!A:A,LD_PROJETOS!G:G)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_xlfn.XLOOKUP(E2901,LD_PROJETOS!A:A,LD_PROJETOS!G:G)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_xlfn.XLOOKUP(E2902,LD_PROJETOS!A:A,LD_PROJETOS!G:G)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_xlfn.XLOOKUP(E2903,LD_PROJETOS!A:A,LD_PROJETOS!G:G)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_xlfn.XLOOKUP(E2904,LD_PROJETOS!A:A,LD_PROJETOS!G:G)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_xlfn.XLOOKUP(E2905,LD_PROJETOS!A:A,LD_PROJETOS!G:G)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_xlfn.XLOOKUP(E2906,LD_PROJETOS!A:A,LD_PROJETOS!G:G)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_xlfn.XLOOKUP(E2907,LD_PROJETOS!A:A,LD_PROJETOS!G:G)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_xlfn.XLOOKUP(E2908,LD_PROJETOS!A:A,LD_PROJETOS!G:G)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_xlfn.XLOOKUP(E2909,LD_PROJETOS!A:A,LD_PROJETOS!G:G)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_xlfn.XLOOKUP(E2910,LD_PROJETOS!A:A,LD_PROJETOS!G:G)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_xlfn.XLOOKUP(E2911,LD_PROJETOS!A:A,LD_PROJETOS!G:G)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_xlfn.XLOOKUP(E2912,LD_PROJETOS!A:A,LD_PROJETOS!G:G)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_xlfn.XLOOKUP(E2913,LD_PROJETOS!A:A,LD_PROJETOS!G:G)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_xlfn.XLOOKUP(E2914,LD_PROJETOS!A:A,LD_PROJETOS!G:G)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_xlfn.XLOOKUP(E2915,LD_PROJETOS!A:A,LD_PROJETOS!G:G)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_xlfn.XLOOKUP(E2916,LD_PROJETOS!A:A,LD_PROJETOS!G:G)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_xlfn.XLOOKUP(E2917,LD_PROJETOS!A:A,LD_PROJETOS!G:G)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_xlfn.XLOOKUP(E2918,LD_PROJETOS!A:A,LD_PROJETOS!G:G)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_xlfn.XLOOKUP(E2919,LD_PROJETOS!A:A,LD_PROJETOS!G:G)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_xlfn.XLOOKUP(E2920,LD_PROJETOS!A:A,LD_PROJETOS!G:G)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_xlfn.XLOOKUP(E2921,LD_PROJETOS!A:A,LD_PROJETOS!G:G)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_xlfn.XLOOKUP(E2922,LD_PROJETOS!A:A,LD_PROJETOS!G:G)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_xlfn.XLOOKUP(E2923,LD_PROJETOS!A:A,LD_PROJETOS!G:G)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_xlfn.XLOOKUP(E2924,LD_PROJETOS!A:A,LD_PROJETOS!G:G)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_xlfn.XLOOKUP(E2925,LD_PROJETOS!A:A,LD_PROJETOS!G:G)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_xlfn.XLOOKUP(E2926,LD_PROJETOS!A:A,LD_PROJETOS!G:G)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_xlfn.XLOOKUP(E2927,LD_PROJETOS!A:A,LD_PROJETOS!G:G)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_xlfn.XLOOKUP(E2928,LD_PROJETOS!A:A,LD_PROJETOS!G:G)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_xlfn.XLOOKUP(E2929,LD_PROJETOS!A:A,LD_PROJETOS!G:G)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_xlfn.XLOOKUP(E2930,LD_PROJETOS!A:A,LD_PROJETOS!G:G)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_xlfn.XLOOKUP(E2931,LD_PROJETOS!A:A,LD_PROJETOS!G:G)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_xlfn.XLOOKUP(E2932,LD_PROJETOS!A:A,LD_PROJETOS!G:G)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_xlfn.XLOOKUP(E2933,LD_PROJETOS!A:A,LD_PROJETOS!G:G)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_xlfn.XLOOKUP(E2934,LD_PROJETOS!A:A,LD_PROJETOS!G:G)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_xlfn.XLOOKUP(E2935,LD_PROJETOS!A:A,LD_PROJETOS!G:G)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_xlfn.XLOOKUP(E2936,LD_PROJETOS!A:A,LD_PROJETOS!G:G)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_xlfn.XLOOKUP(E2937,LD_PROJETOS!A:A,LD_PROJETOS!G:G)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_xlfn.XLOOKUP(E2938,LD_PROJETOS!A:A,LD_PROJETOS!G:G)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_xlfn.XLOOKUP(E2939,LD_PROJETOS!A:A,LD_PROJETOS!G:G)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_xlfn.XLOOKUP(E2940,LD_PROJETOS!A:A,LD_PROJETOS!G:G)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_xlfn.XLOOKUP(E2941,LD_PROJETOS!A:A,LD_PROJETOS!G:G)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_xlfn.XLOOKUP(E2942,LD_PROJETOS!A:A,LD_PROJETOS!G:G)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_xlfn.XLOOKUP(E2943,LD_PROJETOS!A:A,LD_PROJETOS!G:G)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_xlfn.XLOOKUP(E2944,LD_PROJETOS!A:A,LD_PROJETOS!G:G)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_xlfn.XLOOKUP(E2945,LD_PROJETOS!A:A,LD_PROJETOS!G:G)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_xlfn.XLOOKUP(E2946,LD_PROJETOS!A:A,LD_PROJETOS!G:G)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_xlfn.XLOOKUP(E2947,LD_PROJETOS!A:A,LD_PROJETOS!G:G)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_xlfn.XLOOKUP(E2948,LD_PROJETOS!A:A,LD_PROJETOS!G:G)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_xlfn.XLOOKUP(E2949,LD_PROJETOS!A:A,LD_PROJETOS!G:G)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_xlfn.XLOOKUP(E2950,LD_PROJETOS!A:A,LD_PROJETOS!G:G)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_xlfn.XLOOKUP(E2951,LD_PROJETOS!A:A,LD_PROJETOS!G:G)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_xlfn.XLOOKUP(E2952,LD_PROJETOS!A:A,LD_PROJETOS!G:G)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_xlfn.XLOOKUP(E2953,LD_PROJETOS!A:A,LD_PROJETOS!G:G)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_xlfn.XLOOKUP(E2954,LD_PROJETOS!A:A,LD_PROJETOS!G:G)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_xlfn.XLOOKUP(E2955,LD_PROJETOS!A:A,LD_PROJETOS!G:G)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_xlfn.XLOOKUP(E2956,LD_PROJETOS!A:A,LD_PROJETOS!G:G)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_xlfn.XLOOKUP(E2957,LD_PROJETOS!A:A,LD_PROJETOS!G:G)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_xlfn.XLOOKUP(E2958,LD_PROJETOS!A:A,LD_PROJETOS!G:G)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_xlfn.XLOOKUP(E2959,LD_PROJETOS!A:A,LD_PROJETOS!G:G)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_xlfn.XLOOKUP(E2960,LD_PROJETOS!A:A,LD_PROJETOS!G:G)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_xlfn.XLOOKUP(E2961,LD_PROJETOS!A:A,LD_PROJETOS!G:G)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_xlfn.XLOOKUP(E2962,LD_PROJETOS!A:A,LD_PROJETOS!G:G)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_xlfn.XLOOKUP(E2963,LD_PROJETOS!A:A,LD_PROJETOS!G:G)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_xlfn.XLOOKUP(E2964,LD_PROJETOS!A:A,LD_PROJETOS!G:G)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_xlfn.XLOOKUP(E2965,LD_PROJETOS!A:A,LD_PROJETOS!G:G)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_xlfn.XLOOKUP(E2966,LD_PROJETOS!A:A,LD_PROJETOS!G:G)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_xlfn.XLOOKUP(E2967,LD_PROJETOS!A:A,LD_PROJETOS!G:G)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_xlfn.XLOOKUP(E2968,LD_PROJETOS!A:A,LD_PROJETOS!G:G)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_xlfn.XLOOKUP(E2969,LD_PROJETOS!A:A,LD_PROJETOS!G:G)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_xlfn.XLOOKUP(E2970,LD_PROJETOS!A:A,LD_PROJETOS!G:G)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_xlfn.XLOOKUP(E2971,LD_PROJETOS!A:A,LD_PROJETOS!G:G)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_xlfn.XLOOKUP(E2972,LD_PROJETOS!A:A,LD_PROJETOS!G:G)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_xlfn.XLOOKUP(E2973,LD_PROJETOS!A:A,LD_PROJETOS!G:G)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_xlfn.XLOOKUP(E2974,LD_PROJETOS!A:A,LD_PROJETOS!G:G)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_xlfn.XLOOKUP(E2975,LD_PROJETOS!A:A,LD_PROJETOS!G:G)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_xlfn.XLOOKUP(E2976,LD_PROJETOS!A:A,LD_PROJETOS!G:G)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_xlfn.XLOOKUP(E2977,LD_PROJETOS!A:A,LD_PROJETOS!G:G)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_xlfn.XLOOKUP(E2978,LD_PROJETOS!A:A,LD_PROJETOS!G:G)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_xlfn.XLOOKUP(E2979,LD_PROJETOS!A:A,LD_PROJETOS!G:G)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_xlfn.XLOOKUP(E2980,LD_PROJETOS!A:A,LD_PROJETOS!G:G)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_xlfn.XLOOKUP(E2981,LD_PROJETOS!A:A,LD_PROJETOS!G:G)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_xlfn.XLOOKUP(E2982,LD_PROJETOS!A:A,LD_PROJETOS!G:G)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_xlfn.XLOOKUP(E2983,LD_PROJETOS!A:A,LD_PROJETOS!G:G)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_xlfn.XLOOKUP(E2984,LD_PROJETOS!A:A,LD_PROJETOS!G:G)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_xlfn.XLOOKUP(E2985,LD_PROJETOS!A:A,LD_PROJETOS!G:G)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_xlfn.XLOOKUP(E2986,LD_PROJETOS!A:A,LD_PROJETOS!G:G)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_xlfn.XLOOKUP(E2987,LD_PROJETOS!A:A,LD_PROJETOS!G:G)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_xlfn.XLOOKUP(E2988,LD_PROJETOS!A:A,LD_PROJETOS!G:G)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_xlfn.XLOOKUP(E2989,LD_PROJETOS!A:A,LD_PROJETOS!G:G)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_xlfn.XLOOKUP(E2990,LD_PROJETOS!A:A,LD_PROJETOS!G:G)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_xlfn.XLOOKUP(E2991,LD_PROJETOS!A:A,LD_PROJETOS!G:G)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_xlfn.XLOOKUP(E2992,LD_PROJETOS!A:A,LD_PROJETOS!G:G)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_xlfn.XLOOKUP(E2993,LD_PROJETOS!A:A,LD_PROJETOS!G:G)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_xlfn.XLOOKUP(E2994,LD_PROJETOS!A:A,LD_PROJETOS!G:G)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_xlfn.XLOOKUP(E2995,LD_PROJETOS!A:A,LD_PROJETOS!G:G)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_xlfn.XLOOKUP(E2996,LD_PROJETOS!A:A,LD_PROJETOS!G:G)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_xlfn.XLOOKUP(E2997,LD_PROJETOS!A:A,LD_PROJETOS!G:G)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_xlfn.XLOOKUP(E2998,LD_PROJETOS!A:A,LD_PROJETOS!G:G)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_xlfn.XLOOKUP(E2999,LD_PROJETOS!A:A,LD_PROJETOS!G:G)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_xlfn.XLOOKUP(E3000,LD_PROJETOS!A:A,LD_PROJETOS!G:G)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_xlfn.XLOOKUP(E3001,LD_PROJETOS!A:A,LD_PROJETOS!G:G)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_xlfn.XLOOKUP(E3002,LD_PROJETOS!A:A,LD_PROJETOS!G:G)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_xlfn.XLOOKUP(E3003,LD_PROJETOS!A:A,LD_PROJETOS!G:G)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_xlfn.XLOOKUP(E3004,LD_PROJETOS!A:A,LD_PROJETOS!G:G)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_xlfn.XLOOKUP(E3005,LD_PROJETOS!A:A,LD_PROJETOS!G:G)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_xlfn.XLOOKUP(E3006,LD_PROJETOS!A:A,LD_PROJETOS!G:G)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_xlfn.XLOOKUP(E3007,LD_PROJETOS!A:A,LD_PROJETOS!G:G)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_xlfn.XLOOKUP(E3008,LD_PROJETOS!A:A,LD_PROJETOS!G:G)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_xlfn.XLOOKUP(E3009,LD_PROJETOS!A:A,LD_PROJETOS!G:G)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_xlfn.XLOOKUP(E3010,LD_PROJETOS!A:A,LD_PROJETOS!G:G)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_xlfn.XLOOKUP(E3011,LD_PROJETOS!A:A,LD_PROJETOS!G:G)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_xlfn.XLOOKUP(E3012,LD_PROJETOS!A:A,LD_PROJETOS!G:G)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_xlfn.XLOOKUP(E3013,LD_PROJETOS!A:A,LD_PROJETOS!G:G)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_xlfn.XLOOKUP(E3014,LD_PROJETOS!A:A,LD_PROJETOS!G:G)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_xlfn.XLOOKUP(E3015,LD_PROJETOS!A:A,LD_PROJETOS!G:G)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_xlfn.XLOOKUP(E3016,LD_PROJETOS!A:A,LD_PROJETOS!G:G)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_xlfn.XLOOKUP(E3017,LD_PROJETOS!A:A,LD_PROJETOS!G:G)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_xlfn.XLOOKUP(E3018,LD_PROJETOS!A:A,LD_PROJETOS!G:G)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_xlfn.XLOOKUP(E3019,LD_PROJETOS!A:A,LD_PROJETOS!G:G)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_xlfn.XLOOKUP(E3020,LD_PROJETOS!A:A,LD_PROJETOS!G:G)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_xlfn.XLOOKUP(E3021,LD_PROJETOS!A:A,LD_PROJETOS!G:G)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_xlfn.XLOOKUP(E3022,LD_PROJETOS!A:A,LD_PROJETOS!G:G)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_xlfn.XLOOKUP(E3023,LD_PROJETOS!A:A,LD_PROJETOS!G:G)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_xlfn.XLOOKUP(E3024,LD_PROJETOS!A:A,LD_PROJETOS!G:G)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_xlfn.XLOOKUP(E3025,LD_PROJETOS!A:A,LD_PROJETOS!G:G)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_xlfn.XLOOKUP(E3026,LD_PROJETOS!A:A,LD_PROJETOS!G:G)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_xlfn.XLOOKUP(E3027,LD_PROJETOS!A:A,LD_PROJETOS!G:G)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_xlfn.XLOOKUP(E3028,LD_PROJETOS!A:A,LD_PROJETOS!G:G)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_xlfn.XLOOKUP(E3029,LD_PROJETOS!A:A,LD_PROJETOS!G:G)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_xlfn.XLOOKUP(E3030,LD_PROJETOS!A:A,LD_PROJETOS!G:G)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_xlfn.XLOOKUP(E3031,LD_PROJETOS!A:A,LD_PROJETOS!G:G)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_xlfn.XLOOKUP(E3032,LD_PROJETOS!A:A,LD_PROJETOS!G:G)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_xlfn.XLOOKUP(E3033,LD_PROJETOS!A:A,LD_PROJETOS!G:G)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_xlfn.XLOOKUP(E3034,LD_PROJETOS!A:A,LD_PROJETOS!G:G)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_xlfn.XLOOKUP(E3035,LD_PROJETOS!A:A,LD_PROJETOS!G:G)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_xlfn.XLOOKUP(E3036,LD_PROJETOS!A:A,LD_PROJETOS!G:G)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_xlfn.XLOOKUP(E3037,LD_PROJETOS!A:A,LD_PROJETOS!G:G)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_xlfn.XLOOKUP(E3038,LD_PROJETOS!A:A,LD_PROJETOS!G:G)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_xlfn.XLOOKUP(E3039,LD_PROJETOS!A:A,LD_PROJETOS!G:G)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_xlfn.XLOOKUP(E3040,LD_PROJETOS!A:A,LD_PROJETOS!G:G)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_xlfn.XLOOKUP(E3041,LD_PROJETOS!A:A,LD_PROJETOS!G:G)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_xlfn.XLOOKUP(E3042,LD_PROJETOS!A:A,LD_PROJETOS!G:G)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_xlfn.XLOOKUP(E3043,LD_PROJETOS!A:A,LD_PROJETOS!G:G)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_xlfn.XLOOKUP(E3044,LD_PROJETOS!A:A,LD_PROJETOS!G:G)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_xlfn.XLOOKUP(E3045,LD_PROJETOS!A:A,LD_PROJETOS!G:G)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_xlfn.XLOOKUP(E3046,LD_PROJETOS!A:A,LD_PROJETOS!G:G)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_xlfn.XLOOKUP(E3047,LD_PROJETOS!A:A,LD_PROJETOS!G:G)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_xlfn.XLOOKUP(E3048,LD_PROJETOS!A:A,LD_PROJETOS!G:G)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_xlfn.XLOOKUP(E3049,LD_PROJETOS!A:A,LD_PROJETOS!G:G)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_xlfn.XLOOKUP(E3050,LD_PROJETOS!A:A,LD_PROJETOS!G:G)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_xlfn.XLOOKUP(E3051,LD_PROJETOS!A:A,LD_PROJETOS!G:G)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_xlfn.XLOOKUP(E3052,LD_PROJETOS!A:A,LD_PROJETOS!G:G)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_xlfn.XLOOKUP(E3053,LD_PROJETOS!A:A,LD_PROJETOS!G:G)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_xlfn.XLOOKUP(E3054,LD_PROJETOS!A:A,LD_PROJETOS!G:G)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_xlfn.XLOOKUP(E3055,LD_PROJETOS!A:A,LD_PROJETOS!G:G)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_xlfn.XLOOKUP(E3056,LD_PROJETOS!A:A,LD_PROJETOS!G:G)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_xlfn.XLOOKUP(E3057,LD_PROJETOS!A:A,LD_PROJETOS!G:G)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_xlfn.XLOOKUP(E3058,LD_PROJETOS!A:A,LD_PROJETOS!G:G)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_xlfn.XLOOKUP(E3059,LD_PROJETOS!A:A,LD_PROJETOS!G:G)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_xlfn.XLOOKUP(E3060,LD_PROJETOS!A:A,LD_PROJETOS!G:G)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_xlfn.XLOOKUP(E3061,LD_PROJETOS!A:A,LD_PROJETOS!G:G)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_xlfn.XLOOKUP(E3062,LD_PROJETOS!A:A,LD_PROJETOS!G:G)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_xlfn.XLOOKUP(E3063,LD_PROJETOS!A:A,LD_PROJETOS!G:G)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_xlfn.XLOOKUP(E3064,LD_PROJETOS!A:A,LD_PROJETOS!G:G)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_xlfn.XLOOKUP(E3065,LD_PROJETOS!A:A,LD_PROJETOS!G:G)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_xlfn.XLOOKUP(E3066,LD_PROJETOS!A:A,LD_PROJETOS!G:G)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_xlfn.XLOOKUP(E3067,LD_PROJETOS!A:A,LD_PROJETOS!G:G)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_xlfn.XLOOKUP(E3068,LD_PROJETOS!A:A,LD_PROJETOS!G:G)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_xlfn.XLOOKUP(E3069,LD_PROJETOS!A:A,LD_PROJETOS!G:G)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_xlfn.XLOOKUP(E3070,LD_PROJETOS!A:A,LD_PROJETOS!G:G)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_xlfn.XLOOKUP(E3071,LD_PROJETOS!A:A,LD_PROJETOS!G:G)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_xlfn.XLOOKUP(E3072,LD_PROJETOS!A:A,LD_PROJETOS!G:G)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_xlfn.XLOOKUP(E3073,LD_PROJETOS!A:A,LD_PROJETOS!G:G)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_xlfn.XLOOKUP(E3074,LD_PROJETOS!A:A,LD_PROJETOS!G:G)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_xlfn.XLOOKUP(E3075,LD_PROJETOS!A:A,LD_PROJETOS!G:G)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_xlfn.XLOOKUP(E3076,LD_PROJETOS!A:A,LD_PROJETOS!G:G)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_xlfn.XLOOKUP(E3077,LD_PROJETOS!A:A,LD_PROJETOS!G:G)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_xlfn.XLOOKUP(E3078,LD_PROJETOS!A:A,LD_PROJETOS!G:G)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_xlfn.XLOOKUP(E3079,LD_PROJETOS!A:A,LD_PROJETOS!G:G)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_xlfn.XLOOKUP(E3080,LD_PROJETOS!A:A,LD_PROJETOS!G:G)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_xlfn.XLOOKUP(E3081,LD_PROJETOS!A:A,LD_PROJETOS!G:G)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_xlfn.XLOOKUP(E3082,LD_PROJETOS!A:A,LD_PROJETOS!G:G)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_xlfn.XLOOKUP(E3083,LD_PROJETOS!A:A,LD_PROJETOS!G:G)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_xlfn.XLOOKUP(E3084,LD_PROJETOS!A:A,LD_PROJETOS!G:G)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_xlfn.XLOOKUP(E3085,LD_PROJETOS!A:A,LD_PROJETOS!G:G)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_xlfn.XLOOKUP(E3086,LD_PROJETOS!A:A,LD_PROJETOS!G:G)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_xlfn.XLOOKUP(E3087,LD_PROJETOS!A:A,LD_PROJETOS!G:G)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_xlfn.XLOOKUP(E3088,LD_PROJETOS!A:A,LD_PROJETOS!G:G)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_xlfn.XLOOKUP(E3089,LD_PROJETOS!A:A,LD_PROJETOS!G:G)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_xlfn.XLOOKUP(E3090,LD_PROJETOS!A:A,LD_PROJETOS!G:G)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_xlfn.XLOOKUP(E3091,LD_PROJETOS!A:A,LD_PROJETOS!G:G)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_xlfn.XLOOKUP(E3092,LD_PROJETOS!A:A,LD_PROJETOS!G:G)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_xlfn.XLOOKUP(E3093,LD_PROJETOS!A:A,LD_PROJETOS!G:G)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_xlfn.XLOOKUP(E3094,LD_PROJETOS!A:A,LD_PROJETOS!G:G)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_xlfn.XLOOKUP(E3095,LD_PROJETOS!A:A,LD_PROJETOS!G:G)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_xlfn.XLOOKUP(E3096,LD_PROJETOS!A:A,LD_PROJETOS!G:G)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_xlfn.XLOOKUP(E3097,LD_PROJETOS!A:A,LD_PROJETOS!G:G)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_xlfn.XLOOKUP(E3098,LD_PROJETOS!A:A,LD_PROJETOS!G:G)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_xlfn.XLOOKUP(E3099,LD_PROJETOS!A:A,LD_PROJETOS!G:G)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_xlfn.XLOOKUP(E3100,LD_PROJETOS!A:A,LD_PROJETOS!G:G)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_xlfn.XLOOKUP(E3101,LD_PROJETOS!A:A,LD_PROJETOS!G:G)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_xlfn.XLOOKUP(E3102,LD_PROJETOS!A:A,LD_PROJETOS!G:G)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_xlfn.XLOOKUP(E3103,LD_PROJETOS!A:A,LD_PROJETOS!G:G)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_xlfn.XLOOKUP(E3104,LD_PROJETOS!A:A,LD_PROJETOS!G:G)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_xlfn.XLOOKUP(E3105,LD_PROJETOS!A:A,LD_PROJETOS!G:G)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_xlfn.XLOOKUP(E3106,LD_PROJETOS!A:A,LD_PROJETOS!G:G)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_xlfn.XLOOKUP(E3107,LD_PROJETOS!A:A,LD_PROJETOS!G:G)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_xlfn.XLOOKUP(E3108,LD_PROJETOS!A:A,LD_PROJETOS!G:G)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_xlfn.XLOOKUP(E3109,LD_PROJETOS!A:A,LD_PROJETOS!G:G)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_xlfn.XLOOKUP(E3110,LD_PROJETOS!A:A,LD_PROJETOS!G:G)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_xlfn.XLOOKUP(E3111,LD_PROJETOS!A:A,LD_PROJETOS!G:G)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_xlfn.XLOOKUP(E3112,LD_PROJETOS!A:A,LD_PROJETOS!G:G)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_xlfn.XLOOKUP(E3113,LD_PROJETOS!A:A,LD_PROJETOS!G:G)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_xlfn.XLOOKUP(E3114,LD_PROJETOS!A:A,LD_PROJETOS!G:G)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_xlfn.XLOOKUP(E3115,LD_PROJETOS!A:A,LD_PROJETOS!G:G)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_xlfn.XLOOKUP(E3116,LD_PROJETOS!A:A,LD_PROJETOS!G:G)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_xlfn.XLOOKUP(E3117,LD_PROJETOS!A:A,LD_PROJETOS!G:G)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_xlfn.XLOOKUP(E3118,LD_PROJETOS!A:A,LD_PROJETOS!G:G)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_xlfn.XLOOKUP(E3119,LD_PROJETOS!A:A,LD_PROJETOS!G:G)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_xlfn.XLOOKUP(E3120,LD_PROJETOS!A:A,LD_PROJETOS!G:G)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_xlfn.XLOOKUP(E3121,LD_PROJETOS!A:A,LD_PROJETOS!G:G)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_xlfn.XLOOKUP(E3122,LD_PROJETOS!A:A,LD_PROJETOS!G:G)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_xlfn.XLOOKUP(E3123,LD_PROJETOS!A:A,LD_PROJETOS!G:G)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_xlfn.XLOOKUP(E3124,LD_PROJETOS!A:A,LD_PROJETOS!G:G)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_xlfn.XLOOKUP(E3125,LD_PROJETOS!A:A,LD_PROJETOS!G:G)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_xlfn.XLOOKUP(E3126,LD_PROJETOS!A:A,LD_PROJETOS!G:G)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_xlfn.XLOOKUP(E3127,LD_PROJETOS!A:A,LD_PROJETOS!G:G)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_xlfn.XLOOKUP(E3128,LD_PROJETOS!A:A,LD_PROJETOS!G:G)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_xlfn.XLOOKUP(E3129,LD_PROJETOS!A:A,LD_PROJETOS!G:G)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_xlfn.XLOOKUP(E3130,LD_PROJETOS!A:A,LD_PROJETOS!G:G)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_xlfn.XLOOKUP(E3131,LD_PROJETOS!A:A,LD_PROJETOS!G:G)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_xlfn.XLOOKUP(E3132,LD_PROJETOS!A:A,LD_PROJETOS!G:G)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_xlfn.XLOOKUP(E3133,LD_PROJETOS!A:A,LD_PROJETOS!G:G)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_xlfn.XLOOKUP(E3134,LD_PROJETOS!A:A,LD_PROJETOS!G:G)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_xlfn.XLOOKUP(E3135,LD_PROJETOS!A:A,LD_PROJETOS!G:G)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_xlfn.XLOOKUP(E3136,LD_PROJETOS!A:A,LD_PROJETOS!G:G)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_xlfn.XLOOKUP(E3137,LD_PROJETOS!A:A,LD_PROJETOS!G:G)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_xlfn.XLOOKUP(E3138,LD_PROJETOS!A:A,LD_PROJETOS!G:G)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_xlfn.XLOOKUP(E3139,LD_PROJETOS!A:A,LD_PROJETOS!G:G)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_xlfn.XLOOKUP(E3140,LD_PROJETOS!A:A,LD_PROJETOS!G:G)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_xlfn.XLOOKUP(E3141,LD_PROJETOS!A:A,LD_PROJETOS!G:G)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_xlfn.XLOOKUP(E3142,LD_PROJETOS!A:A,LD_PROJETOS!G:G)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_xlfn.XLOOKUP(E3143,LD_PROJETOS!A:A,LD_PROJETOS!G:G)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_xlfn.XLOOKUP(E3144,LD_PROJETOS!A:A,LD_PROJETOS!G:G)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_xlfn.XLOOKUP(E3145,LD_PROJETOS!A:A,LD_PROJETOS!G:G)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_xlfn.XLOOKUP(E3146,LD_PROJETOS!A:A,LD_PROJETOS!G:G)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_xlfn.XLOOKUP(E3147,LD_PROJETOS!A:A,LD_PROJETOS!G:G)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_xlfn.XLOOKUP(E3148,LD_PROJETOS!A:A,LD_PROJETOS!G:G)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_xlfn.XLOOKUP(E3149,LD_PROJETOS!A:A,LD_PROJETOS!G:G)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_xlfn.XLOOKUP(E3150,LD_PROJETOS!A:A,LD_PROJETOS!G:G)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_xlfn.XLOOKUP(E3151,LD_PROJETOS!A:A,LD_PROJETOS!G:G)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_xlfn.XLOOKUP(E3152,LD_PROJETOS!A:A,LD_PROJETOS!G:G)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_xlfn.XLOOKUP(E3153,LD_PROJETOS!A:A,LD_PROJETOS!G:G)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_xlfn.XLOOKUP(E3154,LD_PROJETOS!A:A,LD_PROJETOS!G:G)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_xlfn.XLOOKUP(E3155,LD_PROJETOS!A:A,LD_PROJETOS!G:G)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_xlfn.XLOOKUP(E3156,LD_PROJETOS!A:A,LD_PROJETOS!G:G)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_xlfn.XLOOKUP(E3157,LD_PROJETOS!A:A,LD_PROJETOS!G:G)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_xlfn.XLOOKUP(E3158,LD_PROJETOS!A:A,LD_PROJETOS!G:G)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_xlfn.XLOOKUP(E3159,LD_PROJETOS!A:A,LD_PROJETOS!G:G)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_xlfn.XLOOKUP(E3160,LD_PROJETOS!A:A,LD_PROJETOS!G:G)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_xlfn.XLOOKUP(E3161,LD_PROJETOS!A:A,LD_PROJETOS!G:G)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_xlfn.XLOOKUP(E3162,LD_PROJETOS!A:A,LD_PROJETOS!G:G)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_xlfn.XLOOKUP(E3163,LD_PROJETOS!A:A,LD_PROJETOS!G:G)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_xlfn.XLOOKUP(E3164,LD_PROJETOS!A:A,LD_PROJETOS!G:G)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_xlfn.XLOOKUP(E3165,LD_PROJETOS!A:A,LD_PROJETOS!G:G)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_xlfn.XLOOKUP(E3166,LD_PROJETOS!A:A,LD_PROJETOS!G:G)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_xlfn.XLOOKUP(E3167,LD_PROJETOS!A:A,LD_PROJETOS!G:G)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_xlfn.XLOOKUP(E3168,LD_PROJETOS!A:A,LD_PROJETOS!G:G)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_xlfn.XLOOKUP(E3169,LD_PROJETOS!A:A,LD_PROJETOS!G:G)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_xlfn.XLOOKUP(E3170,LD_PROJETOS!A:A,LD_PROJETOS!G:G)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_xlfn.XLOOKUP(E3171,LD_PROJETOS!A:A,LD_PROJETOS!G:G)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_xlfn.XLOOKUP(E3172,LD_PROJETOS!A:A,LD_PROJETOS!G:G)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_xlfn.XLOOKUP(E3173,LD_PROJETOS!A:A,LD_PROJETOS!G:G)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_xlfn.XLOOKUP(E3174,LD_PROJETOS!A:A,LD_PROJETOS!G:G)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_xlfn.XLOOKUP(E3175,LD_PROJETOS!A:A,LD_PROJETOS!G:G)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_xlfn.XLOOKUP(E3176,LD_PROJETOS!A:A,LD_PROJETOS!G:G)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_xlfn.XLOOKUP(E3177,LD_PROJETOS!A:A,LD_PROJETOS!G:G)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_xlfn.XLOOKUP(E3178,LD_PROJETOS!A:A,LD_PROJETOS!G:G)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_xlfn.XLOOKUP(E3179,LD_PROJETOS!A:A,LD_PROJETOS!G:G)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_xlfn.XLOOKUP(E3180,LD_PROJETOS!A:A,LD_PROJETOS!G:G)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_xlfn.XLOOKUP(E3181,LD_PROJETOS!A:A,LD_PROJETOS!G:G)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_xlfn.XLOOKUP(E3182,LD_PROJETOS!A:A,LD_PROJETOS!G:G)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_xlfn.XLOOKUP(E3183,LD_PROJETOS!A:A,LD_PROJETOS!G:G)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_xlfn.XLOOKUP(E3184,LD_PROJETOS!A:A,LD_PROJETOS!G:G)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_xlfn.XLOOKUP(E3185,LD_PROJETOS!A:A,LD_PROJETOS!G:G)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_xlfn.XLOOKUP(E3186,LD_PROJETOS!A:A,LD_PROJETOS!G:G)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_xlfn.XLOOKUP(E3187,LD_PROJETOS!A:A,LD_PROJETOS!G:G)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_xlfn.XLOOKUP(E3188,LD_PROJETOS!A:A,LD_PROJETOS!G:G)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_xlfn.XLOOKUP(E3189,LD_PROJETOS!A:A,LD_PROJETOS!G:G)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_xlfn.XLOOKUP(E3190,LD_PROJETOS!A:A,LD_PROJETOS!G:G)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_xlfn.XLOOKUP(E3191,LD_PROJETOS!A:A,LD_PROJETOS!G:G)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_xlfn.XLOOKUP(E3192,LD_PROJETOS!A:A,LD_PROJETOS!G:G)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_xlfn.XLOOKUP(E3193,LD_PROJETOS!A:A,LD_PROJETOS!G:G)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_xlfn.XLOOKUP(E3194,LD_PROJETOS!A:A,LD_PROJETOS!G:G)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_xlfn.XLOOKUP(E3195,LD_PROJETOS!A:A,LD_PROJETOS!G:G)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_xlfn.XLOOKUP(E3196,LD_PROJETOS!A:A,LD_PROJETOS!G:G)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_xlfn.XLOOKUP(E3197,LD_PROJETOS!A:A,LD_PROJETOS!G:G)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_xlfn.XLOOKUP(E3198,LD_PROJETOS!A:A,LD_PROJETOS!G:G)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_xlfn.XLOOKUP(E3199,LD_PROJETOS!A:A,LD_PROJETOS!G:G)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_xlfn.XLOOKUP(E3200,LD_PROJETOS!A:A,LD_PROJETOS!G:G)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_xlfn.XLOOKUP(E3201,LD_PROJETOS!A:A,LD_PROJETOS!G:G)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_xlfn.XLOOKUP(E3202,LD_PROJETOS!A:A,LD_PROJETOS!G:G)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_xlfn.XLOOKUP(E3203,LD_PROJETOS!A:A,LD_PROJETOS!G:G)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_xlfn.XLOOKUP(E3204,LD_PROJETOS!A:A,LD_PROJETOS!G:G)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_xlfn.XLOOKUP(E3205,LD_PROJETOS!A:A,LD_PROJETOS!G:G)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_xlfn.XLOOKUP(E3206,LD_PROJETOS!A:A,LD_PROJETOS!G:G)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_xlfn.XLOOKUP(E3207,LD_PROJETOS!A:A,LD_PROJETOS!G:G)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_xlfn.XLOOKUP(E3208,LD_PROJETOS!A:A,LD_PROJETOS!G:G)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_xlfn.XLOOKUP(E3209,LD_PROJETOS!A:A,LD_PROJETOS!G:G)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_xlfn.XLOOKUP(E3210,LD_PROJETOS!A:A,LD_PROJETOS!G:G)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_xlfn.XLOOKUP(E3211,LD_PROJETOS!A:A,LD_PROJETOS!G:G)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_xlfn.XLOOKUP(E3212,LD_PROJETOS!A:A,LD_PROJETOS!G:G)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_xlfn.XLOOKUP(E3213,LD_PROJETOS!A:A,LD_PROJETOS!G:G)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_xlfn.XLOOKUP(E3214,LD_PROJETOS!A:A,LD_PROJETOS!G:G)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_xlfn.XLOOKUP(E3215,LD_PROJETOS!A:A,LD_PROJETOS!G:G)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_xlfn.XLOOKUP(E3216,LD_PROJETOS!A:A,LD_PROJETOS!G:G)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_xlfn.XLOOKUP(E3217,LD_PROJETOS!A:A,LD_PROJETOS!G:G)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_xlfn.XLOOKUP(E3218,LD_PROJETOS!A:A,LD_PROJETOS!G:G)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_xlfn.XLOOKUP(E3219,LD_PROJETOS!A:A,LD_PROJETOS!G:G)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_xlfn.XLOOKUP(E3220,LD_PROJETOS!A:A,LD_PROJETOS!G:G)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_xlfn.XLOOKUP(E3221,LD_PROJETOS!A:A,LD_PROJETOS!G:G)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_xlfn.XLOOKUP(E3222,LD_PROJETOS!A:A,LD_PROJETOS!G:G)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_xlfn.XLOOKUP(E3223,LD_PROJETOS!A:A,LD_PROJETOS!G:G)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_xlfn.XLOOKUP(E3224,LD_PROJETOS!A:A,LD_PROJETOS!G:G)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_xlfn.XLOOKUP(E3225,LD_PROJETOS!A:A,LD_PROJETOS!G:G)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_xlfn.XLOOKUP(E3226,LD_PROJETOS!A:A,LD_PROJETOS!G:G)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_xlfn.XLOOKUP(E3227,LD_PROJETOS!A:A,LD_PROJETOS!G:G)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_xlfn.XLOOKUP(E3228,LD_PROJETOS!A:A,LD_PROJETOS!G:G)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_xlfn.XLOOKUP(E3229,LD_PROJETOS!A:A,LD_PROJETOS!G:G)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_xlfn.XLOOKUP(E3230,LD_PROJETOS!A:A,LD_PROJETOS!G:G)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_xlfn.XLOOKUP(E3231,LD_PROJETOS!A:A,LD_PROJETOS!G:G)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_xlfn.XLOOKUP(E3232,LD_PROJETOS!A:A,LD_PROJETOS!G:G)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_xlfn.XLOOKUP(E3233,LD_PROJETOS!A:A,LD_PROJETOS!G:G)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_xlfn.XLOOKUP(E3234,LD_PROJETOS!A:A,LD_PROJETOS!G:G)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_xlfn.XLOOKUP(E3235,LD_PROJETOS!A:A,LD_PROJETOS!G:G)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_xlfn.XLOOKUP(E3236,LD_PROJETOS!A:A,LD_PROJETOS!G:G)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_xlfn.XLOOKUP(E3237,LD_PROJETOS!A:A,LD_PROJETOS!G:G)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_xlfn.XLOOKUP(E3238,LD_PROJETOS!A:A,LD_PROJETOS!G:G)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_xlfn.XLOOKUP(E3239,LD_PROJETOS!A:A,LD_PROJETOS!G:G)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_xlfn.XLOOKUP(E3240,LD_PROJETOS!A:A,LD_PROJETOS!G:G)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_xlfn.XLOOKUP(E3241,LD_PROJETOS!A:A,LD_PROJETOS!G:G)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_xlfn.XLOOKUP(E3242,LD_PROJETOS!A:A,LD_PROJETOS!G:G)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_xlfn.XLOOKUP(E3243,LD_PROJETOS!A:A,LD_PROJETOS!G:G)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_xlfn.XLOOKUP(E3244,LD_PROJETOS!A:A,LD_PROJETOS!G:G)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_xlfn.XLOOKUP(E3245,LD_PROJETOS!A:A,LD_PROJETOS!G:G)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_xlfn.XLOOKUP(E3246,LD_PROJETOS!A:A,LD_PROJETOS!G:G)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_xlfn.XLOOKUP(E3247,LD_PROJETOS!A:A,LD_PROJETOS!G:G)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_xlfn.XLOOKUP(E3248,LD_PROJETOS!A:A,LD_PROJETOS!G:G)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_xlfn.XLOOKUP(E3249,LD_PROJETOS!A:A,LD_PROJETOS!G:G)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_xlfn.XLOOKUP(E3250,LD_PROJETOS!A:A,LD_PROJETOS!G:G)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_xlfn.XLOOKUP(E3251,LD_PROJETOS!A:A,LD_PROJETOS!G:G)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_xlfn.XLOOKUP(E3252,LD_PROJETOS!A:A,LD_PROJETOS!G:G)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_xlfn.XLOOKUP(E3253,LD_PROJETOS!A:A,LD_PROJETOS!G:G)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_xlfn.XLOOKUP(E3254,LD_PROJETOS!A:A,LD_PROJETOS!G:G)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_xlfn.XLOOKUP(E3255,LD_PROJETOS!A:A,LD_PROJETOS!G:G)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_xlfn.XLOOKUP(E3256,LD_PROJETOS!A:A,LD_PROJETOS!G:G)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_xlfn.XLOOKUP(E3257,LD_PROJETOS!A:A,LD_PROJETOS!G:G)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_xlfn.XLOOKUP(E3258,LD_PROJETOS!A:A,LD_PROJETOS!G:G)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_xlfn.XLOOKUP(E3259,LD_PROJETOS!A:A,LD_PROJETOS!G:G)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_xlfn.XLOOKUP(E3260,LD_PROJETOS!A:A,LD_PROJETOS!G:G)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_xlfn.XLOOKUP(E3261,LD_PROJETOS!A:A,LD_PROJETOS!G:G)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_xlfn.XLOOKUP(E3262,LD_PROJETOS!A:A,LD_PROJETOS!G:G)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_xlfn.XLOOKUP(E3263,LD_PROJETOS!A:A,LD_PROJETOS!G:G)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_xlfn.XLOOKUP(E3264,LD_PROJETOS!A:A,LD_PROJETOS!G:G)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_xlfn.XLOOKUP(E3265,LD_PROJETOS!A:A,LD_PROJETOS!G:G)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_xlfn.XLOOKUP(E3266,LD_PROJETOS!A:A,LD_PROJETOS!G:G)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_xlfn.XLOOKUP(E3267,LD_PROJETOS!A:A,LD_PROJETOS!G:G)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_xlfn.XLOOKUP(E3268,LD_PROJETOS!A:A,LD_PROJETOS!G:G)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_xlfn.XLOOKUP(E3269,LD_PROJETOS!A:A,LD_PROJETOS!G:G)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_xlfn.XLOOKUP(E3270,LD_PROJETOS!A:A,LD_PROJETOS!G:G)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_xlfn.XLOOKUP(E3271,LD_PROJETOS!A:A,LD_PROJETOS!G:G)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_xlfn.XLOOKUP(E3272,LD_PROJETOS!A:A,LD_PROJETOS!G:G)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_xlfn.XLOOKUP(E3273,LD_PROJETOS!A:A,LD_PROJETOS!G:G)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_xlfn.XLOOKUP(E3274,LD_PROJETOS!A:A,LD_PROJETOS!G:G)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_xlfn.XLOOKUP(E3275,LD_PROJETOS!A:A,LD_PROJETOS!G:G)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_xlfn.XLOOKUP(E3276,LD_PROJETOS!A:A,LD_PROJETOS!G:G)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_xlfn.XLOOKUP(E3277,LD_PROJETOS!A:A,LD_PROJETOS!G:G)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_xlfn.XLOOKUP(E3278,LD_PROJETOS!A:A,LD_PROJETOS!G:G)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_xlfn.XLOOKUP(E3279,LD_PROJETOS!A:A,LD_PROJETOS!G:G)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_xlfn.XLOOKUP(E3280,LD_PROJETOS!A:A,LD_PROJETOS!G:G)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_xlfn.XLOOKUP(E3281,LD_PROJETOS!A:A,LD_PROJETOS!G:G)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_xlfn.XLOOKUP(E3282,LD_PROJETOS!A:A,LD_PROJETOS!G:G)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_xlfn.XLOOKUP(E3283,LD_PROJETOS!A:A,LD_PROJETOS!G:G)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_xlfn.XLOOKUP(E3284,LD_PROJETOS!A:A,LD_PROJETOS!G:G)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_xlfn.XLOOKUP(E3285,LD_PROJETOS!A:A,LD_PROJETOS!G:G)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_xlfn.XLOOKUP(E3286,LD_PROJETOS!A:A,LD_PROJETOS!G:G)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_xlfn.XLOOKUP(E3287,LD_PROJETOS!A:A,LD_PROJETOS!G:G)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_xlfn.XLOOKUP(E3288,LD_PROJETOS!A:A,LD_PROJETOS!G:G)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_xlfn.XLOOKUP(E3289,LD_PROJETOS!A:A,LD_PROJETOS!G:G)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_xlfn.XLOOKUP(E3290,LD_PROJETOS!A:A,LD_PROJETOS!G:G)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_xlfn.XLOOKUP(E3291,LD_PROJETOS!A:A,LD_PROJETOS!G:G)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_xlfn.XLOOKUP(E3292,LD_PROJETOS!A:A,LD_PROJETOS!G:G)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_xlfn.XLOOKUP(E3293,LD_PROJETOS!A:A,LD_PROJETOS!G:G)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_xlfn.XLOOKUP(E3294,LD_PROJETOS!A:A,LD_PROJETOS!G:G)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_xlfn.XLOOKUP(E3295,LD_PROJETOS!A:A,LD_PROJETOS!G:G)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_xlfn.XLOOKUP(E3296,LD_PROJETOS!A:A,LD_PROJETOS!G:G)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_xlfn.XLOOKUP(E3297,LD_PROJETOS!A:A,LD_PROJETOS!G:G)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_xlfn.XLOOKUP(E3298,LD_PROJETOS!A:A,LD_PROJETOS!G:G)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_xlfn.XLOOKUP(E3299,LD_PROJETOS!A:A,LD_PROJETOS!G:G)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_xlfn.XLOOKUP(E3300,LD_PROJETOS!A:A,LD_PROJETOS!G:G)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_xlfn.XLOOKUP(E3301,LD_PROJETOS!A:A,LD_PROJETOS!G:G)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_xlfn.XLOOKUP(E3302,LD_PROJETOS!A:A,LD_PROJETOS!G:G)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_xlfn.XLOOKUP(E3303,LD_PROJETOS!A:A,LD_PROJETOS!G:G)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_xlfn.XLOOKUP(E3304,LD_PROJETOS!A:A,LD_PROJETOS!G:G)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_xlfn.XLOOKUP(E3305,LD_PROJETOS!A:A,LD_PROJETOS!G:G)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_xlfn.XLOOKUP(E3306,LD_PROJETOS!A:A,LD_PROJETOS!G:G)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_xlfn.XLOOKUP(E3307,LD_PROJETOS!A:A,LD_PROJETOS!G:G)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_xlfn.XLOOKUP(E3308,LD_PROJETOS!A:A,LD_PROJETOS!G:G)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_xlfn.XLOOKUP(E3309,LD_PROJETOS!A:A,LD_PROJETOS!G:G)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_xlfn.XLOOKUP(E3310,LD_PROJETOS!A:A,LD_PROJETOS!G:G)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_xlfn.XLOOKUP(E3311,LD_PROJETOS!A:A,LD_PROJETOS!G:G)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_xlfn.XLOOKUP(E3312,LD_PROJETOS!A:A,LD_PROJETOS!G:G)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_xlfn.XLOOKUP(E3313,LD_PROJETOS!A:A,LD_PROJETOS!G:G)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_xlfn.XLOOKUP(E3314,LD_PROJETOS!A:A,LD_PROJETOS!G:G)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_xlfn.XLOOKUP(E3315,LD_PROJETOS!A:A,LD_PROJETOS!G:G)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_xlfn.XLOOKUP(E3316,LD_PROJETOS!A:A,LD_PROJETOS!G:G)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_xlfn.XLOOKUP(E3317,LD_PROJETOS!A:A,LD_PROJETOS!G:G)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_xlfn.XLOOKUP(E3318,LD_PROJETOS!A:A,LD_PROJETOS!G:G)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_xlfn.XLOOKUP(E3319,LD_PROJETOS!A:A,LD_PROJETOS!G:G)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_xlfn.XLOOKUP(E3320,LD_PROJETOS!A:A,LD_PROJETOS!G:G)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_xlfn.XLOOKUP(E3321,LD_PROJETOS!A:A,LD_PROJETOS!G:G)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_xlfn.XLOOKUP(E3322,LD_PROJETOS!A:A,LD_PROJETOS!G:G)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_xlfn.XLOOKUP(E3323,LD_PROJETOS!A:A,LD_PROJETOS!G:G)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_xlfn.XLOOKUP(E3324,LD_PROJETOS!A:A,LD_PROJETOS!G:G)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_xlfn.XLOOKUP(E3325,LD_PROJETOS!A:A,LD_PROJETOS!G:G)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_xlfn.XLOOKUP(E3326,LD_PROJETOS!A:A,LD_PROJETOS!G:G)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_xlfn.XLOOKUP(E3327,LD_PROJETOS!A:A,LD_PROJETOS!G:G)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_xlfn.XLOOKUP(E3328,LD_PROJETOS!A:A,LD_PROJETOS!G:G)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_xlfn.XLOOKUP(E3329,LD_PROJETOS!A:A,LD_PROJETOS!G:G)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_xlfn.XLOOKUP(E3330,LD_PROJETOS!A:A,LD_PROJETOS!G:G)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_xlfn.XLOOKUP(E3331,LD_PROJETOS!A:A,LD_PROJETOS!G:G)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_xlfn.XLOOKUP(E3332,LD_PROJETOS!A:A,LD_PROJETOS!G:G)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_xlfn.XLOOKUP(E3333,LD_PROJETOS!A:A,LD_PROJETOS!G:G)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_xlfn.XLOOKUP(E3334,LD_PROJETOS!A:A,LD_PROJETOS!G:G)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_xlfn.XLOOKUP(E3335,LD_PROJETOS!A:A,LD_PROJETOS!G:G)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_xlfn.XLOOKUP(E3336,LD_PROJETOS!A:A,LD_PROJETOS!G:G)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_xlfn.XLOOKUP(E3337,LD_PROJETOS!A:A,LD_PROJETOS!G:G)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_xlfn.XLOOKUP(E3338,LD_PROJETOS!A:A,LD_PROJETOS!G:G)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_xlfn.XLOOKUP(E3339,LD_PROJETOS!A:A,LD_PROJETOS!G:G)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_xlfn.XLOOKUP(E3340,LD_PROJETOS!A:A,LD_PROJETOS!G:G)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_xlfn.XLOOKUP(E3341,LD_PROJETOS!A:A,LD_PROJETOS!G:G)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_xlfn.XLOOKUP(E3342,LD_PROJETOS!A:A,LD_PROJETOS!G:G)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_xlfn.XLOOKUP(E3343,LD_PROJETOS!A:A,LD_PROJETOS!G:G)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_xlfn.XLOOKUP(E3344,LD_PROJETOS!A:A,LD_PROJETOS!G:G)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_xlfn.XLOOKUP(E3345,LD_PROJETOS!A:A,LD_PROJETOS!G:G)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_xlfn.XLOOKUP(E3346,LD_PROJETOS!A:A,LD_PROJETOS!G:G)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_xlfn.XLOOKUP(E3347,LD_PROJETOS!A:A,LD_PROJETOS!G:G)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_xlfn.XLOOKUP(E3348,LD_PROJETOS!A:A,LD_PROJETOS!G:G)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_xlfn.XLOOKUP(E3349,LD_PROJETOS!A:A,LD_PROJETOS!G:G)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_xlfn.XLOOKUP(E3350,LD_PROJETOS!A:A,LD_PROJETOS!G:G)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_xlfn.XLOOKUP(E3351,LD_PROJETOS!A:A,LD_PROJETOS!G:G)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_xlfn.XLOOKUP(E3352,LD_PROJETOS!A:A,LD_PROJETOS!G:G)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_xlfn.XLOOKUP(E3353,LD_PROJETOS!A:A,LD_PROJETOS!G:G)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_xlfn.XLOOKUP(E3354,LD_PROJETOS!A:A,LD_PROJETOS!G:G)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_xlfn.XLOOKUP(E3355,LD_PROJETOS!A:A,LD_PROJETOS!G:G)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_xlfn.XLOOKUP(E3356,LD_PROJETOS!A:A,LD_PROJETOS!G:G)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_xlfn.XLOOKUP(E3357,LD_PROJETOS!A:A,LD_PROJETOS!G:G)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_xlfn.XLOOKUP(E3358,LD_PROJETOS!A:A,LD_PROJETOS!G:G)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_xlfn.XLOOKUP(E3359,LD_PROJETOS!A:A,LD_PROJETOS!G:G)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_xlfn.XLOOKUP(E3360,LD_PROJETOS!A:A,LD_PROJETOS!G:G)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_xlfn.XLOOKUP(E3361,LD_PROJETOS!A:A,LD_PROJETOS!G:G)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_xlfn.XLOOKUP(E3362,LD_PROJETOS!A:A,LD_PROJETOS!G:G)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_xlfn.XLOOKUP(E3363,LD_PROJETOS!A:A,LD_PROJETOS!G:G)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_xlfn.XLOOKUP(E3364,LD_PROJETOS!A:A,LD_PROJETOS!G:G)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_xlfn.XLOOKUP(E3365,LD_PROJETOS!A:A,LD_PROJETOS!G:G)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_xlfn.XLOOKUP(E3366,LD_PROJETOS!A:A,LD_PROJETOS!G:G)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_xlfn.XLOOKUP(E3367,LD_PROJETOS!A:A,LD_PROJETOS!G:G)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_xlfn.XLOOKUP(E3368,LD_PROJETOS!A:A,LD_PROJETOS!G:G)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_xlfn.XLOOKUP(E3369,LD_PROJETOS!A:A,LD_PROJETOS!G:G)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_xlfn.XLOOKUP(E3370,LD_PROJETOS!A:A,LD_PROJETOS!G:G)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_xlfn.XLOOKUP(E3371,LD_PROJETOS!A:A,LD_PROJETOS!G:G)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_xlfn.XLOOKUP(E3372,LD_PROJETOS!A:A,LD_PROJETOS!G:G)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_xlfn.XLOOKUP(E3373,LD_PROJETOS!A:A,LD_PROJETOS!G:G)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_xlfn.XLOOKUP(E3374,LD_PROJETOS!A:A,LD_PROJETOS!G:G)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_xlfn.XLOOKUP(E3375,LD_PROJETOS!A:A,LD_PROJETOS!G:G)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_xlfn.XLOOKUP(E3376,LD_PROJETOS!A:A,LD_PROJETOS!G:G)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_xlfn.XLOOKUP(E3377,LD_PROJETOS!A:A,LD_PROJETOS!G:G)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_xlfn.XLOOKUP(E3378,LD_PROJETOS!A:A,LD_PROJETOS!G:G)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_xlfn.XLOOKUP(E3379,LD_PROJETOS!A:A,LD_PROJETOS!G:G)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_xlfn.XLOOKUP(E3380,LD_PROJETOS!A:A,LD_PROJETOS!G:G)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_xlfn.XLOOKUP(E3381,LD_PROJETOS!A:A,LD_PROJETOS!G:G)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_xlfn.XLOOKUP(E3382,LD_PROJETOS!A:A,LD_PROJETOS!G:G)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_xlfn.XLOOKUP(E3383,LD_PROJETOS!A:A,LD_PROJETOS!G:G)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_xlfn.XLOOKUP(E3384,LD_PROJETOS!A:A,LD_PROJETOS!G:G)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_xlfn.XLOOKUP(E3385,LD_PROJETOS!A:A,LD_PROJETOS!G:G)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_xlfn.XLOOKUP(E3386,LD_PROJETOS!A:A,LD_PROJETOS!G:G)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_xlfn.XLOOKUP(E3387,LD_PROJETOS!A:A,LD_PROJETOS!G:G)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_xlfn.XLOOKUP(E3388,LD_PROJETOS!A:A,LD_PROJETOS!G:G)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_xlfn.XLOOKUP(E3389,LD_PROJETOS!A:A,LD_PROJETOS!G:G)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_xlfn.XLOOKUP(E3390,LD_PROJETOS!A:A,LD_PROJETOS!G:G)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_xlfn.XLOOKUP(E3391,LD_PROJETOS!A:A,LD_PROJETOS!G:G)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_xlfn.XLOOKUP(E3392,LD_PROJETOS!A:A,LD_PROJETOS!G:G)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_xlfn.XLOOKUP(E3393,LD_PROJETOS!A:A,LD_PROJETOS!G:G)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_xlfn.XLOOKUP(E3394,LD_PROJETOS!A:A,LD_PROJETOS!G:G)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_xlfn.XLOOKUP(E3395,LD_PROJETOS!A:A,LD_PROJETOS!G:G)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_xlfn.XLOOKUP(E3396,LD_PROJETOS!A:A,LD_PROJETOS!G:G)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_xlfn.XLOOKUP(E3397,LD_PROJETOS!A:A,LD_PROJETOS!G:G)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_xlfn.XLOOKUP(E3398,LD_PROJETOS!A:A,LD_PROJETOS!G:G)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_xlfn.XLOOKUP(E3399,LD_PROJETOS!A:A,LD_PROJETOS!G:G)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_xlfn.XLOOKUP(E3400,LD_PROJETOS!A:A,LD_PROJETOS!G:G)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_xlfn.XLOOKUP(E3401,LD_PROJETOS!A:A,LD_PROJETOS!G:G)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_xlfn.XLOOKUP(E3402,LD_PROJETOS!A:A,LD_PROJETOS!G:G)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_xlfn.XLOOKUP(E3403,LD_PROJETOS!A:A,LD_PROJETOS!G:G)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_xlfn.XLOOKUP(E3404,LD_PROJETOS!A:A,LD_PROJETOS!G:G)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_xlfn.XLOOKUP(E3405,LD_PROJETOS!A:A,LD_PROJETOS!G:G)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_xlfn.XLOOKUP(E3406,LD_PROJETOS!A:A,LD_PROJETOS!G:G)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_xlfn.XLOOKUP(E3407,LD_PROJETOS!A:A,LD_PROJETOS!G:G)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_xlfn.XLOOKUP(E3408,LD_PROJETOS!A:A,LD_PROJETOS!G:G)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_xlfn.XLOOKUP(E3409,LD_PROJETOS!A:A,LD_PROJETOS!G:G)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_xlfn.XLOOKUP(E3410,LD_PROJETOS!A:A,LD_PROJETOS!G:G)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_xlfn.XLOOKUP(E3411,LD_PROJETOS!A:A,LD_PROJETOS!G:G)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_xlfn.XLOOKUP(E3412,LD_PROJETOS!A:A,LD_PROJETOS!G:G)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_xlfn.XLOOKUP(E3413,LD_PROJETOS!A:A,LD_PROJETOS!G:G)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_xlfn.XLOOKUP(E3414,LD_PROJETOS!A:A,LD_PROJETOS!G:G)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_xlfn.XLOOKUP(E3415,LD_PROJETOS!A:A,LD_PROJETOS!G:G)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_xlfn.XLOOKUP(E3416,LD_PROJETOS!A:A,LD_PROJETOS!G:G)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_xlfn.XLOOKUP(E3417,LD_PROJETOS!A:A,LD_PROJETOS!G:G)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_xlfn.XLOOKUP(E3418,LD_PROJETOS!A:A,LD_PROJETOS!G:G)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_xlfn.XLOOKUP(E3419,LD_PROJETOS!A:A,LD_PROJETOS!G:G)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_xlfn.XLOOKUP(E3420,LD_PROJETOS!A:A,LD_PROJETOS!G:G)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_xlfn.XLOOKUP(E3421,LD_PROJETOS!A:A,LD_PROJETOS!G:G)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_xlfn.XLOOKUP(E3422,LD_PROJETOS!A:A,LD_PROJETOS!G:G)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_xlfn.XLOOKUP(E3423,LD_PROJETOS!A:A,LD_PROJETOS!G:G)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_xlfn.XLOOKUP(E3424,LD_PROJETOS!A:A,LD_PROJETOS!G:G)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_xlfn.XLOOKUP(E3425,LD_PROJETOS!A:A,LD_PROJETOS!G:G)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_xlfn.XLOOKUP(E3426,LD_PROJETOS!A:A,LD_PROJETOS!G:G)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_xlfn.XLOOKUP(E3427,LD_PROJETOS!A:A,LD_PROJETOS!G:G)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_xlfn.XLOOKUP(E3428,LD_PROJETOS!A:A,LD_PROJETOS!G:G)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_xlfn.XLOOKUP(E3429,LD_PROJETOS!A:A,LD_PROJETOS!G:G)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_xlfn.XLOOKUP(E3430,LD_PROJETOS!A:A,LD_PROJETOS!G:G)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_xlfn.XLOOKUP(E3431,LD_PROJETOS!A:A,LD_PROJETOS!G:G)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_xlfn.XLOOKUP(E3432,LD_PROJETOS!A:A,LD_PROJETOS!G:G)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_xlfn.XLOOKUP(E3433,LD_PROJETOS!A:A,LD_PROJETOS!G:G)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_xlfn.XLOOKUP(E3434,LD_PROJETOS!A:A,LD_PROJETOS!G:G)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_xlfn.XLOOKUP(E3435,LD_PROJETOS!A:A,LD_PROJETOS!G:G)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_xlfn.XLOOKUP(E3436,LD_PROJETOS!A:A,LD_PROJETOS!G:G)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_xlfn.XLOOKUP(E3437,LD_PROJETOS!A:A,LD_PROJETOS!G:G)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_xlfn.XLOOKUP(E3438,LD_PROJETOS!A:A,LD_PROJETOS!G:G)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_xlfn.XLOOKUP(E3439,LD_PROJETOS!A:A,LD_PROJETOS!G:G)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_xlfn.XLOOKUP(E3440,LD_PROJETOS!A:A,LD_PROJETOS!G:G)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_xlfn.XLOOKUP(E3441,LD_PROJETOS!A:A,LD_PROJETOS!G:G)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_xlfn.XLOOKUP(E3442,LD_PROJETOS!A:A,LD_PROJETOS!G:G)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_xlfn.XLOOKUP(E3443,LD_PROJETOS!A:A,LD_PROJETOS!G:G)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_xlfn.XLOOKUP(E3444,LD_PROJETOS!A:A,LD_PROJETOS!G:G)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_xlfn.XLOOKUP(E3445,LD_PROJETOS!A:A,LD_PROJETOS!G:G)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_xlfn.XLOOKUP(E3446,LD_PROJETOS!A:A,LD_PROJETOS!G:G)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_xlfn.XLOOKUP(E3447,LD_PROJETOS!A:A,LD_PROJETOS!G:G)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_xlfn.XLOOKUP(E3448,LD_PROJETOS!A:A,LD_PROJETOS!G:G)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_xlfn.XLOOKUP(E3449,LD_PROJETOS!A:A,LD_PROJETOS!G:G)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_xlfn.XLOOKUP(E3450,LD_PROJETOS!A:A,LD_PROJETOS!G:G)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_xlfn.XLOOKUP(E3451,LD_PROJETOS!A:A,LD_PROJETOS!G:G)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_xlfn.XLOOKUP(E3452,LD_PROJETOS!A:A,LD_PROJETOS!G:G)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_xlfn.XLOOKUP(E3453,LD_PROJETOS!A:A,LD_PROJETOS!G:G)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_xlfn.XLOOKUP(E3454,LD_PROJETOS!A:A,LD_PROJETOS!G:G)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_xlfn.XLOOKUP(E3455,LD_PROJETOS!A:A,LD_PROJETOS!G:G)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_xlfn.XLOOKUP(E3456,LD_PROJETOS!A:A,LD_PROJETOS!G:G)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_xlfn.XLOOKUP(E3457,LD_PROJETOS!A:A,LD_PROJETOS!G:G)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_xlfn.XLOOKUP(E3458,LD_PROJETOS!A:A,LD_PROJETOS!G:G)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_xlfn.XLOOKUP(E3459,LD_PROJETOS!A:A,LD_PROJETOS!G:G)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_xlfn.XLOOKUP(E3460,LD_PROJETOS!A:A,LD_PROJETOS!G:G)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_xlfn.XLOOKUP(E3461,LD_PROJETOS!A:A,LD_PROJETOS!G:G)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_xlfn.XLOOKUP(E3462,LD_PROJETOS!A:A,LD_PROJETOS!G:G)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_xlfn.XLOOKUP(E3463,LD_PROJETOS!A:A,LD_PROJETOS!G:G)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_xlfn.XLOOKUP(E3464,LD_PROJETOS!A:A,LD_PROJETOS!G:G)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_xlfn.XLOOKUP(E3465,LD_PROJETOS!A:A,LD_PROJETOS!G:G)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_xlfn.XLOOKUP(E3466,LD_PROJETOS!A:A,LD_PROJETOS!G:G)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_xlfn.XLOOKUP(E3467,LD_PROJETOS!A:A,LD_PROJETOS!G:G)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_xlfn.XLOOKUP(E3468,LD_PROJETOS!A:A,LD_PROJETOS!G:G)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_xlfn.XLOOKUP(E3469,LD_PROJETOS!A:A,LD_PROJETOS!G:G)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_xlfn.XLOOKUP(E3470,LD_PROJETOS!A:A,LD_PROJETOS!G:G)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_xlfn.XLOOKUP(E3471,LD_PROJETOS!A:A,LD_PROJETOS!G:G)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_xlfn.XLOOKUP(E3472,LD_PROJETOS!A:A,LD_PROJETOS!G:G)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_xlfn.XLOOKUP(E3473,LD_PROJETOS!A:A,LD_PROJETOS!G:G)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_xlfn.XLOOKUP(E3474,LD_PROJETOS!A:A,LD_PROJETOS!G:G)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_xlfn.XLOOKUP(E3475,LD_PROJETOS!A:A,LD_PROJETOS!G:G)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_xlfn.XLOOKUP(E3476,LD_PROJETOS!A:A,LD_PROJETOS!G:G)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_xlfn.XLOOKUP(E3477,LD_PROJETOS!A:A,LD_PROJETOS!G:G)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_xlfn.XLOOKUP(E3478,LD_PROJETOS!A:A,LD_PROJETOS!G:G)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_xlfn.XLOOKUP(E3479,LD_PROJETOS!A:A,LD_PROJETOS!G:G)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_xlfn.XLOOKUP(E3480,LD_PROJETOS!A:A,LD_PROJETOS!G:G)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_xlfn.XLOOKUP(E3481,LD_PROJETOS!A:A,LD_PROJETOS!G:G)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_xlfn.XLOOKUP(E3482,LD_PROJETOS!A:A,LD_PROJETOS!G:G)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_xlfn.XLOOKUP(E3483,LD_PROJETOS!A:A,LD_PROJETOS!G:G)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_xlfn.XLOOKUP(E3484,LD_PROJETOS!A:A,LD_PROJETOS!G:G)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_xlfn.XLOOKUP(E3485,LD_PROJETOS!A:A,LD_PROJETOS!G:G)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_xlfn.XLOOKUP(E3486,LD_PROJETOS!A:A,LD_PROJETOS!G:G)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_xlfn.XLOOKUP(E3487,LD_PROJETOS!A:A,LD_PROJETOS!G:G)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_xlfn.XLOOKUP(E3488,LD_PROJETOS!A:A,LD_PROJETOS!G:G)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_xlfn.XLOOKUP(E3489,LD_PROJETOS!A:A,LD_PROJETOS!G:G)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_xlfn.XLOOKUP(E3490,LD_PROJETOS!A:A,LD_PROJETOS!G:G)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_xlfn.XLOOKUP(E3491,LD_PROJETOS!A:A,LD_PROJETOS!G:G)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_xlfn.XLOOKUP(E3492,LD_PROJETOS!A:A,LD_PROJETOS!G:G)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_xlfn.XLOOKUP(E3493,LD_PROJETOS!A:A,LD_PROJETOS!G:G)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_xlfn.XLOOKUP(E3494,LD_PROJETOS!A:A,LD_PROJETOS!G:G)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_xlfn.XLOOKUP(E3495,LD_PROJETOS!A:A,LD_PROJETOS!G:G)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_xlfn.XLOOKUP(E3496,LD_PROJETOS!A:A,LD_PROJETOS!G:G)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_xlfn.XLOOKUP(E3497,LD_PROJETOS!A:A,LD_PROJETOS!G:G)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_xlfn.XLOOKUP(E3498,LD_PROJETOS!A:A,LD_PROJETOS!G:G)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_xlfn.XLOOKUP(E3499,LD_PROJETOS!A:A,LD_PROJETOS!G:G)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_xlfn.XLOOKUP(E3500,LD_PROJETOS!A:A,LD_PROJETOS!G:G)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_xlfn.XLOOKUP(E3501,LD_PROJETOS!A:A,LD_PROJETOS!G:G)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_xlfn.XLOOKUP(E3502,LD_PROJETOS!A:A,LD_PROJETOS!G:G)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_xlfn.XLOOKUP(E3503,LD_PROJETOS!A:A,LD_PROJETOS!G:G)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_xlfn.XLOOKUP(E3504,LD_PROJETOS!A:A,LD_PROJETOS!G:G)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_xlfn.XLOOKUP(E3505,LD_PROJETOS!A:A,LD_PROJETOS!G:G)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_xlfn.XLOOKUP(E3506,LD_PROJETOS!A:A,LD_PROJETOS!G:G)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_xlfn.XLOOKUP(E3507,LD_PROJETOS!A:A,LD_PROJETOS!G:G)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_xlfn.XLOOKUP(E3508,LD_PROJETOS!A:A,LD_PROJETOS!G:G)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_xlfn.XLOOKUP(E3509,LD_PROJETOS!A:A,LD_PROJETOS!G:G)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_xlfn.XLOOKUP(E3510,LD_PROJETOS!A:A,LD_PROJETOS!G:G)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_xlfn.XLOOKUP(E3511,LD_PROJETOS!A:A,LD_PROJETOS!G:G)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_xlfn.XLOOKUP(E3512,LD_PROJETOS!A:A,LD_PROJETOS!G:G)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_xlfn.XLOOKUP(E3513,LD_PROJETOS!A:A,LD_PROJETOS!G:G)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_xlfn.XLOOKUP(E3514,LD_PROJETOS!A:A,LD_PROJETOS!G:G)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_xlfn.XLOOKUP(E3515,LD_PROJETOS!A:A,LD_PROJETOS!G:G)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_xlfn.XLOOKUP(E3516,LD_PROJETOS!A:A,LD_PROJETOS!G:G)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_xlfn.XLOOKUP(E3517,LD_PROJETOS!A:A,LD_PROJETOS!G:G)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_xlfn.XLOOKUP(E3518,LD_PROJETOS!A:A,LD_PROJETOS!G:G)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_xlfn.XLOOKUP(E3519,LD_PROJETOS!A:A,LD_PROJETOS!G:G)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_xlfn.XLOOKUP(E3520,LD_PROJETOS!A:A,LD_PROJETOS!G:G)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_xlfn.XLOOKUP(E3521,LD_PROJETOS!A:A,LD_PROJETOS!G:G)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_xlfn.XLOOKUP(E3522,LD_PROJETOS!A:A,LD_PROJETOS!G:G)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_xlfn.XLOOKUP(E3523,LD_PROJETOS!A:A,LD_PROJETOS!G:G)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_xlfn.XLOOKUP(E3524,LD_PROJETOS!A:A,LD_PROJETOS!G:G)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_xlfn.XLOOKUP(E3525,LD_PROJETOS!A:A,LD_PROJETOS!G:G)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_xlfn.XLOOKUP(E3526,LD_PROJETOS!A:A,LD_PROJETOS!G:G)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_xlfn.XLOOKUP(E3527,LD_PROJETOS!A:A,LD_PROJETOS!G:G)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_xlfn.XLOOKUP(E3528,LD_PROJETOS!A:A,LD_PROJETOS!G:G)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_xlfn.XLOOKUP(E3529,LD_PROJETOS!A:A,LD_PROJETOS!G:G)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_xlfn.XLOOKUP(E3530,LD_PROJETOS!A:A,LD_PROJETOS!G:G)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_xlfn.XLOOKUP(E3531,LD_PROJETOS!A:A,LD_PROJETOS!G:G)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_xlfn.XLOOKUP(E3532,LD_PROJETOS!A:A,LD_PROJETOS!G:G)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_xlfn.XLOOKUP(E3533,LD_PROJETOS!A:A,LD_PROJETOS!G:G)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_xlfn.XLOOKUP(E3534,LD_PROJETOS!A:A,LD_PROJETOS!G:G)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_xlfn.XLOOKUP(E3535,LD_PROJETOS!A:A,LD_PROJETOS!G:G)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_xlfn.XLOOKUP(E3536,LD_PROJETOS!A:A,LD_PROJETOS!G:G)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_xlfn.XLOOKUP(E3537,LD_PROJETOS!A:A,LD_PROJETOS!G:G)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_xlfn.XLOOKUP(E3538,LD_PROJETOS!A:A,LD_PROJETOS!G:G)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_xlfn.XLOOKUP(E3539,LD_PROJETOS!A:A,LD_PROJETOS!G:G)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_xlfn.XLOOKUP(E3540,LD_PROJETOS!A:A,LD_PROJETOS!G:G)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_xlfn.XLOOKUP(E3541,LD_PROJETOS!A:A,LD_PROJETOS!G:G)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_xlfn.XLOOKUP(E3542,LD_PROJETOS!A:A,LD_PROJETOS!G:G)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_xlfn.XLOOKUP(E3543,LD_PROJETOS!A:A,LD_PROJETOS!G:G)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_xlfn.XLOOKUP(E3544,LD_PROJETOS!A:A,LD_PROJETOS!G:G)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_xlfn.XLOOKUP(E3545,LD_PROJETOS!A:A,LD_PROJETOS!G:G)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_xlfn.XLOOKUP(E3546,LD_PROJETOS!A:A,LD_PROJETOS!G:G)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_xlfn.XLOOKUP(E3547,LD_PROJETOS!A:A,LD_PROJETOS!G:G)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_xlfn.XLOOKUP(E3548,LD_PROJETOS!A:A,LD_PROJETOS!G:G)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_xlfn.XLOOKUP(E3549,LD_PROJETOS!A:A,LD_PROJETOS!G:G)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_xlfn.XLOOKUP(E3550,LD_PROJETOS!A:A,LD_PROJETOS!G:G)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x14ac:dyDescent="0.3">
      <c r="A3551" t="s">
        <v>6020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_xlfn.XLOOKUP(E3551,LD_PROJETOS!A:A,LD_PROJETOS!G:G)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x14ac:dyDescent="0.3">
      <c r="A3552" t="s">
        <v>6019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_xlfn.XLOOKUP(E3552,LD_PROJETOS!A:A,LD_PROJETOS!G:G)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_xlfn.XLOOKUP(E3553,LD_PROJETOS!A:A,LD_PROJETOS!G:G)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_xlfn.XLOOKUP(E3554,LD_PROJETOS!A:A,LD_PROJETOS!G:G)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_xlfn.XLOOKUP(E3555,LD_PROJETOS!A:A,LD_PROJETOS!G:G)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x14ac:dyDescent="0.3">
      <c r="A3556" t="s">
        <v>6018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_xlfn.XLOOKUP(E3556,LD_PROJETOS!A:A,LD_PROJETOS!G:G)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_xlfn.XLOOKUP(E3557,LD_PROJETOS!A:A,LD_PROJETOS!G:G)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_xlfn.XLOOKUP(E3558,LD_PROJETOS!A:A,LD_PROJETOS!G:G)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_xlfn.XLOOKUP(E3559,LD_PROJETOS!A:A,LD_PROJETOS!G:G)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_xlfn.XLOOKUP(E3560,LD_PROJETOS!A:A,LD_PROJETOS!G:G)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_xlfn.XLOOKUP(E3561,LD_PROJETOS!A:A,LD_PROJETOS!G:G)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x14ac:dyDescent="0.3">
      <c r="A3562" t="s">
        <v>6017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_xlfn.XLOOKUP(E3562,LD_PROJETOS!A:A,LD_PROJETOS!G:G)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x14ac:dyDescent="0.3">
      <c r="A3563" t="s">
        <v>6016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_xlfn.XLOOKUP(E3563,LD_PROJETOS!A:A,LD_PROJETOS!G:G)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x14ac:dyDescent="0.3">
      <c r="A3564" t="s">
        <v>6013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_xlfn.XLOOKUP(E3564,LD_PROJETOS!A:A,LD_PROJETOS!G:G)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x14ac:dyDescent="0.3">
      <c r="A3565" t="s">
        <v>6014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_xlfn.XLOOKUP(E3565,LD_PROJETOS!A:A,LD_PROJETOS!G:G)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x14ac:dyDescent="0.3">
      <c r="A3566" t="s">
        <v>6015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_xlfn.XLOOKUP(E3566,LD_PROJETOS!A:A,LD_PROJETOS!G:G)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_xlfn.XLOOKUP(E3567,LD_PROJETOS!A:A,LD_PROJETOS!G:G)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26" t="s">
        <v>4403</v>
      </c>
      <c r="C2" s="27"/>
      <c r="D2" s="28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1" priority="1"/>
  </conditionalFormatting>
  <conditionalFormatting sqref="F1:F1048576">
    <cfRule type="duplicateValues" dxfId="0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3</vt:i4>
      </vt:variant>
    </vt:vector>
  </HeadingPairs>
  <TitlesOfParts>
    <vt:vector size="7" baseType="lpstr"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2026-06-16T17:02:30Z</dcterms:modified>
</cp:coreProperties>
</file>